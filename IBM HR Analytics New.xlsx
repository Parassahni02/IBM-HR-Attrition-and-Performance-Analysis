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11943ef5c8716b/Desktop/Data Analysis/IBM HR Analytics/"/>
    </mc:Choice>
  </mc:AlternateContent>
  <xr:revisionPtr revIDLastSave="379" documentId="8_{99527E19-9AD3-4A6C-9D38-CFC025D73846}" xr6:coauthVersionLast="47" xr6:coauthVersionMax="47" xr10:uidLastSave="{B39430E5-213F-4E5B-9FB3-53EA5870353F}"/>
  <bookViews>
    <workbookView xWindow="-108" yWindow="-108" windowWidth="23256" windowHeight="12456" activeTab="4" xr2:uid="{9C5CE06F-505C-45D6-A404-24BC396CD3D5}"/>
  </bookViews>
  <sheets>
    <sheet name="IBM HR Analytics Cleaned" sheetId="1" r:id="rId1"/>
    <sheet name="Dashboard" sheetId="4" r:id="rId2"/>
    <sheet name="Attrition Analysis" sheetId="5" r:id="rId3"/>
    <sheet name="Salary Analysis" sheetId="6" r:id="rId4"/>
    <sheet name="High Risk Employee" sheetId="8" r:id="rId5"/>
  </sheets>
  <definedNames>
    <definedName name="_xlnm._FilterDatabase" localSheetId="0" hidden="1">'IBM HR Analytics Cleaned'!$A$1:$AN$1471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8" l="1"/>
  <c r="H6" i="8"/>
  <c r="F6" i="8"/>
  <c r="G11" i="4"/>
  <c r="H7" i="4"/>
  <c r="G7" i="4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2" i="1"/>
  <c r="H23" i="6"/>
  <c r="H24" i="6"/>
  <c r="H25" i="6"/>
  <c r="H26" i="6"/>
  <c r="H27" i="6"/>
  <c r="E11" i="4"/>
  <c r="F11" i="4"/>
  <c r="F7" i="4"/>
  <c r="E7" i="4"/>
  <c r="P10" i="5"/>
  <c r="K16" i="5"/>
  <c r="F8" i="5"/>
  <c r="P15" i="5"/>
  <c r="K15" i="5"/>
  <c r="F7" i="5"/>
  <c r="P16" i="5"/>
  <c r="K10" i="5"/>
  <c r="P17" i="5"/>
  <c r="K9" i="5"/>
  <c r="P18" i="5"/>
  <c r="K8" i="5"/>
  <c r="P24" i="5"/>
  <c r="K7" i="5"/>
  <c r="P23" i="5"/>
  <c r="F24" i="5"/>
  <c r="F23" i="5"/>
  <c r="F17" i="5"/>
  <c r="P7" i="5"/>
  <c r="F16" i="5"/>
  <c r="P8" i="5"/>
  <c r="K18" i="5"/>
  <c r="F15" i="5"/>
  <c r="P9" i="5"/>
  <c r="K17" i="5"/>
  <c r="F9" i="5"/>
  <c r="K25" i="5"/>
  <c r="K24" i="5"/>
  <c r="K23" i="5"/>
</calcChain>
</file>

<file path=xl/sharedStrings.xml><?xml version="1.0" encoding="utf-8"?>
<sst xmlns="http://schemas.openxmlformats.org/spreadsheetml/2006/main" count="21062" uniqueCount="147">
  <si>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</si>
  <si>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</si>
  <si>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</si>
  <si>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</si>
  <si>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</si>
  <si>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</si>
  <si>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</si>
  <si>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</si>
  <si>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</si>
  <si>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</si>
  <si>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</si>
  <si>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</si>
  <si>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</si>
  <si>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</si>
  <si>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</si>
  <si>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</si>
  <si>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</si>
  <si>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</si>
  <si>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</si>
  <si>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</si>
  <si>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</si>
  <si>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</si>
  <si>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</si>
  <si>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</si>
  <si>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</si>
  <si>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</si>
  <si>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</si>
  <si>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</si>
  <si>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</si>
  <si>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</si>
  <si>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</si>
  <si>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</si>
  <si>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AgeGroup</t>
  </si>
  <si>
    <t>SalaryBand</t>
  </si>
  <si>
    <t>AttritionFlag</t>
  </si>
  <si>
    <t>TenureBand</t>
  </si>
  <si>
    <t>EducationLabel</t>
  </si>
  <si>
    <t>JobSatisfactionLabel</t>
  </si>
  <si>
    <t>Yes</t>
  </si>
  <si>
    <t>Travel_Rarely</t>
  </si>
  <si>
    <t>Sales</t>
  </si>
  <si>
    <t>Life Sciences</t>
  </si>
  <si>
    <t>Female</t>
  </si>
  <si>
    <t>Sales Executive</t>
  </si>
  <si>
    <t>Single</t>
  </si>
  <si>
    <t>36-45</t>
  </si>
  <si>
    <t>Very High (&gt;10K)</t>
  </si>
  <si>
    <t>0-2 yrs</t>
  </si>
  <si>
    <t>College</t>
  </si>
  <si>
    <t>Very High</t>
  </si>
  <si>
    <t>Bad</t>
  </si>
  <si>
    <t>No</t>
  </si>
  <si>
    <t>Travel_Frequently</t>
  </si>
  <si>
    <t>Research &amp; Development</t>
  </si>
  <si>
    <t>Male</t>
  </si>
  <si>
    <t>Research Scientist</t>
  </si>
  <si>
    <t>Married</t>
  </si>
  <si>
    <t>46-60</t>
  </si>
  <si>
    <t>6-10 yrs</t>
  </si>
  <si>
    <t>Below College</t>
  </si>
  <si>
    <t>Medium</t>
  </si>
  <si>
    <t>Better</t>
  </si>
  <si>
    <t>Other</t>
  </si>
  <si>
    <t>Laboratory Technician</t>
  </si>
  <si>
    <t>Low (≤3K)</t>
  </si>
  <si>
    <t>3-5 yrs</t>
  </si>
  <si>
    <t>High</t>
  </si>
  <si>
    <t>26-35</t>
  </si>
  <si>
    <t>Master</t>
  </si>
  <si>
    <t>Medical</t>
  </si>
  <si>
    <t>Good</t>
  </si>
  <si>
    <t>High (6K-10K)</t>
  </si>
  <si>
    <t>Bachelor</t>
  </si>
  <si>
    <t>Low</t>
  </si>
  <si>
    <t>Divorced</t>
  </si>
  <si>
    <t>Manufacturing Director</t>
  </si>
  <si>
    <t>Healthcare Representative</t>
  </si>
  <si>
    <t>Non-Travel</t>
  </si>
  <si>
    <t>18-25</t>
  </si>
  <si>
    <t>Manager</t>
  </si>
  <si>
    <t>10+ yrs</t>
  </si>
  <si>
    <t>Mid (3K-6K)</t>
  </si>
  <si>
    <t>Sales Representative</t>
  </si>
  <si>
    <t>Research Director</t>
  </si>
  <si>
    <t>Marketing</t>
  </si>
  <si>
    <t>Best</t>
  </si>
  <si>
    <t>Technical Degree</t>
  </si>
  <si>
    <t>Doctor</t>
  </si>
  <si>
    <t>Human Resources</t>
  </si>
  <si>
    <t>TOTAL EMPLOYEES</t>
  </si>
  <si>
    <t xml:space="preserve"> ATTRITION RATE</t>
  </si>
  <si>
    <t>AVG MONTHLY INCOME</t>
  </si>
  <si>
    <t xml:space="preserve"> AVG AGE</t>
  </si>
  <si>
    <t xml:space="preserve"> ACTIVE EMPLOYEES</t>
  </si>
  <si>
    <t>ATTRITED EMPLOYEES</t>
  </si>
  <si>
    <t>AVG TENURE</t>
  </si>
  <si>
    <t>HIGH RISK STAFF</t>
  </si>
  <si>
    <t xml:space="preserve">  Attrition | Salary | Satisfaction | Tenure Analysis  | 1,470 Employees | 3 Departments  | 9 Job Roles</t>
  </si>
  <si>
    <t>HR ANALYTICS DASHBOARD  —  IBM Employee Dataset</t>
  </si>
  <si>
    <t xml:space="preserve">  Department · Age Group · Tenure · Business Travel · Job Satisfaction · Work-Life Balance</t>
  </si>
  <si>
    <t>ATTRITION DEEP-DIVE ANALYSIS</t>
  </si>
  <si>
    <t>Grand Total</t>
  </si>
  <si>
    <t>Count of EmployeeNumber</t>
  </si>
  <si>
    <t>Attrition %</t>
  </si>
  <si>
    <t>Attrition by Business Travel</t>
  </si>
  <si>
    <t>Attrition by Department</t>
  </si>
  <si>
    <t>Attrition by Overtime</t>
  </si>
  <si>
    <t>Attrition by Age Group</t>
  </si>
  <si>
    <t>Attrition by Job Satisfaction</t>
  </si>
  <si>
    <t>Attrition by Marital Status</t>
  </si>
  <si>
    <t>Attrition by Gender</t>
  </si>
  <si>
    <t>Attrition by Work-Life Balance</t>
  </si>
  <si>
    <t>Attrition by Tenure</t>
  </si>
  <si>
    <t>WorkLifeBalanceLabel</t>
  </si>
  <si>
    <t>Business Travel</t>
  </si>
  <si>
    <t>Overtime</t>
  </si>
  <si>
    <t>Marital Status</t>
  </si>
  <si>
    <t>Satisfaction</t>
  </si>
  <si>
    <t>Age Group</t>
  </si>
  <si>
    <t>Total</t>
  </si>
  <si>
    <t>Attrited</t>
  </si>
  <si>
    <t>Attrition rate</t>
  </si>
  <si>
    <t>attrited</t>
  </si>
  <si>
    <t>Work Life Balance</t>
  </si>
  <si>
    <t>Tenure Band</t>
  </si>
  <si>
    <t>SALARY &amp; COMPENSATION ANALYSIS</t>
  </si>
  <si>
    <t xml:space="preserve">  Job Role | Department | Salary Band | Education | Job Level  |  Income Range: $1,009 – $19,999</t>
  </si>
  <si>
    <t>Average Salary by Job Role</t>
  </si>
  <si>
    <t>Average Salary</t>
  </si>
  <si>
    <t>Min Salary</t>
  </si>
  <si>
    <t>Max Salary</t>
  </si>
  <si>
    <t xml:space="preserve"> Salary Band Distribution</t>
  </si>
  <si>
    <t>Column Labels</t>
  </si>
  <si>
    <t>Salary &amp; Attrition by Job Level</t>
  </si>
  <si>
    <t xml:space="preserve">Attrition Rate  </t>
  </si>
  <si>
    <t>Job Role</t>
  </si>
  <si>
    <t>Job level</t>
  </si>
  <si>
    <t>Average</t>
  </si>
  <si>
    <t>Head Count</t>
  </si>
  <si>
    <t xml:space="preserve">  Criteria: Active Employees with OverTime=Yes AND JobSatisfaction ≤ 2  |  Immediate HR Intervention Recommended</t>
  </si>
  <si>
    <t>RiskScore</t>
  </si>
  <si>
    <t xml:space="preserve">  Risk Score ≥ 10: Critical  |  Risk Score 6-9: High  |   Risk Score &lt; 6: Moderate  |  Formula: (3-JobSat)×3 + (3-WLB)×2 + YrsNoPromotion</t>
  </si>
  <si>
    <t>HIGH RISK TOTAL</t>
  </si>
  <si>
    <t>DEPT AFFECTED</t>
  </si>
  <si>
    <t xml:space="preserve"> AVG SALARY</t>
  </si>
  <si>
    <t xml:space="preserve">  📅 AVG TENURE</t>
  </si>
  <si>
    <t xml:space="preserve">  HIGH RISK EMPLOYEE TRACKER  —  Active Employees at Risk of Leaving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</si>
</sst>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0.0%"/>
    <numFmt numFmtId="165" formatCode="0.0"/>
    <numFmt numFmtId="166" formatCode="_-[$$-409]* #,##0.00_ ;_-[$$-409]* \-#,##0.00\ ;_-[$$-409]* &quot;-&quot;??_ ;_-@_ 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Calibri"/>
      <family val="2"/>
      <scheme val="minor"/>
    </font>
    <font>
      <b/>
      <sz val="20"/>
      <color rgb="FFFFFFFF"/>
      <name val="Arial"/>
      <family val="2"/>
    </font>
    <font>
      <b/>
      <sz val="11"/>
      <color rgb="FFFFFFFF"/>
      <name val="Arial"/>
      <family val="2"/>
    </font>
    <font>
      <b/>
      <sz val="20"/>
      <name val="Time New Roman"/>
    </font>
    <font>
      <b/>
      <sz val="20"/>
      <color rgb="FFFFFFFF"/>
      <name val="Time New Roman"/>
    </font>
    <font>
      <b/>
      <sz val="10"/>
      <color theme="0"/>
      <name val="Time New Roman"/>
    </font>
    <font>
      <b/>
      <sz val="20"/>
      <color theme="0"/>
      <name val="Arial"/>
      <family val="2"/>
    </font>
    <font>
      <b/>
      <sz val="18"/>
      <color rgb="FFFFFFFF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7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0"/>
      <name val="Times New Roman"/>
      <family val="1"/>
    </font>
  </fonts>
  <fills count="6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A0533"/>
        <bgColor rgb="FF2D1054"/>
      </patternFill>
    </fill>
    <fill>
      <patternFill patternType="solid">
        <fgColor rgb="FF6B21A8"/>
        <bgColor rgb="FF800080"/>
      </patternFill>
    </fill>
    <fill>
      <patternFill patternType="solid">
        <fgColor rgb="FFEF4444"/>
        <bgColor rgb="FF993366"/>
      </patternFill>
    </fill>
    <fill>
      <patternFill patternType="solid">
        <fgColor rgb="FF0D9488"/>
        <bgColor rgb="FF008080"/>
      </patternFill>
    </fill>
    <fill>
      <patternFill patternType="solid">
        <fgColor rgb="FF4F46E5"/>
        <bgColor rgb="FF333399"/>
      </patternFill>
    </fill>
    <fill>
      <patternFill patternType="solid">
        <fgColor rgb="FF10B981"/>
        <bgColor rgb="FF06B6D4"/>
      </patternFill>
    </fill>
    <fill>
      <patternFill patternType="solid">
        <fgColor rgb="FFF59E0B"/>
        <bgColor rgb="FFFFCC00"/>
      </patternFill>
    </fill>
    <fill>
      <patternFill patternType="solid">
        <fgColor rgb="FF06B6D4"/>
        <bgColor rgb="FF10B981"/>
      </patternFill>
    </fill>
    <fill>
      <patternFill patternType="solid">
        <fgColor rgb="FFCCCC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33CC33"/>
        <bgColor rgb="FF06B6D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rgb="FF10B981"/>
      </patternFill>
    </fill>
    <fill>
      <patternFill patternType="solid">
        <fgColor rgb="FF2D1054"/>
        <bgColor rgb="FF1A0533"/>
      </patternFill>
    </fill>
    <fill>
      <patternFill patternType="solid">
        <fgColor rgb="FFCCCCFF"/>
        <bgColor rgb="FF2D1054"/>
      </patternFill>
    </fill>
    <fill>
      <patternFill patternType="solid">
        <fgColor rgb="FF6600CC"/>
        <bgColor indexed="64"/>
      </patternFill>
    </fill>
    <fill>
      <patternFill patternType="solid">
        <fgColor theme="0"/>
        <bgColor rgb="FF800080"/>
      </patternFill>
    </fill>
    <fill>
      <patternFill patternType="solid">
        <fgColor theme="7" tint="-0.249977111117893"/>
        <bgColor rgb="FF333399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6B6D4"/>
      </patternFill>
    </fill>
    <fill>
      <patternFill patternType="solid">
        <fgColor theme="0"/>
        <bgColor rgb="FF2D1054"/>
      </patternFill>
    </fill>
    <fill>
      <patternFill patternType="solid">
        <fgColor theme="0"/>
        <bgColor rgb="FF333399"/>
      </patternFill>
    </fill>
    <fill>
      <patternFill patternType="solid">
        <fgColor theme="0"/>
        <bgColor rgb="FF993366"/>
      </patternFill>
    </fill>
    <fill>
      <patternFill patternType="solid">
        <fgColor rgb="FFFF0000"/>
        <bgColor indexed="64"/>
      </patternFill>
    </fill>
    <fill>
      <patternFill patternType="solid">
        <fgColor rgb="FFFF7C80"/>
        <bgColor rgb="FF2D105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9">
    <xf numFmtId="0" fontId="0" fillId="0" borderId="0" xfId="0"/>
    <xf numFmtId="10" fontId="0" fillId="0" borderId="0" xfId="2" applyNumberFormat="1" applyFont="1"/>
    <xf numFmtId="165" fontId="0" fillId="0" borderId="0" xfId="0" applyNumberFormat="1"/>
    <xf numFmtId="0" fontId="0" fillId="45" borderId="0" xfId="0" applyFill="1"/>
    <xf numFmtId="0" fontId="0" fillId="0" borderId="0" xfId="0" applyAlignment="1">
      <alignment horizontal="left"/>
    </xf>
    <xf numFmtId="0" fontId="16" fillId="0" borderId="0" xfId="0" applyFont="1"/>
    <xf numFmtId="0" fontId="23" fillId="54" borderId="0" xfId="0" applyFont="1" applyFill="1" applyAlignment="1">
      <alignment vertical="center"/>
    </xf>
    <xf numFmtId="0" fontId="0" fillId="56" borderId="0" xfId="0" applyFill="1"/>
    <xf numFmtId="0" fontId="0" fillId="56" borderId="0" xfId="0" applyFill="1" applyAlignment="1">
      <alignment horizontal="left"/>
    </xf>
    <xf numFmtId="10" fontId="0" fillId="56" borderId="0" xfId="0" applyNumberFormat="1" applyFill="1"/>
    <xf numFmtId="0" fontId="0" fillId="57" borderId="0" xfId="0" applyFill="1" applyAlignment="1">
      <alignment horizontal="left"/>
    </xf>
    <xf numFmtId="10" fontId="0" fillId="57" borderId="0" xfId="0" applyNumberFormat="1" applyFill="1"/>
    <xf numFmtId="0" fontId="0" fillId="45" borderId="0" xfId="0" applyFill="1" applyAlignment="1">
      <alignment horizontal="left"/>
    </xf>
    <xf numFmtId="0" fontId="0" fillId="57" borderId="0" xfId="0" applyFill="1"/>
    <xf numFmtId="0" fontId="23" fillId="58" borderId="0" xfId="0" applyFont="1" applyFill="1" applyAlignment="1">
      <alignment vertical="center"/>
    </xf>
    <xf numFmtId="166" fontId="0" fillId="0" borderId="17" xfId="0" applyNumberFormat="1" applyBorder="1"/>
    <xf numFmtId="166" fontId="0" fillId="0" borderId="0" xfId="0" applyNumberFormat="1"/>
    <xf numFmtId="0" fontId="0" fillId="0" borderId="20" xfId="0" applyBorder="1"/>
    <xf numFmtId="166" fontId="0" fillId="0" borderId="22" xfId="0" applyNumberFormat="1" applyBorder="1"/>
    <xf numFmtId="0" fontId="0" fillId="0" borderId="23" xfId="0" applyBorder="1"/>
    <xf numFmtId="166" fontId="0" fillId="53" borderId="16" xfId="0" applyNumberFormat="1" applyFill="1" applyBorder="1"/>
    <xf numFmtId="0" fontId="0" fillId="0" borderId="18" xfId="0" applyBorder="1"/>
    <xf numFmtId="166" fontId="0" fillId="53" borderId="19" xfId="0" applyNumberFormat="1" applyFill="1" applyBorder="1"/>
    <xf numFmtId="166" fontId="0" fillId="0" borderId="21" xfId="0" applyNumberFormat="1" applyBorder="1"/>
    <xf numFmtId="0" fontId="0" fillId="0" borderId="15" xfId="0" pivotButton="1" applyBorder="1"/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5" xfId="0" applyBorder="1" applyAlignment="1">
      <alignment horizontal="left"/>
    </xf>
    <xf numFmtId="166" fontId="0" fillId="0" borderId="27" xfId="0" applyNumberFormat="1" applyBorder="1"/>
    <xf numFmtId="166" fontId="0" fillId="0" borderId="28" xfId="0" applyNumberFormat="1" applyBorder="1"/>
    <xf numFmtId="0" fontId="0" fillId="0" borderId="29" xfId="0" applyBorder="1"/>
    <xf numFmtId="0" fontId="0" fillId="0" borderId="30" xfId="0" pivotButton="1" applyBorder="1"/>
    <xf numFmtId="0" fontId="0" fillId="0" borderId="31" xfId="0" applyBorder="1"/>
    <xf numFmtId="0" fontId="16" fillId="0" borderId="32" xfId="0" applyFont="1" applyBorder="1"/>
    <xf numFmtId="0" fontId="0" fillId="0" borderId="33" xfId="0" applyBorder="1" applyAlignment="1">
      <alignment horizontal="left"/>
    </xf>
    <xf numFmtId="164" fontId="0" fillId="0" borderId="34" xfId="2" applyNumberFormat="1" applyFont="1" applyBorder="1"/>
    <xf numFmtId="0" fontId="0" fillId="0" borderId="35" xfId="0" applyBorder="1" applyAlignment="1">
      <alignment horizontal="left"/>
    </xf>
    <xf numFmtId="0" fontId="0" fillId="0" borderId="36" xfId="0" applyBorder="1"/>
    <xf numFmtId="0" fontId="0" fillId="0" borderId="37" xfId="0" applyBorder="1"/>
    <xf numFmtId="0" fontId="0" fillId="0" borderId="33" xfId="0" pivotButton="1" applyBorder="1"/>
    <xf numFmtId="0" fontId="16" fillId="0" borderId="34" xfId="0" applyFont="1" applyBorder="1"/>
    <xf numFmtId="9" fontId="0" fillId="0" borderId="34" xfId="2" applyFont="1" applyBorder="1"/>
    <xf numFmtId="0" fontId="22" fillId="59" borderId="0" xfId="0" applyFont="1" applyFill="1" applyAlignment="1">
      <alignment vertical="center"/>
    </xf>
    <xf numFmtId="0" fontId="20" fillId="59" borderId="0" xfId="0" applyFont="1" applyFill="1" applyAlignment="1">
      <alignment vertical="center"/>
    </xf>
    <xf numFmtId="0" fontId="29" fillId="61" borderId="0" xfId="0" applyFont="1" applyFill="1" applyAlignment="1">
      <alignment vertical="center"/>
    </xf>
    <xf numFmtId="0" fontId="20" fillId="61" borderId="0" xfId="0" applyFont="1" applyFill="1" applyAlignment="1">
      <alignment vertical="center"/>
    </xf>
    <xf numFmtId="0" fontId="30" fillId="62" borderId="38" xfId="0" applyFont="1" applyFill="1" applyBorder="1"/>
    <xf numFmtId="0" fontId="33" fillId="34" borderId="10" xfId="0" applyFont="1" applyFill="1" applyBorder="1" applyAlignment="1">
      <alignment horizontal="left" vertical="center"/>
    </xf>
    <xf numFmtId="0" fontId="33" fillId="35" borderId="10" xfId="0" applyFont="1" applyFill="1" applyBorder="1" applyAlignment="1">
      <alignment horizontal="left" vertical="center"/>
    </xf>
    <xf numFmtId="0" fontId="33" fillId="36" borderId="10" xfId="0" applyFont="1" applyFill="1" applyBorder="1" applyAlignment="1">
      <alignment horizontal="left" vertical="center"/>
    </xf>
    <xf numFmtId="0" fontId="33" fillId="37" borderId="11" xfId="0" applyFont="1" applyFill="1" applyBorder="1" applyAlignment="1">
      <alignment horizontal="left" vertical="center"/>
    </xf>
    <xf numFmtId="0" fontId="34" fillId="41" borderId="0" xfId="0" applyFont="1" applyFill="1"/>
    <xf numFmtId="164" fontId="34" fillId="42" borderId="0" xfId="2" applyNumberFormat="1" applyFont="1" applyFill="1"/>
    <xf numFmtId="166" fontId="34" fillId="43" borderId="0" xfId="1" applyNumberFormat="1" applyFont="1" applyFill="1" applyAlignment="1">
      <alignment horizontal="right" vertical="center"/>
    </xf>
    <xf numFmtId="165" fontId="34" fillId="44" borderId="0" xfId="0" applyNumberFormat="1" applyFont="1" applyFill="1"/>
    <xf numFmtId="0" fontId="33" fillId="47" borderId="10" xfId="0" applyFont="1" applyFill="1" applyBorder="1" applyAlignment="1">
      <alignment horizontal="left" vertical="center"/>
    </xf>
    <xf numFmtId="0" fontId="33" fillId="39" borderId="10" xfId="0" applyFont="1" applyFill="1" applyBorder="1" applyAlignment="1">
      <alignment horizontal="left" vertical="center"/>
    </xf>
    <xf numFmtId="0" fontId="33" fillId="50" borderId="10" xfId="0" applyFont="1" applyFill="1" applyBorder="1" applyAlignment="1">
      <alignment horizontal="left" vertical="center"/>
    </xf>
    <xf numFmtId="0" fontId="33" fillId="35" borderId="11" xfId="0" applyFont="1" applyFill="1" applyBorder="1" applyAlignment="1">
      <alignment horizontal="left" vertical="center"/>
    </xf>
    <xf numFmtId="0" fontId="34" fillId="46" borderId="0" xfId="0" applyFont="1" applyFill="1"/>
    <xf numFmtId="0" fontId="34" fillId="48" borderId="0" xfId="0" applyFont="1" applyFill="1"/>
    <xf numFmtId="1" fontId="34" fillId="49" borderId="0" xfId="0" applyNumberFormat="1" applyFont="1" applyFill="1"/>
    <xf numFmtId="0" fontId="34" fillId="42" borderId="0" xfId="0" applyFont="1" applyFill="1"/>
    <xf numFmtId="0" fontId="19" fillId="60" borderId="11" xfId="0" applyFont="1" applyFill="1" applyBorder="1" applyAlignment="1">
      <alignment vertical="center"/>
    </xf>
    <xf numFmtId="0" fontId="19" fillId="61" borderId="11" xfId="0" applyFont="1" applyFill="1" applyBorder="1" applyAlignment="1">
      <alignment vertical="center"/>
    </xf>
    <xf numFmtId="0" fontId="32" fillId="35" borderId="38" xfId="0" applyFont="1" applyFill="1" applyBorder="1" applyAlignment="1">
      <alignment vertical="center"/>
    </xf>
    <xf numFmtId="0" fontId="32" fillId="39" borderId="38" xfId="0" applyFont="1" applyFill="1" applyBorder="1" applyAlignment="1">
      <alignment vertical="center"/>
    </xf>
    <xf numFmtId="0" fontId="32" fillId="36" borderId="38" xfId="0" applyFont="1" applyFill="1" applyBorder="1" applyAlignment="1">
      <alignment vertical="center"/>
    </xf>
    <xf numFmtId="0" fontId="32" fillId="37" borderId="38" xfId="0" applyFont="1" applyFill="1" applyBorder="1" applyAlignment="1">
      <alignment vertical="center"/>
    </xf>
    <xf numFmtId="0" fontId="35" fillId="66" borderId="38" xfId="0" applyFont="1" applyFill="1" applyBorder="1"/>
    <xf numFmtId="0" fontId="36" fillId="64" borderId="38" xfId="0" applyFont="1" applyFill="1" applyBorder="1"/>
    <xf numFmtId="166" fontId="37" fillId="65" borderId="38" xfId="1" applyNumberFormat="1" applyFont="1" applyFill="1" applyBorder="1" applyAlignment="1">
      <alignment horizontal="center"/>
    </xf>
    <xf numFmtId="165" fontId="38" fillId="49" borderId="38" xfId="0" applyNumberFormat="1" applyFont="1" applyFill="1" applyBorder="1"/>
    <xf numFmtId="0" fontId="39" fillId="67" borderId="35" xfId="0" applyFont="1" applyFill="1" applyBorder="1"/>
    <xf numFmtId="0" fontId="39" fillId="67" borderId="36" xfId="0" applyFont="1" applyFill="1" applyBorder="1"/>
    <xf numFmtId="0" fontId="39" fillId="67" borderId="37" xfId="0" applyFont="1" applyFill="1" applyBorder="1"/>
    <xf numFmtId="0" fontId="18" fillId="33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3" fillId="36" borderId="30" xfId="0" applyFont="1" applyFill="1" applyBorder="1" applyAlignment="1">
      <alignment horizontal="left" vertical="center"/>
    </xf>
    <xf numFmtId="0" fontId="23" fillId="36" borderId="31" xfId="0" applyFont="1" applyFill="1" applyBorder="1" applyAlignment="1">
      <alignment horizontal="left" vertical="center"/>
    </xf>
    <xf numFmtId="0" fontId="23" fillId="36" borderId="32" xfId="0" applyFont="1" applyFill="1" applyBorder="1" applyAlignment="1">
      <alignment horizontal="left" vertical="center"/>
    </xf>
    <xf numFmtId="0" fontId="23" fillId="34" borderId="30" xfId="0" applyFont="1" applyFill="1" applyBorder="1" applyAlignment="1">
      <alignment horizontal="left" vertical="center"/>
    </xf>
    <xf numFmtId="0" fontId="23" fillId="34" borderId="31" xfId="0" applyFont="1" applyFill="1" applyBorder="1" applyAlignment="1">
      <alignment horizontal="left" vertical="center"/>
    </xf>
    <xf numFmtId="0" fontId="23" fillId="34" borderId="32" xfId="0" applyFont="1" applyFill="1" applyBorder="1" applyAlignment="1">
      <alignment horizontal="left" vertical="center"/>
    </xf>
    <xf numFmtId="0" fontId="23" fillId="39" borderId="30" xfId="0" applyFont="1" applyFill="1" applyBorder="1" applyAlignment="1">
      <alignment horizontal="left" vertical="center"/>
    </xf>
    <xf numFmtId="0" fontId="23" fillId="39" borderId="31" xfId="0" applyFont="1" applyFill="1" applyBorder="1" applyAlignment="1">
      <alignment horizontal="left" vertical="center"/>
    </xf>
    <xf numFmtId="0" fontId="23" fillId="39" borderId="32" xfId="0" applyFont="1" applyFill="1" applyBorder="1" applyAlignment="1">
      <alignment horizontal="left" vertical="center"/>
    </xf>
    <xf numFmtId="0" fontId="23" fillId="35" borderId="30" xfId="0" applyFont="1" applyFill="1" applyBorder="1" applyAlignment="1">
      <alignment horizontal="left" vertical="center"/>
    </xf>
    <xf numFmtId="0" fontId="23" fillId="35" borderId="31" xfId="0" applyFont="1" applyFill="1" applyBorder="1" applyAlignment="1">
      <alignment horizontal="left" vertical="center"/>
    </xf>
    <xf numFmtId="0" fontId="23" fillId="35" borderId="32" xfId="0" applyFont="1" applyFill="1" applyBorder="1" applyAlignment="1">
      <alignment horizontal="left" vertical="center"/>
    </xf>
    <xf numFmtId="0" fontId="23" fillId="37" borderId="30" xfId="0" applyFont="1" applyFill="1" applyBorder="1" applyAlignment="1">
      <alignment horizontal="left" vertical="center"/>
    </xf>
    <xf numFmtId="0" fontId="23" fillId="37" borderId="31" xfId="0" applyFont="1" applyFill="1" applyBorder="1" applyAlignment="1">
      <alignment horizontal="left" vertical="center"/>
    </xf>
    <xf numFmtId="0" fontId="23" fillId="37" borderId="32" xfId="0" applyFont="1" applyFill="1" applyBorder="1" applyAlignment="1">
      <alignment horizontal="left" vertical="center"/>
    </xf>
    <xf numFmtId="0" fontId="23" fillId="38" borderId="30" xfId="0" applyFont="1" applyFill="1" applyBorder="1" applyAlignment="1">
      <alignment horizontal="left" vertical="center"/>
    </xf>
    <xf numFmtId="0" fontId="23" fillId="38" borderId="31" xfId="0" applyFont="1" applyFill="1" applyBorder="1" applyAlignment="1">
      <alignment horizontal="left" vertical="center"/>
    </xf>
    <xf numFmtId="0" fontId="23" fillId="38" borderId="32" xfId="0" applyFont="1" applyFill="1" applyBorder="1" applyAlignment="1">
      <alignment horizontal="left" vertical="center"/>
    </xf>
    <xf numFmtId="0" fontId="23" fillId="51" borderId="30" xfId="0" applyFont="1" applyFill="1" applyBorder="1" applyAlignment="1">
      <alignment horizontal="left" vertical="center"/>
    </xf>
    <xf numFmtId="0" fontId="23" fillId="51" borderId="31" xfId="0" applyFont="1" applyFill="1" applyBorder="1" applyAlignment="1">
      <alignment horizontal="left" vertical="center"/>
    </xf>
    <xf numFmtId="0" fontId="23" fillId="51" borderId="32" xfId="0" applyFont="1" applyFill="1" applyBorder="1" applyAlignment="1">
      <alignment horizontal="left" vertical="center"/>
    </xf>
    <xf numFmtId="0" fontId="23" fillId="36" borderId="0" xfId="0" applyFont="1" applyFill="1" applyAlignment="1">
      <alignment horizontal="left" vertical="center"/>
    </xf>
    <xf numFmtId="0" fontId="23" fillId="40" borderId="30" xfId="0" applyFont="1" applyFill="1" applyBorder="1" applyAlignment="1">
      <alignment horizontal="left" vertical="center"/>
    </xf>
    <xf numFmtId="0" fontId="23" fillId="40" borderId="31" xfId="0" applyFont="1" applyFill="1" applyBorder="1" applyAlignment="1">
      <alignment horizontal="left" vertical="center"/>
    </xf>
    <xf numFmtId="0" fontId="23" fillId="40" borderId="32" xfId="0" applyFont="1" applyFill="1" applyBorder="1" applyAlignment="1">
      <alignment horizontal="left" vertical="center"/>
    </xf>
    <xf numFmtId="0" fontId="22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24" fillId="52" borderId="0" xfId="0" applyFont="1" applyFill="1" applyAlignment="1">
      <alignment horizontal="left" vertical="center"/>
    </xf>
    <xf numFmtId="0" fontId="25" fillId="52" borderId="0" xfId="0" applyFont="1" applyFill="1" applyAlignment="1">
      <alignment horizontal="left" vertical="center"/>
    </xf>
    <xf numFmtId="0" fontId="26" fillId="33" borderId="0" xfId="0" applyFont="1" applyFill="1" applyAlignment="1">
      <alignment horizontal="left" vertical="center"/>
    </xf>
    <xf numFmtId="0" fontId="22" fillId="34" borderId="12" xfId="0" applyFont="1" applyFill="1" applyBorder="1" applyAlignment="1">
      <alignment horizontal="center" vertical="center"/>
    </xf>
    <xf numFmtId="0" fontId="22" fillId="34" borderId="13" xfId="0" applyFont="1" applyFill="1" applyBorder="1" applyAlignment="1">
      <alignment horizontal="center" vertical="center"/>
    </xf>
    <xf numFmtId="0" fontId="22" fillId="34" borderId="14" xfId="0" applyFont="1" applyFill="1" applyBorder="1" applyAlignment="1">
      <alignment horizontal="center" vertical="center"/>
    </xf>
    <xf numFmtId="0" fontId="27" fillId="55" borderId="0" xfId="0" applyFont="1" applyFill="1" applyAlignment="1">
      <alignment horizontal="center" vertical="center"/>
    </xf>
    <xf numFmtId="0" fontId="22" fillId="38" borderId="0" xfId="0" applyFont="1" applyFill="1" applyAlignment="1">
      <alignment horizontal="center" vertical="center"/>
    </xf>
    <xf numFmtId="0" fontId="31" fillId="63" borderId="0" xfId="0" applyFont="1" applyFill="1" applyAlignment="1">
      <alignment horizontal="left" vertical="center"/>
    </xf>
    <xf numFmtId="0" fontId="28" fillId="35" borderId="39" xfId="0" applyFont="1" applyFill="1" applyBorder="1" applyAlignment="1">
      <alignment horizontal="center" vertical="center"/>
    </xf>
    <xf numFmtId="0" fontId="28" fillId="35" borderId="40" xfId="0" applyFont="1" applyFill="1" applyBorder="1" applyAlignment="1">
      <alignment horizontal="center" vertical="center"/>
    </xf>
    <xf numFmtId="0" fontId="20" fillId="35" borderId="41" xfId="0" applyFont="1" applyFill="1" applyBorder="1" applyAlignment="1">
      <alignment horizontal="center" vertical="center"/>
    </xf>
    <xf numFmtId="0" fontId="20" fillId="35" borderId="42" xfId="0" applyFont="1" applyFill="1" applyBorder="1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01">
    <dxf>
      <font>
        <b/>
        <i val="0"/>
        <color rgb="FFFF0000"/>
      </font>
      <fill>
        <patternFill>
          <bgColor rgb="FFFF9999"/>
        </patternFill>
      </fill>
    </dxf>
    <dxf>
      <font>
        <b val="0"/>
        <i val="0"/>
        <color rgb="FFFF0000"/>
      </font>
      <fill>
        <patternFill>
          <bgColor rgb="FFFF7C80"/>
        </patternFill>
      </fill>
    </dxf>
    <dxf>
      <font>
        <b val="0"/>
        <i val="0"/>
        <color rgb="FFFF0000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border>
        <left style="medium">
          <color theme="0"/>
        </left>
        <right style="medium">
          <color theme="0"/>
        </right>
        <top style="medium">
          <color theme="0"/>
        </top>
        <bottom style="medium">
          <color theme="0"/>
        </bottom>
      </border>
    </dxf>
    <dxf>
      <fill>
        <patternFill patternType="solid">
          <bgColor rgb="FF6600CC"/>
        </patternFill>
      </fill>
    </dxf>
    <dxf>
      <numFmt numFmtId="166" formatCode="_-[$$-409]* #,##0.00_ ;_-[$$-409]* \-#,##0.00\ ;_-[$$-409]* &quot;-&quot;??_ ;_-@_ "/>
    </dxf>
    <dxf>
      <fill>
        <patternFill>
          <bgColor rgb="FF99FF66"/>
        </patternFill>
      </fill>
    </dxf>
    <dxf>
      <fill>
        <patternFill patternType="solid">
          <bgColor rgb="FF99FF66"/>
        </patternFill>
      </fill>
    </dxf>
    <dxf>
      <fill>
        <patternFill patternType="solid">
          <bgColor rgb="FF99FF66"/>
        </patternFill>
      </fill>
    </dxf>
    <dxf>
      <fill>
        <patternFill patternType="solid">
          <bgColor rgb="FF99FF66"/>
        </patternFill>
      </fill>
    </dxf>
    <dxf>
      <numFmt numFmtId="165" formatCode="0.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rgb="FF7030A0"/>
        </patternFill>
      </fill>
    </dxf>
  </dxfs>
  <tableStyles count="0" defaultTableStyle="TableStyleMedium2" defaultPivotStyle="PivotStyleLight16"/>
  <colors>
    <mruColors>
      <color rgb="FFFF7C80"/>
      <color rgb="FFFF0000"/>
      <color rgb="FFFF9999"/>
      <color rgb="FF1A0533"/>
      <color rgb="FF0D030B"/>
      <color rgb="FFFFCCCC"/>
      <color rgb="FF99FF99"/>
      <color rgb="FF99FF66"/>
      <color rgb="FF4E31DF"/>
      <color rgb="FF5E2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6.611061342592" createdVersion="8" refreshedVersion="8" minRefreshableVersion="3" recordCount="1470" xr:uid="{A9CF6DD1-1550-444F-BCB7-826EAEFF58A5}">
  <cacheSource type="worksheet">
    <worksheetSource ref="A1:AM1471" sheet="IBM HR Analytics Cleaned"/>
  </cacheSource>
  <cacheFields count="39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geGroup" numFmtId="0">
      <sharedItems count="4">
        <s v="36-45"/>
        <s v="46-60"/>
        <s v="26-35"/>
        <s v="18-25"/>
      </sharedItems>
    </cacheField>
    <cacheField name="SalaryBand" numFmtId="0">
      <sharedItems count="4">
        <s v="Very High (&gt;10K)"/>
        <s v="Low (≤3K)"/>
        <s v="High (6K-10K)"/>
        <s v="Mid (3K-6K)"/>
      </sharedItems>
    </cacheField>
    <cacheField name="AttritionFlag" numFmtId="0">
      <sharedItems containsSemiMixedTypes="0" containsString="0" containsNumber="1" containsInteger="1" minValue="0" maxValue="1"/>
    </cacheField>
    <cacheField name="TenureBand" numFmtId="0">
      <sharedItems count="4">
        <s v="0-2 yrs"/>
        <s v="6-10 yrs"/>
        <s v="3-5 yrs"/>
        <s v="10+ yrs"/>
      </sharedItems>
    </cacheField>
    <cacheField name="EducationLabel" numFmtId="0">
      <sharedItems/>
    </cacheField>
    <cacheField name="JobSatisfactionLabel" numFmtId="0">
      <sharedItems count="4">
        <s v="Very High"/>
        <s v="Medium"/>
        <s v="High"/>
        <s v="Low"/>
      </sharedItems>
    </cacheField>
    <cacheField name="WorkLifeBalance2" numFmtId="0">
      <sharedItems count="4">
        <s v="Bad"/>
        <s v="Better"/>
        <s v="Good"/>
        <s v="B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x v="0"/>
    <n v="1102"/>
    <x v="0"/>
    <n v="1"/>
    <n v="2"/>
    <s v="Life Sciences"/>
    <n v="1"/>
    <n v="2"/>
    <x v="0"/>
    <n v="94"/>
    <n v="3"/>
    <x v="0"/>
    <x v="0"/>
    <n v="4"/>
    <x v="0"/>
    <n v="5993"/>
    <n v="19479"/>
    <n v="8"/>
    <x v="0"/>
    <n v="11"/>
    <n v="3"/>
    <n v="1"/>
    <n v="0"/>
    <n v="8"/>
    <n v="0"/>
    <x v="0"/>
    <n v="6"/>
    <n v="4"/>
    <n v="0"/>
    <n v="5"/>
    <x v="0"/>
    <x v="0"/>
    <n v="1"/>
    <x v="0"/>
    <s v="College"/>
    <x v="0"/>
    <x v="0"/>
  </r>
  <r>
    <n v="49"/>
    <s v="No"/>
    <x v="1"/>
    <n v="279"/>
    <x v="1"/>
    <n v="8"/>
    <n v="1"/>
    <s v="Life Sciences"/>
    <n v="2"/>
    <n v="3"/>
    <x v="1"/>
    <n v="61"/>
    <n v="2"/>
    <x v="0"/>
    <x v="1"/>
    <n v="2"/>
    <x v="1"/>
    <n v="5130"/>
    <n v="24907"/>
    <n v="1"/>
    <x v="1"/>
    <n v="23"/>
    <n v="4"/>
    <n v="4"/>
    <n v="1"/>
    <n v="10"/>
    <n v="3"/>
    <x v="1"/>
    <n v="10"/>
    <n v="7"/>
    <n v="1"/>
    <n v="7"/>
    <x v="1"/>
    <x v="0"/>
    <n v="0"/>
    <x v="1"/>
    <s v="Below College"/>
    <x v="1"/>
    <x v="1"/>
  </r>
  <r>
    <n v="37"/>
    <s v="Yes"/>
    <x v="0"/>
    <n v="1373"/>
    <x v="1"/>
    <n v="2"/>
    <n v="2"/>
    <s v="Other"/>
    <n v="4"/>
    <n v="4"/>
    <x v="1"/>
    <n v="92"/>
    <n v="2"/>
    <x v="1"/>
    <x v="2"/>
    <n v="3"/>
    <x v="0"/>
    <n v="2090"/>
    <n v="2396"/>
    <n v="6"/>
    <x v="0"/>
    <n v="15"/>
    <n v="3"/>
    <n v="2"/>
    <n v="0"/>
    <n v="7"/>
    <n v="3"/>
    <x v="1"/>
    <n v="0"/>
    <n v="0"/>
    <n v="0"/>
    <n v="0"/>
    <x v="0"/>
    <x v="1"/>
    <n v="1"/>
    <x v="2"/>
    <s v="College"/>
    <x v="2"/>
    <x v="1"/>
  </r>
  <r>
    <n v="33"/>
    <s v="No"/>
    <x v="1"/>
    <n v="1392"/>
    <x v="1"/>
    <n v="3"/>
    <n v="4"/>
    <s v="Life Sciences"/>
    <n v="5"/>
    <n v="4"/>
    <x v="0"/>
    <n v="56"/>
    <n v="3"/>
    <x v="1"/>
    <x v="1"/>
    <n v="3"/>
    <x v="1"/>
    <n v="2909"/>
    <n v="23159"/>
    <n v="1"/>
    <x v="0"/>
    <n v="11"/>
    <n v="3"/>
    <n v="3"/>
    <n v="0"/>
    <n v="8"/>
    <n v="3"/>
    <x v="1"/>
    <n v="8"/>
    <n v="7"/>
    <n v="3"/>
    <n v="0"/>
    <x v="2"/>
    <x v="0"/>
    <n v="0"/>
    <x v="1"/>
    <s v="Master"/>
    <x v="2"/>
    <x v="1"/>
  </r>
  <r>
    <n v="27"/>
    <s v="No"/>
    <x v="0"/>
    <n v="591"/>
    <x v="1"/>
    <n v="2"/>
    <n v="1"/>
    <s v="Medical"/>
    <n v="7"/>
    <n v="1"/>
    <x v="1"/>
    <n v="40"/>
    <n v="3"/>
    <x v="1"/>
    <x v="2"/>
    <n v="2"/>
    <x v="1"/>
    <n v="3468"/>
    <n v="16632"/>
    <n v="9"/>
    <x v="1"/>
    <n v="12"/>
    <n v="3"/>
    <n v="4"/>
    <n v="1"/>
    <n v="6"/>
    <n v="3"/>
    <x v="1"/>
    <n v="2"/>
    <n v="2"/>
    <n v="2"/>
    <n v="2"/>
    <x v="2"/>
    <x v="0"/>
    <n v="0"/>
    <x v="2"/>
    <s v="Below College"/>
    <x v="1"/>
    <x v="1"/>
  </r>
  <r>
    <n v="32"/>
    <s v="No"/>
    <x v="1"/>
    <n v="1005"/>
    <x v="1"/>
    <n v="2"/>
    <n v="2"/>
    <s v="Life Sciences"/>
    <n v="8"/>
    <n v="4"/>
    <x v="1"/>
    <n v="79"/>
    <n v="3"/>
    <x v="1"/>
    <x v="2"/>
    <n v="4"/>
    <x v="0"/>
    <n v="3068"/>
    <n v="11864"/>
    <n v="0"/>
    <x v="1"/>
    <n v="13"/>
    <n v="3"/>
    <n v="3"/>
    <n v="0"/>
    <n v="8"/>
    <n v="2"/>
    <x v="2"/>
    <n v="7"/>
    <n v="7"/>
    <n v="3"/>
    <n v="6"/>
    <x v="2"/>
    <x v="0"/>
    <n v="0"/>
    <x v="0"/>
    <s v="College"/>
    <x v="0"/>
    <x v="2"/>
  </r>
  <r>
    <n v="59"/>
    <s v="No"/>
    <x v="0"/>
    <n v="1324"/>
    <x v="1"/>
    <n v="3"/>
    <n v="3"/>
    <s v="Medical"/>
    <n v="10"/>
    <n v="3"/>
    <x v="0"/>
    <n v="81"/>
    <n v="4"/>
    <x v="1"/>
    <x v="2"/>
    <n v="1"/>
    <x v="1"/>
    <n v="2670"/>
    <n v="9964"/>
    <n v="4"/>
    <x v="0"/>
    <n v="20"/>
    <n v="4"/>
    <n v="1"/>
    <n v="3"/>
    <n v="12"/>
    <n v="3"/>
    <x v="2"/>
    <n v="1"/>
    <n v="0"/>
    <n v="0"/>
    <n v="0"/>
    <x v="1"/>
    <x v="2"/>
    <n v="0"/>
    <x v="0"/>
    <s v="Bachelor"/>
    <x v="3"/>
    <x v="2"/>
  </r>
  <r>
    <n v="30"/>
    <s v="No"/>
    <x v="0"/>
    <n v="1358"/>
    <x v="1"/>
    <n v="24"/>
    <n v="1"/>
    <s v="Life Sciences"/>
    <n v="11"/>
    <n v="4"/>
    <x v="1"/>
    <n v="67"/>
    <n v="3"/>
    <x v="1"/>
    <x v="2"/>
    <n v="3"/>
    <x v="2"/>
    <n v="2693"/>
    <n v="13335"/>
    <n v="1"/>
    <x v="1"/>
    <n v="22"/>
    <n v="4"/>
    <n v="2"/>
    <n v="1"/>
    <n v="1"/>
    <n v="2"/>
    <x v="1"/>
    <n v="1"/>
    <n v="0"/>
    <n v="0"/>
    <n v="0"/>
    <x v="2"/>
    <x v="0"/>
    <n v="0"/>
    <x v="2"/>
    <s v="Below College"/>
    <x v="2"/>
    <x v="1"/>
  </r>
  <r>
    <n v="38"/>
    <s v="No"/>
    <x v="1"/>
    <n v="216"/>
    <x v="1"/>
    <n v="23"/>
    <n v="3"/>
    <s v="Life Sciences"/>
    <n v="12"/>
    <n v="4"/>
    <x v="1"/>
    <n v="44"/>
    <n v="2"/>
    <x v="2"/>
    <x v="3"/>
    <n v="3"/>
    <x v="0"/>
    <n v="9526"/>
    <n v="8787"/>
    <n v="0"/>
    <x v="1"/>
    <n v="21"/>
    <n v="4"/>
    <n v="2"/>
    <n v="0"/>
    <n v="10"/>
    <n v="2"/>
    <x v="1"/>
    <n v="9"/>
    <n v="7"/>
    <n v="1"/>
    <n v="8"/>
    <x v="0"/>
    <x v="2"/>
    <n v="0"/>
    <x v="1"/>
    <s v="Bachelor"/>
    <x v="2"/>
    <x v="1"/>
  </r>
  <r>
    <n v="36"/>
    <s v="No"/>
    <x v="0"/>
    <n v="1299"/>
    <x v="1"/>
    <n v="27"/>
    <n v="3"/>
    <s v="Medical"/>
    <n v="13"/>
    <n v="3"/>
    <x v="1"/>
    <n v="94"/>
    <n v="3"/>
    <x v="0"/>
    <x v="4"/>
    <n v="3"/>
    <x v="1"/>
    <n v="5237"/>
    <n v="16577"/>
    <n v="6"/>
    <x v="1"/>
    <n v="13"/>
    <n v="3"/>
    <n v="2"/>
    <n v="2"/>
    <n v="17"/>
    <n v="3"/>
    <x v="2"/>
    <n v="7"/>
    <n v="7"/>
    <n v="7"/>
    <n v="7"/>
    <x v="0"/>
    <x v="0"/>
    <n v="0"/>
    <x v="0"/>
    <s v="Bachelor"/>
    <x v="2"/>
    <x v="2"/>
  </r>
  <r>
    <n v="35"/>
    <s v="No"/>
    <x v="0"/>
    <n v="809"/>
    <x v="1"/>
    <n v="16"/>
    <n v="3"/>
    <s v="Medical"/>
    <n v="14"/>
    <n v="1"/>
    <x v="1"/>
    <n v="84"/>
    <n v="4"/>
    <x v="1"/>
    <x v="2"/>
    <n v="2"/>
    <x v="1"/>
    <n v="2426"/>
    <n v="16479"/>
    <n v="0"/>
    <x v="1"/>
    <n v="13"/>
    <n v="3"/>
    <n v="3"/>
    <n v="1"/>
    <n v="6"/>
    <n v="5"/>
    <x v="1"/>
    <n v="5"/>
    <n v="4"/>
    <n v="0"/>
    <n v="3"/>
    <x v="2"/>
    <x v="0"/>
    <n v="0"/>
    <x v="2"/>
    <s v="Bachelor"/>
    <x v="1"/>
    <x v="1"/>
  </r>
  <r>
    <n v="29"/>
    <s v="No"/>
    <x v="0"/>
    <n v="153"/>
    <x v="1"/>
    <n v="15"/>
    <n v="2"/>
    <s v="Life Sciences"/>
    <n v="15"/>
    <n v="4"/>
    <x v="0"/>
    <n v="49"/>
    <n v="2"/>
    <x v="0"/>
    <x v="2"/>
    <n v="3"/>
    <x v="0"/>
    <n v="4193"/>
    <n v="12682"/>
    <n v="0"/>
    <x v="0"/>
    <n v="12"/>
    <n v="3"/>
    <n v="4"/>
    <n v="0"/>
    <n v="10"/>
    <n v="3"/>
    <x v="1"/>
    <n v="9"/>
    <n v="5"/>
    <n v="0"/>
    <n v="8"/>
    <x v="2"/>
    <x v="0"/>
    <n v="0"/>
    <x v="1"/>
    <s v="College"/>
    <x v="2"/>
    <x v="1"/>
  </r>
  <r>
    <n v="31"/>
    <s v="No"/>
    <x v="0"/>
    <n v="670"/>
    <x v="1"/>
    <n v="26"/>
    <n v="1"/>
    <s v="Life Sciences"/>
    <n v="16"/>
    <n v="1"/>
    <x v="1"/>
    <n v="31"/>
    <n v="3"/>
    <x v="1"/>
    <x v="1"/>
    <n v="3"/>
    <x v="2"/>
    <n v="2911"/>
    <n v="15170"/>
    <n v="1"/>
    <x v="1"/>
    <n v="17"/>
    <n v="3"/>
    <n v="4"/>
    <n v="1"/>
    <n v="5"/>
    <n v="1"/>
    <x v="2"/>
    <n v="5"/>
    <n v="2"/>
    <n v="4"/>
    <n v="3"/>
    <x v="2"/>
    <x v="0"/>
    <n v="0"/>
    <x v="0"/>
    <s v="Below College"/>
    <x v="2"/>
    <x v="2"/>
  </r>
  <r>
    <n v="34"/>
    <s v="No"/>
    <x v="0"/>
    <n v="1346"/>
    <x v="1"/>
    <n v="19"/>
    <n v="2"/>
    <s v="Medical"/>
    <n v="18"/>
    <n v="2"/>
    <x v="1"/>
    <n v="93"/>
    <n v="3"/>
    <x v="1"/>
    <x v="2"/>
    <n v="4"/>
    <x v="2"/>
    <n v="2661"/>
    <n v="8758"/>
    <n v="0"/>
    <x v="1"/>
    <n v="11"/>
    <n v="3"/>
    <n v="3"/>
    <n v="1"/>
    <n v="3"/>
    <n v="2"/>
    <x v="1"/>
    <n v="2"/>
    <n v="2"/>
    <n v="1"/>
    <n v="2"/>
    <x v="2"/>
    <x v="2"/>
    <n v="0"/>
    <x v="2"/>
    <s v="College"/>
    <x v="0"/>
    <x v="1"/>
  </r>
  <r>
    <n v="28"/>
    <s v="Yes"/>
    <x v="0"/>
    <n v="103"/>
    <x v="1"/>
    <n v="24"/>
    <n v="3"/>
    <s v="Life Sciences"/>
    <n v="19"/>
    <n v="3"/>
    <x v="1"/>
    <n v="50"/>
    <n v="2"/>
    <x v="1"/>
    <x v="2"/>
    <n v="3"/>
    <x v="0"/>
    <n v="2028"/>
    <n v="12947"/>
    <n v="5"/>
    <x v="0"/>
    <n v="14"/>
    <n v="3"/>
    <n v="2"/>
    <n v="0"/>
    <n v="6"/>
    <n v="4"/>
    <x v="1"/>
    <n v="4"/>
    <n v="2"/>
    <n v="0"/>
    <n v="3"/>
    <x v="2"/>
    <x v="0"/>
    <n v="1"/>
    <x v="2"/>
    <s v="Bachelor"/>
    <x v="2"/>
    <x v="1"/>
  </r>
  <r>
    <n v="29"/>
    <s v="No"/>
    <x v="0"/>
    <n v="1389"/>
    <x v="1"/>
    <n v="21"/>
    <n v="4"/>
    <s v="Life Sciences"/>
    <n v="20"/>
    <n v="2"/>
    <x v="0"/>
    <n v="51"/>
    <n v="4"/>
    <x v="2"/>
    <x v="3"/>
    <n v="1"/>
    <x v="2"/>
    <n v="9980"/>
    <n v="10195"/>
    <n v="1"/>
    <x v="1"/>
    <n v="11"/>
    <n v="3"/>
    <n v="3"/>
    <n v="1"/>
    <n v="10"/>
    <n v="1"/>
    <x v="1"/>
    <n v="10"/>
    <n v="9"/>
    <n v="8"/>
    <n v="8"/>
    <x v="2"/>
    <x v="0"/>
    <n v="0"/>
    <x v="1"/>
    <s v="Master"/>
    <x v="3"/>
    <x v="1"/>
  </r>
  <r>
    <n v="32"/>
    <s v="No"/>
    <x v="0"/>
    <n v="334"/>
    <x v="1"/>
    <n v="5"/>
    <n v="2"/>
    <s v="Life Sciences"/>
    <n v="21"/>
    <n v="1"/>
    <x v="1"/>
    <n v="80"/>
    <n v="4"/>
    <x v="1"/>
    <x v="1"/>
    <n v="2"/>
    <x v="2"/>
    <n v="3298"/>
    <n v="15053"/>
    <n v="0"/>
    <x v="0"/>
    <n v="12"/>
    <n v="3"/>
    <n v="4"/>
    <n v="2"/>
    <n v="7"/>
    <n v="5"/>
    <x v="2"/>
    <n v="6"/>
    <n v="2"/>
    <n v="0"/>
    <n v="5"/>
    <x v="2"/>
    <x v="0"/>
    <n v="0"/>
    <x v="0"/>
    <s v="College"/>
    <x v="1"/>
    <x v="2"/>
  </r>
  <r>
    <n v="22"/>
    <s v="No"/>
    <x v="2"/>
    <n v="1123"/>
    <x v="1"/>
    <n v="16"/>
    <n v="2"/>
    <s v="Medical"/>
    <n v="22"/>
    <n v="4"/>
    <x v="1"/>
    <n v="96"/>
    <n v="4"/>
    <x v="1"/>
    <x v="2"/>
    <n v="4"/>
    <x v="2"/>
    <n v="2935"/>
    <n v="7324"/>
    <n v="1"/>
    <x v="0"/>
    <n v="13"/>
    <n v="3"/>
    <n v="2"/>
    <n v="2"/>
    <n v="1"/>
    <n v="2"/>
    <x v="2"/>
    <n v="1"/>
    <n v="0"/>
    <n v="0"/>
    <n v="0"/>
    <x v="3"/>
    <x v="2"/>
    <n v="0"/>
    <x v="0"/>
    <s v="College"/>
    <x v="0"/>
    <x v="2"/>
  </r>
  <r>
    <n v="53"/>
    <s v="No"/>
    <x v="0"/>
    <n v="1219"/>
    <x v="0"/>
    <n v="2"/>
    <n v="4"/>
    <s v="Life Sciences"/>
    <n v="23"/>
    <n v="1"/>
    <x v="0"/>
    <n v="78"/>
    <n v="2"/>
    <x v="3"/>
    <x v="5"/>
    <n v="4"/>
    <x v="1"/>
    <n v="15427"/>
    <n v="22021"/>
    <n v="2"/>
    <x v="1"/>
    <n v="16"/>
    <n v="3"/>
    <n v="3"/>
    <n v="0"/>
    <n v="31"/>
    <n v="3"/>
    <x v="1"/>
    <n v="25"/>
    <n v="8"/>
    <n v="3"/>
    <n v="7"/>
    <x v="1"/>
    <x v="0"/>
    <n v="0"/>
    <x v="3"/>
    <s v="Master"/>
    <x v="0"/>
    <x v="1"/>
  </r>
  <r>
    <n v="38"/>
    <s v="No"/>
    <x v="0"/>
    <n v="371"/>
    <x v="1"/>
    <n v="2"/>
    <n v="3"/>
    <s v="Life Sciences"/>
    <n v="24"/>
    <n v="4"/>
    <x v="1"/>
    <n v="45"/>
    <n v="3"/>
    <x v="1"/>
    <x v="1"/>
    <n v="4"/>
    <x v="0"/>
    <n v="3944"/>
    <n v="4306"/>
    <n v="5"/>
    <x v="0"/>
    <n v="11"/>
    <n v="3"/>
    <n v="3"/>
    <n v="0"/>
    <n v="6"/>
    <n v="3"/>
    <x v="1"/>
    <n v="3"/>
    <n v="2"/>
    <n v="1"/>
    <n v="2"/>
    <x v="0"/>
    <x v="3"/>
    <n v="0"/>
    <x v="2"/>
    <s v="Bachelor"/>
    <x v="0"/>
    <x v="1"/>
  </r>
  <r>
    <n v="24"/>
    <s v="No"/>
    <x v="2"/>
    <n v="673"/>
    <x v="1"/>
    <n v="11"/>
    <n v="2"/>
    <s v="Other"/>
    <n v="26"/>
    <n v="1"/>
    <x v="0"/>
    <n v="96"/>
    <n v="4"/>
    <x v="0"/>
    <x v="3"/>
    <n v="3"/>
    <x v="2"/>
    <n v="4011"/>
    <n v="8232"/>
    <n v="0"/>
    <x v="1"/>
    <n v="18"/>
    <n v="3"/>
    <n v="4"/>
    <n v="1"/>
    <n v="5"/>
    <n v="5"/>
    <x v="2"/>
    <n v="4"/>
    <n v="2"/>
    <n v="1"/>
    <n v="3"/>
    <x v="3"/>
    <x v="2"/>
    <n v="0"/>
    <x v="0"/>
    <s v="College"/>
    <x v="2"/>
    <x v="2"/>
  </r>
  <r>
    <n v="36"/>
    <s v="Yes"/>
    <x v="0"/>
    <n v="1218"/>
    <x v="0"/>
    <n v="9"/>
    <n v="4"/>
    <s v="Life Sciences"/>
    <n v="27"/>
    <n v="3"/>
    <x v="1"/>
    <n v="82"/>
    <n v="2"/>
    <x v="1"/>
    <x v="6"/>
    <n v="1"/>
    <x v="0"/>
    <n v="3407"/>
    <n v="6986"/>
    <n v="7"/>
    <x v="1"/>
    <n v="23"/>
    <n v="4"/>
    <n v="2"/>
    <n v="0"/>
    <n v="10"/>
    <n v="4"/>
    <x v="1"/>
    <n v="5"/>
    <n v="3"/>
    <n v="0"/>
    <n v="3"/>
    <x v="0"/>
    <x v="2"/>
    <n v="1"/>
    <x v="2"/>
    <s v="Master"/>
    <x v="3"/>
    <x v="1"/>
  </r>
  <r>
    <n v="34"/>
    <s v="No"/>
    <x v="0"/>
    <n v="419"/>
    <x v="1"/>
    <n v="7"/>
    <n v="4"/>
    <s v="Life Sciences"/>
    <n v="28"/>
    <n v="1"/>
    <x v="0"/>
    <n v="53"/>
    <n v="3"/>
    <x v="2"/>
    <x v="7"/>
    <n v="2"/>
    <x v="0"/>
    <n v="11994"/>
    <n v="21293"/>
    <n v="0"/>
    <x v="1"/>
    <n v="11"/>
    <n v="3"/>
    <n v="3"/>
    <n v="0"/>
    <n v="13"/>
    <n v="4"/>
    <x v="1"/>
    <n v="12"/>
    <n v="6"/>
    <n v="2"/>
    <n v="11"/>
    <x v="2"/>
    <x v="0"/>
    <n v="0"/>
    <x v="3"/>
    <s v="Master"/>
    <x v="1"/>
    <x v="1"/>
  </r>
  <r>
    <n v="21"/>
    <s v="No"/>
    <x v="0"/>
    <n v="391"/>
    <x v="1"/>
    <n v="15"/>
    <n v="2"/>
    <s v="Life Sciences"/>
    <n v="30"/>
    <n v="3"/>
    <x v="1"/>
    <n v="96"/>
    <n v="3"/>
    <x v="1"/>
    <x v="1"/>
    <n v="4"/>
    <x v="0"/>
    <n v="1232"/>
    <n v="19281"/>
    <n v="1"/>
    <x v="1"/>
    <n v="14"/>
    <n v="3"/>
    <n v="4"/>
    <n v="0"/>
    <n v="0"/>
    <n v="6"/>
    <x v="1"/>
    <n v="0"/>
    <n v="0"/>
    <n v="0"/>
    <n v="0"/>
    <x v="3"/>
    <x v="0"/>
    <n v="0"/>
    <x v="2"/>
    <s v="College"/>
    <x v="0"/>
    <x v="1"/>
  </r>
  <r>
    <n v="34"/>
    <s v="Yes"/>
    <x v="0"/>
    <n v="699"/>
    <x v="1"/>
    <n v="6"/>
    <n v="1"/>
    <s v="Medical"/>
    <n v="31"/>
    <n v="2"/>
    <x v="1"/>
    <n v="83"/>
    <n v="3"/>
    <x v="1"/>
    <x v="1"/>
    <n v="1"/>
    <x v="0"/>
    <n v="2960"/>
    <n v="17102"/>
    <n v="2"/>
    <x v="1"/>
    <n v="11"/>
    <n v="3"/>
    <n v="3"/>
    <n v="0"/>
    <n v="8"/>
    <n v="2"/>
    <x v="1"/>
    <n v="4"/>
    <n v="2"/>
    <n v="1"/>
    <n v="3"/>
    <x v="2"/>
    <x v="0"/>
    <n v="1"/>
    <x v="2"/>
    <s v="Below College"/>
    <x v="3"/>
    <x v="1"/>
  </r>
  <r>
    <n v="53"/>
    <s v="No"/>
    <x v="0"/>
    <n v="1282"/>
    <x v="1"/>
    <n v="5"/>
    <n v="3"/>
    <s v="Other"/>
    <n v="32"/>
    <n v="3"/>
    <x v="0"/>
    <n v="58"/>
    <n v="3"/>
    <x v="4"/>
    <x v="5"/>
    <n v="3"/>
    <x v="2"/>
    <n v="19094"/>
    <n v="10735"/>
    <n v="4"/>
    <x v="1"/>
    <n v="11"/>
    <n v="3"/>
    <n v="4"/>
    <n v="1"/>
    <n v="26"/>
    <n v="3"/>
    <x v="2"/>
    <n v="14"/>
    <n v="13"/>
    <n v="4"/>
    <n v="8"/>
    <x v="1"/>
    <x v="0"/>
    <n v="0"/>
    <x v="0"/>
    <s v="Bachelor"/>
    <x v="2"/>
    <x v="2"/>
  </r>
  <r>
    <n v="32"/>
    <s v="Yes"/>
    <x v="1"/>
    <n v="1125"/>
    <x v="1"/>
    <n v="16"/>
    <n v="1"/>
    <s v="Life Sciences"/>
    <n v="33"/>
    <n v="2"/>
    <x v="0"/>
    <n v="72"/>
    <n v="1"/>
    <x v="1"/>
    <x v="1"/>
    <n v="1"/>
    <x v="0"/>
    <n v="3919"/>
    <n v="4681"/>
    <n v="1"/>
    <x v="0"/>
    <n v="22"/>
    <n v="4"/>
    <n v="2"/>
    <n v="0"/>
    <n v="10"/>
    <n v="5"/>
    <x v="1"/>
    <n v="10"/>
    <n v="2"/>
    <n v="6"/>
    <n v="7"/>
    <x v="2"/>
    <x v="3"/>
    <n v="1"/>
    <x v="1"/>
    <s v="Below College"/>
    <x v="3"/>
    <x v="1"/>
  </r>
  <r>
    <n v="42"/>
    <s v="No"/>
    <x v="0"/>
    <n v="691"/>
    <x v="0"/>
    <n v="8"/>
    <n v="4"/>
    <s v="Marketing"/>
    <n v="35"/>
    <n v="3"/>
    <x v="1"/>
    <n v="48"/>
    <n v="3"/>
    <x v="0"/>
    <x v="0"/>
    <n v="2"/>
    <x v="1"/>
    <n v="6825"/>
    <n v="21173"/>
    <n v="0"/>
    <x v="1"/>
    <n v="11"/>
    <n v="3"/>
    <n v="4"/>
    <n v="1"/>
    <n v="10"/>
    <n v="2"/>
    <x v="1"/>
    <n v="9"/>
    <n v="7"/>
    <n v="4"/>
    <n v="2"/>
    <x v="0"/>
    <x v="0"/>
    <n v="0"/>
    <x v="1"/>
    <s v="Master"/>
    <x v="1"/>
    <x v="1"/>
  </r>
  <r>
    <n v="44"/>
    <s v="No"/>
    <x v="0"/>
    <n v="477"/>
    <x v="1"/>
    <n v="7"/>
    <n v="4"/>
    <s v="Medical"/>
    <n v="36"/>
    <n v="1"/>
    <x v="0"/>
    <n v="42"/>
    <n v="2"/>
    <x v="2"/>
    <x v="4"/>
    <n v="4"/>
    <x v="1"/>
    <n v="10248"/>
    <n v="2094"/>
    <n v="3"/>
    <x v="1"/>
    <n v="14"/>
    <n v="3"/>
    <n v="4"/>
    <n v="1"/>
    <n v="24"/>
    <n v="4"/>
    <x v="1"/>
    <n v="22"/>
    <n v="6"/>
    <n v="5"/>
    <n v="17"/>
    <x v="0"/>
    <x v="1"/>
    <n v="0"/>
    <x v="3"/>
    <s v="Master"/>
    <x v="0"/>
    <x v="1"/>
  </r>
  <r>
    <n v="46"/>
    <s v="No"/>
    <x v="0"/>
    <n v="705"/>
    <x v="0"/>
    <n v="2"/>
    <n v="4"/>
    <s v="Marketing"/>
    <n v="38"/>
    <n v="2"/>
    <x v="0"/>
    <n v="83"/>
    <n v="3"/>
    <x v="4"/>
    <x v="5"/>
    <n v="1"/>
    <x v="0"/>
    <n v="18947"/>
    <n v="22822"/>
    <n v="3"/>
    <x v="1"/>
    <n v="12"/>
    <n v="3"/>
    <n v="4"/>
    <n v="0"/>
    <n v="22"/>
    <n v="2"/>
    <x v="2"/>
    <n v="2"/>
    <n v="2"/>
    <n v="2"/>
    <n v="1"/>
    <x v="1"/>
    <x v="0"/>
    <n v="0"/>
    <x v="0"/>
    <s v="Master"/>
    <x v="3"/>
    <x v="2"/>
  </r>
  <r>
    <n v="33"/>
    <s v="No"/>
    <x v="0"/>
    <n v="924"/>
    <x v="1"/>
    <n v="2"/>
    <n v="3"/>
    <s v="Medical"/>
    <n v="39"/>
    <n v="3"/>
    <x v="1"/>
    <n v="78"/>
    <n v="3"/>
    <x v="1"/>
    <x v="2"/>
    <n v="4"/>
    <x v="0"/>
    <n v="2496"/>
    <n v="6670"/>
    <n v="4"/>
    <x v="1"/>
    <n v="11"/>
    <n v="3"/>
    <n v="4"/>
    <n v="0"/>
    <n v="7"/>
    <n v="3"/>
    <x v="1"/>
    <n v="1"/>
    <n v="1"/>
    <n v="0"/>
    <n v="0"/>
    <x v="2"/>
    <x v="2"/>
    <n v="0"/>
    <x v="2"/>
    <s v="Bachelor"/>
    <x v="0"/>
    <x v="1"/>
  </r>
  <r>
    <n v="44"/>
    <s v="No"/>
    <x v="0"/>
    <n v="1459"/>
    <x v="1"/>
    <n v="10"/>
    <n v="4"/>
    <s v="Other"/>
    <n v="40"/>
    <n v="4"/>
    <x v="1"/>
    <n v="41"/>
    <n v="3"/>
    <x v="0"/>
    <x v="4"/>
    <n v="4"/>
    <x v="1"/>
    <n v="6465"/>
    <n v="19121"/>
    <n v="2"/>
    <x v="0"/>
    <n v="13"/>
    <n v="3"/>
    <n v="4"/>
    <n v="0"/>
    <n v="9"/>
    <n v="5"/>
    <x v="3"/>
    <n v="4"/>
    <n v="2"/>
    <n v="1"/>
    <n v="3"/>
    <x v="0"/>
    <x v="0"/>
    <n v="0"/>
    <x v="2"/>
    <s v="Master"/>
    <x v="0"/>
    <x v="3"/>
  </r>
  <r>
    <n v="30"/>
    <s v="No"/>
    <x v="0"/>
    <n v="125"/>
    <x v="1"/>
    <n v="9"/>
    <n v="2"/>
    <s v="Medical"/>
    <n v="41"/>
    <n v="4"/>
    <x v="1"/>
    <n v="83"/>
    <n v="2"/>
    <x v="1"/>
    <x v="2"/>
    <n v="3"/>
    <x v="0"/>
    <n v="2206"/>
    <n v="16117"/>
    <n v="1"/>
    <x v="1"/>
    <n v="13"/>
    <n v="3"/>
    <n v="1"/>
    <n v="0"/>
    <n v="10"/>
    <n v="5"/>
    <x v="1"/>
    <n v="10"/>
    <n v="0"/>
    <n v="1"/>
    <n v="8"/>
    <x v="2"/>
    <x v="0"/>
    <n v="0"/>
    <x v="1"/>
    <s v="College"/>
    <x v="2"/>
    <x v="1"/>
  </r>
  <r>
    <n v="39"/>
    <s v="Yes"/>
    <x v="0"/>
    <n v="895"/>
    <x v="0"/>
    <n v="5"/>
    <n v="3"/>
    <s v="Technical Degree"/>
    <n v="42"/>
    <n v="4"/>
    <x v="1"/>
    <n v="56"/>
    <n v="3"/>
    <x v="0"/>
    <x v="6"/>
    <n v="4"/>
    <x v="1"/>
    <n v="2086"/>
    <n v="3335"/>
    <n v="3"/>
    <x v="1"/>
    <n v="14"/>
    <n v="3"/>
    <n v="3"/>
    <n v="1"/>
    <n v="19"/>
    <n v="6"/>
    <x v="3"/>
    <n v="1"/>
    <n v="0"/>
    <n v="0"/>
    <n v="0"/>
    <x v="0"/>
    <x v="3"/>
    <n v="1"/>
    <x v="2"/>
    <s v="Bachelor"/>
    <x v="0"/>
    <x v="3"/>
  </r>
  <r>
    <n v="24"/>
    <s v="Yes"/>
    <x v="0"/>
    <n v="813"/>
    <x v="1"/>
    <n v="1"/>
    <n v="3"/>
    <s v="Medical"/>
    <n v="45"/>
    <n v="2"/>
    <x v="1"/>
    <n v="61"/>
    <n v="3"/>
    <x v="1"/>
    <x v="1"/>
    <n v="4"/>
    <x v="1"/>
    <n v="2293"/>
    <n v="3020"/>
    <n v="2"/>
    <x v="0"/>
    <n v="16"/>
    <n v="3"/>
    <n v="1"/>
    <n v="1"/>
    <n v="6"/>
    <n v="2"/>
    <x v="2"/>
    <n v="2"/>
    <n v="0"/>
    <n v="2"/>
    <n v="0"/>
    <x v="3"/>
    <x v="3"/>
    <n v="1"/>
    <x v="0"/>
    <s v="Bachelor"/>
    <x v="0"/>
    <x v="2"/>
  </r>
  <r>
    <n v="43"/>
    <s v="No"/>
    <x v="0"/>
    <n v="1273"/>
    <x v="1"/>
    <n v="2"/>
    <n v="2"/>
    <s v="Medical"/>
    <n v="46"/>
    <n v="4"/>
    <x v="0"/>
    <n v="72"/>
    <n v="4"/>
    <x v="1"/>
    <x v="1"/>
    <n v="3"/>
    <x v="2"/>
    <n v="2645"/>
    <n v="21923"/>
    <n v="1"/>
    <x v="1"/>
    <n v="12"/>
    <n v="3"/>
    <n v="4"/>
    <n v="2"/>
    <n v="6"/>
    <n v="3"/>
    <x v="2"/>
    <n v="5"/>
    <n v="3"/>
    <n v="1"/>
    <n v="4"/>
    <x v="0"/>
    <x v="0"/>
    <n v="0"/>
    <x v="0"/>
    <s v="College"/>
    <x v="2"/>
    <x v="2"/>
  </r>
  <r>
    <n v="50"/>
    <s v="Yes"/>
    <x v="0"/>
    <n v="869"/>
    <x v="0"/>
    <n v="3"/>
    <n v="2"/>
    <s v="Marketing"/>
    <n v="47"/>
    <n v="1"/>
    <x v="1"/>
    <n v="86"/>
    <n v="2"/>
    <x v="1"/>
    <x v="6"/>
    <n v="3"/>
    <x v="1"/>
    <n v="2683"/>
    <n v="3810"/>
    <n v="1"/>
    <x v="0"/>
    <n v="14"/>
    <n v="3"/>
    <n v="3"/>
    <n v="0"/>
    <n v="3"/>
    <n v="2"/>
    <x v="1"/>
    <n v="3"/>
    <n v="2"/>
    <n v="0"/>
    <n v="2"/>
    <x v="1"/>
    <x v="3"/>
    <n v="1"/>
    <x v="2"/>
    <s v="College"/>
    <x v="2"/>
    <x v="1"/>
  </r>
  <r>
    <n v="35"/>
    <s v="No"/>
    <x v="0"/>
    <n v="890"/>
    <x v="0"/>
    <n v="2"/>
    <n v="3"/>
    <s v="Marketing"/>
    <n v="49"/>
    <n v="4"/>
    <x v="0"/>
    <n v="97"/>
    <n v="3"/>
    <x v="1"/>
    <x v="6"/>
    <n v="4"/>
    <x v="1"/>
    <n v="2014"/>
    <n v="9687"/>
    <n v="1"/>
    <x v="1"/>
    <n v="13"/>
    <n v="3"/>
    <n v="1"/>
    <n v="0"/>
    <n v="2"/>
    <n v="3"/>
    <x v="1"/>
    <n v="2"/>
    <n v="2"/>
    <n v="2"/>
    <n v="2"/>
    <x v="2"/>
    <x v="2"/>
    <n v="0"/>
    <x v="2"/>
    <s v="Bachelor"/>
    <x v="0"/>
    <x v="1"/>
  </r>
  <r>
    <n v="36"/>
    <s v="No"/>
    <x v="0"/>
    <n v="852"/>
    <x v="1"/>
    <n v="5"/>
    <n v="4"/>
    <s v="Life Sciences"/>
    <n v="51"/>
    <n v="2"/>
    <x v="0"/>
    <n v="82"/>
    <n v="2"/>
    <x v="1"/>
    <x v="1"/>
    <n v="1"/>
    <x v="1"/>
    <n v="3419"/>
    <n v="13072"/>
    <n v="9"/>
    <x v="0"/>
    <n v="14"/>
    <n v="3"/>
    <n v="4"/>
    <n v="1"/>
    <n v="6"/>
    <n v="3"/>
    <x v="3"/>
    <n v="1"/>
    <n v="1"/>
    <n v="0"/>
    <n v="0"/>
    <x v="0"/>
    <x v="0"/>
    <n v="0"/>
    <x v="2"/>
    <s v="Master"/>
    <x v="3"/>
    <x v="3"/>
  </r>
  <r>
    <n v="33"/>
    <s v="No"/>
    <x v="1"/>
    <n v="1141"/>
    <x v="0"/>
    <n v="1"/>
    <n v="3"/>
    <s v="Life Sciences"/>
    <n v="52"/>
    <n v="3"/>
    <x v="0"/>
    <n v="42"/>
    <n v="4"/>
    <x v="0"/>
    <x v="0"/>
    <n v="1"/>
    <x v="1"/>
    <n v="5376"/>
    <n v="3193"/>
    <n v="2"/>
    <x v="1"/>
    <n v="19"/>
    <n v="3"/>
    <n v="1"/>
    <n v="2"/>
    <n v="10"/>
    <n v="3"/>
    <x v="1"/>
    <n v="5"/>
    <n v="3"/>
    <n v="1"/>
    <n v="3"/>
    <x v="2"/>
    <x v="3"/>
    <n v="0"/>
    <x v="2"/>
    <s v="Bachelor"/>
    <x v="3"/>
    <x v="1"/>
  </r>
  <r>
    <n v="35"/>
    <s v="No"/>
    <x v="0"/>
    <n v="464"/>
    <x v="1"/>
    <n v="4"/>
    <n v="2"/>
    <s v="Other"/>
    <n v="53"/>
    <n v="3"/>
    <x v="1"/>
    <n v="75"/>
    <n v="3"/>
    <x v="1"/>
    <x v="2"/>
    <n v="4"/>
    <x v="2"/>
    <n v="1951"/>
    <n v="10910"/>
    <n v="1"/>
    <x v="1"/>
    <n v="12"/>
    <n v="3"/>
    <n v="3"/>
    <n v="1"/>
    <n v="1"/>
    <n v="3"/>
    <x v="1"/>
    <n v="1"/>
    <n v="0"/>
    <n v="0"/>
    <n v="0"/>
    <x v="2"/>
    <x v="0"/>
    <n v="0"/>
    <x v="2"/>
    <s v="College"/>
    <x v="0"/>
    <x v="1"/>
  </r>
  <r>
    <n v="27"/>
    <s v="No"/>
    <x v="0"/>
    <n v="1240"/>
    <x v="1"/>
    <n v="2"/>
    <n v="4"/>
    <s v="Life Sciences"/>
    <n v="54"/>
    <n v="4"/>
    <x v="0"/>
    <n v="33"/>
    <n v="3"/>
    <x v="1"/>
    <x v="2"/>
    <n v="1"/>
    <x v="2"/>
    <n v="2341"/>
    <n v="19715"/>
    <n v="1"/>
    <x v="1"/>
    <n v="13"/>
    <n v="3"/>
    <n v="4"/>
    <n v="1"/>
    <n v="1"/>
    <n v="6"/>
    <x v="1"/>
    <n v="1"/>
    <n v="0"/>
    <n v="0"/>
    <n v="0"/>
    <x v="2"/>
    <x v="0"/>
    <n v="0"/>
    <x v="2"/>
    <s v="Master"/>
    <x v="3"/>
    <x v="1"/>
  </r>
  <r>
    <n v="26"/>
    <s v="Yes"/>
    <x v="0"/>
    <n v="1357"/>
    <x v="1"/>
    <n v="25"/>
    <n v="3"/>
    <s v="Life Sciences"/>
    <n v="55"/>
    <n v="1"/>
    <x v="1"/>
    <n v="48"/>
    <n v="1"/>
    <x v="1"/>
    <x v="2"/>
    <n v="3"/>
    <x v="0"/>
    <n v="2293"/>
    <n v="10558"/>
    <n v="1"/>
    <x v="1"/>
    <n v="12"/>
    <n v="3"/>
    <n v="3"/>
    <n v="0"/>
    <n v="1"/>
    <n v="2"/>
    <x v="2"/>
    <n v="1"/>
    <n v="0"/>
    <n v="0"/>
    <n v="1"/>
    <x v="2"/>
    <x v="0"/>
    <n v="1"/>
    <x v="0"/>
    <s v="Bachelor"/>
    <x v="2"/>
    <x v="2"/>
  </r>
  <r>
    <n v="27"/>
    <s v="No"/>
    <x v="1"/>
    <n v="994"/>
    <x v="0"/>
    <n v="8"/>
    <n v="3"/>
    <s v="Life Sciences"/>
    <n v="56"/>
    <n v="4"/>
    <x v="1"/>
    <n v="37"/>
    <n v="3"/>
    <x v="2"/>
    <x v="0"/>
    <n v="3"/>
    <x v="0"/>
    <n v="8726"/>
    <n v="2975"/>
    <n v="1"/>
    <x v="1"/>
    <n v="15"/>
    <n v="3"/>
    <n v="4"/>
    <n v="0"/>
    <n v="9"/>
    <n v="0"/>
    <x v="1"/>
    <n v="9"/>
    <n v="8"/>
    <n v="1"/>
    <n v="7"/>
    <x v="2"/>
    <x v="1"/>
    <n v="0"/>
    <x v="1"/>
    <s v="Bachelor"/>
    <x v="2"/>
    <x v="1"/>
  </r>
  <r>
    <n v="30"/>
    <s v="No"/>
    <x v="1"/>
    <n v="721"/>
    <x v="1"/>
    <n v="1"/>
    <n v="2"/>
    <s v="Medical"/>
    <n v="57"/>
    <n v="3"/>
    <x v="0"/>
    <n v="58"/>
    <n v="3"/>
    <x v="0"/>
    <x v="2"/>
    <n v="4"/>
    <x v="0"/>
    <n v="4011"/>
    <n v="10781"/>
    <n v="1"/>
    <x v="1"/>
    <n v="23"/>
    <n v="4"/>
    <n v="4"/>
    <n v="0"/>
    <n v="12"/>
    <n v="2"/>
    <x v="1"/>
    <n v="12"/>
    <n v="8"/>
    <n v="3"/>
    <n v="7"/>
    <x v="2"/>
    <x v="0"/>
    <n v="0"/>
    <x v="3"/>
    <s v="College"/>
    <x v="0"/>
    <x v="1"/>
  </r>
  <r>
    <n v="41"/>
    <s v="Yes"/>
    <x v="0"/>
    <n v="1360"/>
    <x v="1"/>
    <n v="12"/>
    <n v="3"/>
    <s v="Technical Degree"/>
    <n v="58"/>
    <n v="2"/>
    <x v="0"/>
    <n v="49"/>
    <n v="3"/>
    <x v="4"/>
    <x v="7"/>
    <n v="3"/>
    <x v="1"/>
    <n v="19545"/>
    <n v="16280"/>
    <n v="1"/>
    <x v="1"/>
    <n v="12"/>
    <n v="3"/>
    <n v="4"/>
    <n v="0"/>
    <n v="23"/>
    <n v="0"/>
    <x v="1"/>
    <n v="22"/>
    <n v="15"/>
    <n v="15"/>
    <n v="8"/>
    <x v="0"/>
    <x v="0"/>
    <n v="1"/>
    <x v="3"/>
    <s v="Bachelor"/>
    <x v="2"/>
    <x v="1"/>
  </r>
  <r>
    <n v="34"/>
    <s v="No"/>
    <x v="2"/>
    <n v="1065"/>
    <x v="0"/>
    <n v="23"/>
    <n v="4"/>
    <s v="Marketing"/>
    <n v="60"/>
    <n v="2"/>
    <x v="1"/>
    <n v="72"/>
    <n v="3"/>
    <x v="0"/>
    <x v="0"/>
    <n v="3"/>
    <x v="0"/>
    <n v="4568"/>
    <n v="10034"/>
    <n v="0"/>
    <x v="1"/>
    <n v="20"/>
    <n v="4"/>
    <n v="3"/>
    <n v="0"/>
    <n v="10"/>
    <n v="2"/>
    <x v="1"/>
    <n v="9"/>
    <n v="5"/>
    <n v="8"/>
    <n v="7"/>
    <x v="2"/>
    <x v="0"/>
    <n v="0"/>
    <x v="1"/>
    <s v="Master"/>
    <x v="2"/>
    <x v="1"/>
  </r>
  <r>
    <n v="37"/>
    <s v="No"/>
    <x v="0"/>
    <n v="408"/>
    <x v="1"/>
    <n v="19"/>
    <n v="2"/>
    <s v="Life Sciences"/>
    <n v="61"/>
    <n v="2"/>
    <x v="1"/>
    <n v="73"/>
    <n v="3"/>
    <x v="1"/>
    <x v="1"/>
    <n v="2"/>
    <x v="1"/>
    <n v="3022"/>
    <n v="10227"/>
    <n v="4"/>
    <x v="1"/>
    <n v="21"/>
    <n v="4"/>
    <n v="1"/>
    <n v="0"/>
    <n v="8"/>
    <n v="1"/>
    <x v="1"/>
    <n v="1"/>
    <n v="0"/>
    <n v="0"/>
    <n v="0"/>
    <x v="0"/>
    <x v="0"/>
    <n v="0"/>
    <x v="2"/>
    <s v="College"/>
    <x v="1"/>
    <x v="1"/>
  </r>
  <r>
    <n v="46"/>
    <s v="No"/>
    <x v="1"/>
    <n v="1211"/>
    <x v="0"/>
    <n v="5"/>
    <n v="4"/>
    <s v="Marketing"/>
    <n v="62"/>
    <n v="1"/>
    <x v="1"/>
    <n v="98"/>
    <n v="3"/>
    <x v="0"/>
    <x v="0"/>
    <n v="4"/>
    <x v="0"/>
    <n v="5772"/>
    <n v="20445"/>
    <n v="4"/>
    <x v="0"/>
    <n v="21"/>
    <n v="4"/>
    <n v="3"/>
    <n v="0"/>
    <n v="14"/>
    <n v="4"/>
    <x v="1"/>
    <n v="9"/>
    <n v="6"/>
    <n v="0"/>
    <n v="8"/>
    <x v="1"/>
    <x v="0"/>
    <n v="0"/>
    <x v="1"/>
    <s v="Master"/>
    <x v="0"/>
    <x v="1"/>
  </r>
  <r>
    <n v="35"/>
    <s v="No"/>
    <x v="0"/>
    <n v="1229"/>
    <x v="1"/>
    <n v="8"/>
    <n v="1"/>
    <s v="Life Sciences"/>
    <n v="63"/>
    <n v="4"/>
    <x v="1"/>
    <n v="36"/>
    <n v="4"/>
    <x v="1"/>
    <x v="2"/>
    <n v="4"/>
    <x v="1"/>
    <n v="2269"/>
    <n v="4892"/>
    <n v="1"/>
    <x v="1"/>
    <n v="19"/>
    <n v="3"/>
    <n v="4"/>
    <n v="0"/>
    <n v="1"/>
    <n v="2"/>
    <x v="1"/>
    <n v="1"/>
    <n v="0"/>
    <n v="0"/>
    <n v="1"/>
    <x v="2"/>
    <x v="3"/>
    <n v="0"/>
    <x v="2"/>
    <s v="Below College"/>
    <x v="0"/>
    <x v="1"/>
  </r>
  <r>
    <n v="48"/>
    <s v="Yes"/>
    <x v="0"/>
    <n v="626"/>
    <x v="1"/>
    <n v="1"/>
    <n v="2"/>
    <s v="Life Sciences"/>
    <n v="64"/>
    <n v="1"/>
    <x v="1"/>
    <n v="98"/>
    <n v="2"/>
    <x v="2"/>
    <x v="2"/>
    <n v="3"/>
    <x v="0"/>
    <n v="5381"/>
    <n v="19294"/>
    <n v="9"/>
    <x v="0"/>
    <n v="13"/>
    <n v="3"/>
    <n v="4"/>
    <n v="0"/>
    <n v="23"/>
    <n v="2"/>
    <x v="1"/>
    <n v="1"/>
    <n v="0"/>
    <n v="0"/>
    <n v="0"/>
    <x v="1"/>
    <x v="0"/>
    <n v="1"/>
    <x v="2"/>
    <s v="College"/>
    <x v="2"/>
    <x v="1"/>
  </r>
  <r>
    <n v="28"/>
    <s v="Yes"/>
    <x v="0"/>
    <n v="1434"/>
    <x v="1"/>
    <n v="5"/>
    <n v="4"/>
    <s v="Technical Degree"/>
    <n v="65"/>
    <n v="3"/>
    <x v="1"/>
    <n v="50"/>
    <n v="3"/>
    <x v="1"/>
    <x v="2"/>
    <n v="3"/>
    <x v="0"/>
    <n v="3441"/>
    <n v="11179"/>
    <n v="1"/>
    <x v="0"/>
    <n v="13"/>
    <n v="3"/>
    <n v="3"/>
    <n v="0"/>
    <n v="2"/>
    <n v="3"/>
    <x v="2"/>
    <n v="2"/>
    <n v="2"/>
    <n v="2"/>
    <n v="2"/>
    <x v="2"/>
    <x v="0"/>
    <n v="1"/>
    <x v="0"/>
    <s v="Master"/>
    <x v="2"/>
    <x v="2"/>
  </r>
  <r>
    <n v="44"/>
    <s v="No"/>
    <x v="0"/>
    <n v="1488"/>
    <x v="0"/>
    <n v="1"/>
    <n v="5"/>
    <s v="Marketing"/>
    <n v="68"/>
    <n v="2"/>
    <x v="0"/>
    <n v="75"/>
    <n v="3"/>
    <x v="0"/>
    <x v="0"/>
    <n v="1"/>
    <x v="2"/>
    <n v="5454"/>
    <n v="4009"/>
    <n v="5"/>
    <x v="0"/>
    <n v="21"/>
    <n v="4"/>
    <n v="3"/>
    <n v="1"/>
    <n v="9"/>
    <n v="2"/>
    <x v="2"/>
    <n v="4"/>
    <n v="3"/>
    <n v="1"/>
    <n v="3"/>
    <x v="0"/>
    <x v="3"/>
    <n v="0"/>
    <x v="0"/>
    <s v="Doctor"/>
    <x v="3"/>
    <x v="2"/>
  </r>
  <r>
    <n v="35"/>
    <s v="No"/>
    <x v="2"/>
    <n v="1097"/>
    <x v="1"/>
    <n v="11"/>
    <n v="2"/>
    <s v="Medical"/>
    <n v="70"/>
    <n v="3"/>
    <x v="1"/>
    <n v="79"/>
    <n v="2"/>
    <x v="2"/>
    <x v="4"/>
    <n v="1"/>
    <x v="1"/>
    <n v="9884"/>
    <n v="8302"/>
    <n v="2"/>
    <x v="0"/>
    <n v="13"/>
    <n v="3"/>
    <n v="3"/>
    <n v="1"/>
    <n v="10"/>
    <n v="3"/>
    <x v="1"/>
    <n v="4"/>
    <n v="0"/>
    <n v="2"/>
    <n v="3"/>
    <x v="2"/>
    <x v="2"/>
    <n v="0"/>
    <x v="2"/>
    <s v="College"/>
    <x v="3"/>
    <x v="1"/>
  </r>
  <r>
    <n v="26"/>
    <s v="No"/>
    <x v="0"/>
    <n v="1443"/>
    <x v="0"/>
    <n v="23"/>
    <n v="3"/>
    <s v="Marketing"/>
    <n v="72"/>
    <n v="3"/>
    <x v="0"/>
    <n v="47"/>
    <n v="2"/>
    <x v="0"/>
    <x v="0"/>
    <n v="4"/>
    <x v="1"/>
    <n v="4157"/>
    <n v="21436"/>
    <n v="7"/>
    <x v="0"/>
    <n v="19"/>
    <n v="3"/>
    <n v="3"/>
    <n v="1"/>
    <n v="5"/>
    <n v="2"/>
    <x v="2"/>
    <n v="2"/>
    <n v="2"/>
    <n v="0"/>
    <n v="0"/>
    <x v="2"/>
    <x v="0"/>
    <n v="0"/>
    <x v="0"/>
    <s v="Bachelor"/>
    <x v="0"/>
    <x v="2"/>
  </r>
  <r>
    <n v="33"/>
    <s v="No"/>
    <x v="1"/>
    <n v="515"/>
    <x v="1"/>
    <n v="1"/>
    <n v="2"/>
    <s v="Life Sciences"/>
    <n v="73"/>
    <n v="1"/>
    <x v="0"/>
    <n v="98"/>
    <n v="3"/>
    <x v="2"/>
    <x v="7"/>
    <n v="4"/>
    <x v="0"/>
    <n v="13458"/>
    <n v="15146"/>
    <n v="1"/>
    <x v="0"/>
    <n v="12"/>
    <n v="3"/>
    <n v="3"/>
    <n v="0"/>
    <n v="15"/>
    <n v="1"/>
    <x v="1"/>
    <n v="15"/>
    <n v="14"/>
    <n v="8"/>
    <n v="12"/>
    <x v="2"/>
    <x v="0"/>
    <n v="0"/>
    <x v="3"/>
    <s v="College"/>
    <x v="0"/>
    <x v="1"/>
  </r>
  <r>
    <n v="35"/>
    <s v="No"/>
    <x v="1"/>
    <n v="853"/>
    <x v="0"/>
    <n v="18"/>
    <n v="5"/>
    <s v="Life Sciences"/>
    <n v="74"/>
    <n v="2"/>
    <x v="1"/>
    <n v="71"/>
    <n v="3"/>
    <x v="2"/>
    <x v="0"/>
    <n v="1"/>
    <x v="1"/>
    <n v="9069"/>
    <n v="11031"/>
    <n v="1"/>
    <x v="1"/>
    <n v="22"/>
    <n v="4"/>
    <n v="4"/>
    <n v="1"/>
    <n v="9"/>
    <n v="3"/>
    <x v="2"/>
    <n v="9"/>
    <n v="8"/>
    <n v="1"/>
    <n v="8"/>
    <x v="2"/>
    <x v="0"/>
    <n v="0"/>
    <x v="0"/>
    <s v="Doctor"/>
    <x v="3"/>
    <x v="2"/>
  </r>
  <r>
    <n v="35"/>
    <s v="No"/>
    <x v="0"/>
    <n v="1142"/>
    <x v="1"/>
    <n v="23"/>
    <n v="4"/>
    <s v="Medical"/>
    <n v="75"/>
    <n v="3"/>
    <x v="0"/>
    <n v="30"/>
    <n v="3"/>
    <x v="1"/>
    <x v="2"/>
    <n v="1"/>
    <x v="1"/>
    <n v="4014"/>
    <n v="16002"/>
    <n v="3"/>
    <x v="0"/>
    <n v="15"/>
    <n v="3"/>
    <n v="3"/>
    <n v="1"/>
    <n v="4"/>
    <n v="3"/>
    <x v="1"/>
    <n v="2"/>
    <n v="2"/>
    <n v="2"/>
    <n v="2"/>
    <x v="2"/>
    <x v="0"/>
    <n v="0"/>
    <x v="2"/>
    <s v="Master"/>
    <x v="3"/>
    <x v="1"/>
  </r>
  <r>
    <n v="31"/>
    <s v="No"/>
    <x v="0"/>
    <n v="655"/>
    <x v="1"/>
    <n v="7"/>
    <n v="4"/>
    <s v="Life Sciences"/>
    <n v="76"/>
    <n v="4"/>
    <x v="1"/>
    <n v="48"/>
    <n v="3"/>
    <x v="0"/>
    <x v="2"/>
    <n v="4"/>
    <x v="2"/>
    <n v="5915"/>
    <n v="9528"/>
    <n v="3"/>
    <x v="1"/>
    <n v="22"/>
    <n v="4"/>
    <n v="4"/>
    <n v="1"/>
    <n v="10"/>
    <n v="3"/>
    <x v="2"/>
    <n v="7"/>
    <n v="7"/>
    <n v="1"/>
    <n v="7"/>
    <x v="2"/>
    <x v="2"/>
    <n v="0"/>
    <x v="0"/>
    <s v="Master"/>
    <x v="0"/>
    <x v="2"/>
  </r>
  <r>
    <n v="37"/>
    <s v="No"/>
    <x v="0"/>
    <n v="1115"/>
    <x v="1"/>
    <n v="1"/>
    <n v="4"/>
    <s v="Life Sciences"/>
    <n v="77"/>
    <n v="1"/>
    <x v="1"/>
    <n v="51"/>
    <n v="2"/>
    <x v="0"/>
    <x v="3"/>
    <n v="3"/>
    <x v="2"/>
    <n v="5993"/>
    <n v="2689"/>
    <n v="1"/>
    <x v="1"/>
    <n v="18"/>
    <n v="3"/>
    <n v="3"/>
    <n v="1"/>
    <n v="7"/>
    <n v="2"/>
    <x v="3"/>
    <n v="7"/>
    <n v="5"/>
    <n v="0"/>
    <n v="7"/>
    <x v="0"/>
    <x v="1"/>
    <n v="0"/>
    <x v="1"/>
    <s v="Master"/>
    <x v="2"/>
    <x v="3"/>
  </r>
  <r>
    <n v="32"/>
    <s v="No"/>
    <x v="0"/>
    <n v="427"/>
    <x v="1"/>
    <n v="1"/>
    <n v="3"/>
    <s v="Medical"/>
    <n v="78"/>
    <n v="1"/>
    <x v="1"/>
    <n v="33"/>
    <n v="3"/>
    <x v="0"/>
    <x v="3"/>
    <n v="4"/>
    <x v="1"/>
    <n v="6162"/>
    <n v="10877"/>
    <n v="1"/>
    <x v="0"/>
    <n v="22"/>
    <n v="4"/>
    <n v="2"/>
    <n v="1"/>
    <n v="9"/>
    <n v="3"/>
    <x v="1"/>
    <n v="9"/>
    <n v="8"/>
    <n v="7"/>
    <n v="8"/>
    <x v="2"/>
    <x v="0"/>
    <n v="0"/>
    <x v="1"/>
    <s v="Bachelor"/>
    <x v="0"/>
    <x v="1"/>
  </r>
  <r>
    <n v="38"/>
    <s v="No"/>
    <x v="1"/>
    <n v="653"/>
    <x v="1"/>
    <n v="29"/>
    <n v="5"/>
    <s v="Life Sciences"/>
    <n v="79"/>
    <n v="4"/>
    <x v="0"/>
    <n v="50"/>
    <n v="3"/>
    <x v="0"/>
    <x v="2"/>
    <n v="4"/>
    <x v="0"/>
    <n v="2406"/>
    <n v="5456"/>
    <n v="1"/>
    <x v="1"/>
    <n v="11"/>
    <n v="3"/>
    <n v="4"/>
    <n v="0"/>
    <n v="10"/>
    <n v="2"/>
    <x v="1"/>
    <n v="10"/>
    <n v="3"/>
    <n v="9"/>
    <n v="9"/>
    <x v="0"/>
    <x v="3"/>
    <n v="0"/>
    <x v="1"/>
    <s v="Doctor"/>
    <x v="0"/>
    <x v="1"/>
  </r>
  <r>
    <n v="50"/>
    <s v="No"/>
    <x v="0"/>
    <n v="989"/>
    <x v="1"/>
    <n v="7"/>
    <n v="2"/>
    <s v="Medical"/>
    <n v="80"/>
    <n v="2"/>
    <x v="0"/>
    <n v="43"/>
    <n v="2"/>
    <x v="4"/>
    <x v="7"/>
    <n v="3"/>
    <x v="2"/>
    <n v="18740"/>
    <n v="16701"/>
    <n v="5"/>
    <x v="0"/>
    <n v="12"/>
    <n v="3"/>
    <n v="4"/>
    <n v="1"/>
    <n v="29"/>
    <n v="2"/>
    <x v="2"/>
    <n v="27"/>
    <n v="3"/>
    <n v="13"/>
    <n v="8"/>
    <x v="1"/>
    <x v="0"/>
    <n v="0"/>
    <x v="0"/>
    <s v="College"/>
    <x v="2"/>
    <x v="2"/>
  </r>
  <r>
    <n v="59"/>
    <s v="No"/>
    <x v="0"/>
    <n v="1435"/>
    <x v="0"/>
    <n v="25"/>
    <n v="3"/>
    <s v="Life Sciences"/>
    <n v="81"/>
    <n v="1"/>
    <x v="0"/>
    <n v="99"/>
    <n v="3"/>
    <x v="2"/>
    <x v="0"/>
    <n v="1"/>
    <x v="0"/>
    <n v="7637"/>
    <n v="2354"/>
    <n v="7"/>
    <x v="1"/>
    <n v="11"/>
    <n v="3"/>
    <n v="4"/>
    <n v="0"/>
    <n v="28"/>
    <n v="3"/>
    <x v="2"/>
    <n v="21"/>
    <n v="16"/>
    <n v="7"/>
    <n v="9"/>
    <x v="1"/>
    <x v="1"/>
    <n v="0"/>
    <x v="0"/>
    <s v="Bachelor"/>
    <x v="3"/>
    <x v="2"/>
  </r>
  <r>
    <n v="36"/>
    <s v="No"/>
    <x v="0"/>
    <n v="1223"/>
    <x v="1"/>
    <n v="8"/>
    <n v="3"/>
    <s v="Technical Degree"/>
    <n v="83"/>
    <n v="3"/>
    <x v="0"/>
    <n v="59"/>
    <n v="3"/>
    <x v="2"/>
    <x v="4"/>
    <n v="3"/>
    <x v="2"/>
    <n v="10096"/>
    <n v="8202"/>
    <n v="1"/>
    <x v="1"/>
    <n v="13"/>
    <n v="3"/>
    <n v="2"/>
    <n v="3"/>
    <n v="17"/>
    <n v="2"/>
    <x v="1"/>
    <n v="17"/>
    <n v="14"/>
    <n v="12"/>
    <n v="8"/>
    <x v="0"/>
    <x v="2"/>
    <n v="0"/>
    <x v="3"/>
    <s v="Bachelor"/>
    <x v="2"/>
    <x v="1"/>
  </r>
  <r>
    <n v="55"/>
    <s v="No"/>
    <x v="0"/>
    <n v="836"/>
    <x v="1"/>
    <n v="8"/>
    <n v="3"/>
    <s v="Medical"/>
    <n v="84"/>
    <n v="4"/>
    <x v="0"/>
    <n v="33"/>
    <n v="3"/>
    <x v="3"/>
    <x v="5"/>
    <n v="3"/>
    <x v="2"/>
    <n v="14756"/>
    <n v="19730"/>
    <n v="2"/>
    <x v="0"/>
    <n v="14"/>
    <n v="3"/>
    <n v="3"/>
    <n v="3"/>
    <n v="21"/>
    <n v="2"/>
    <x v="1"/>
    <n v="5"/>
    <n v="0"/>
    <n v="0"/>
    <n v="2"/>
    <x v="1"/>
    <x v="0"/>
    <n v="0"/>
    <x v="2"/>
    <s v="Bachelor"/>
    <x v="2"/>
    <x v="1"/>
  </r>
  <r>
    <n v="36"/>
    <s v="No"/>
    <x v="1"/>
    <n v="1195"/>
    <x v="1"/>
    <n v="11"/>
    <n v="3"/>
    <s v="Life Sciences"/>
    <n v="85"/>
    <n v="2"/>
    <x v="1"/>
    <n v="95"/>
    <n v="2"/>
    <x v="0"/>
    <x v="3"/>
    <n v="2"/>
    <x v="0"/>
    <n v="6499"/>
    <n v="22656"/>
    <n v="1"/>
    <x v="1"/>
    <n v="13"/>
    <n v="3"/>
    <n v="3"/>
    <n v="0"/>
    <n v="6"/>
    <n v="3"/>
    <x v="1"/>
    <n v="6"/>
    <n v="5"/>
    <n v="0"/>
    <n v="3"/>
    <x v="0"/>
    <x v="0"/>
    <n v="0"/>
    <x v="1"/>
    <s v="Bachelor"/>
    <x v="1"/>
    <x v="1"/>
  </r>
  <r>
    <n v="45"/>
    <s v="No"/>
    <x v="0"/>
    <n v="1339"/>
    <x v="1"/>
    <n v="7"/>
    <n v="3"/>
    <s v="Life Sciences"/>
    <n v="86"/>
    <n v="2"/>
    <x v="1"/>
    <n v="59"/>
    <n v="3"/>
    <x v="2"/>
    <x v="1"/>
    <n v="1"/>
    <x v="2"/>
    <n v="9724"/>
    <n v="18787"/>
    <n v="2"/>
    <x v="1"/>
    <n v="17"/>
    <n v="3"/>
    <n v="3"/>
    <n v="1"/>
    <n v="25"/>
    <n v="2"/>
    <x v="1"/>
    <n v="1"/>
    <n v="0"/>
    <n v="0"/>
    <n v="0"/>
    <x v="0"/>
    <x v="0"/>
    <n v="0"/>
    <x v="2"/>
    <s v="Bachelor"/>
    <x v="3"/>
    <x v="1"/>
  </r>
  <r>
    <n v="35"/>
    <s v="No"/>
    <x v="1"/>
    <n v="664"/>
    <x v="1"/>
    <n v="1"/>
    <n v="3"/>
    <s v="Medical"/>
    <n v="88"/>
    <n v="2"/>
    <x v="1"/>
    <n v="79"/>
    <n v="3"/>
    <x v="1"/>
    <x v="1"/>
    <n v="1"/>
    <x v="1"/>
    <n v="2194"/>
    <n v="5868"/>
    <n v="4"/>
    <x v="1"/>
    <n v="13"/>
    <n v="3"/>
    <n v="4"/>
    <n v="1"/>
    <n v="5"/>
    <n v="2"/>
    <x v="2"/>
    <n v="3"/>
    <n v="2"/>
    <n v="1"/>
    <n v="2"/>
    <x v="2"/>
    <x v="3"/>
    <n v="0"/>
    <x v="0"/>
    <s v="Bachelor"/>
    <x v="3"/>
    <x v="2"/>
  </r>
  <r>
    <n v="36"/>
    <s v="Yes"/>
    <x v="0"/>
    <n v="318"/>
    <x v="1"/>
    <n v="9"/>
    <n v="3"/>
    <s v="Medical"/>
    <n v="90"/>
    <n v="4"/>
    <x v="1"/>
    <n v="79"/>
    <n v="2"/>
    <x v="1"/>
    <x v="1"/>
    <n v="3"/>
    <x v="1"/>
    <n v="3388"/>
    <n v="21777"/>
    <n v="0"/>
    <x v="0"/>
    <n v="17"/>
    <n v="3"/>
    <n v="1"/>
    <n v="1"/>
    <n v="2"/>
    <n v="0"/>
    <x v="2"/>
    <n v="1"/>
    <n v="0"/>
    <n v="0"/>
    <n v="0"/>
    <x v="0"/>
    <x v="0"/>
    <n v="1"/>
    <x v="0"/>
    <s v="Bachelor"/>
    <x v="2"/>
    <x v="2"/>
  </r>
  <r>
    <n v="59"/>
    <s v="No"/>
    <x v="1"/>
    <n v="1225"/>
    <x v="0"/>
    <n v="1"/>
    <n v="1"/>
    <s v="Life Sciences"/>
    <n v="91"/>
    <n v="1"/>
    <x v="0"/>
    <n v="57"/>
    <n v="2"/>
    <x v="0"/>
    <x v="0"/>
    <n v="3"/>
    <x v="0"/>
    <n v="5473"/>
    <n v="24668"/>
    <n v="7"/>
    <x v="1"/>
    <n v="11"/>
    <n v="3"/>
    <n v="4"/>
    <n v="0"/>
    <n v="20"/>
    <n v="2"/>
    <x v="2"/>
    <n v="4"/>
    <n v="3"/>
    <n v="1"/>
    <n v="3"/>
    <x v="1"/>
    <x v="0"/>
    <n v="0"/>
    <x v="0"/>
    <s v="Below College"/>
    <x v="2"/>
    <x v="2"/>
  </r>
  <r>
    <n v="29"/>
    <s v="No"/>
    <x v="0"/>
    <n v="1328"/>
    <x v="1"/>
    <n v="2"/>
    <n v="3"/>
    <s v="Life Sciences"/>
    <n v="94"/>
    <n v="3"/>
    <x v="1"/>
    <n v="76"/>
    <n v="3"/>
    <x v="1"/>
    <x v="1"/>
    <n v="2"/>
    <x v="1"/>
    <n v="2703"/>
    <n v="4956"/>
    <n v="0"/>
    <x v="1"/>
    <n v="23"/>
    <n v="4"/>
    <n v="4"/>
    <n v="1"/>
    <n v="6"/>
    <n v="3"/>
    <x v="1"/>
    <n v="5"/>
    <n v="4"/>
    <n v="0"/>
    <n v="4"/>
    <x v="2"/>
    <x v="3"/>
    <n v="0"/>
    <x v="2"/>
    <s v="Bachelor"/>
    <x v="1"/>
    <x v="1"/>
  </r>
  <r>
    <n v="31"/>
    <s v="No"/>
    <x v="0"/>
    <n v="1082"/>
    <x v="1"/>
    <n v="1"/>
    <n v="4"/>
    <s v="Medical"/>
    <n v="95"/>
    <n v="3"/>
    <x v="1"/>
    <n v="87"/>
    <n v="3"/>
    <x v="1"/>
    <x v="1"/>
    <n v="2"/>
    <x v="0"/>
    <n v="2501"/>
    <n v="18775"/>
    <n v="1"/>
    <x v="1"/>
    <n v="17"/>
    <n v="3"/>
    <n v="2"/>
    <n v="0"/>
    <n v="1"/>
    <n v="4"/>
    <x v="1"/>
    <n v="1"/>
    <n v="1"/>
    <n v="1"/>
    <n v="0"/>
    <x v="2"/>
    <x v="0"/>
    <n v="0"/>
    <x v="2"/>
    <s v="Master"/>
    <x v="1"/>
    <x v="1"/>
  </r>
  <r>
    <n v="32"/>
    <s v="No"/>
    <x v="0"/>
    <n v="548"/>
    <x v="1"/>
    <n v="1"/>
    <n v="3"/>
    <s v="Life Sciences"/>
    <n v="96"/>
    <n v="2"/>
    <x v="1"/>
    <n v="66"/>
    <n v="3"/>
    <x v="0"/>
    <x v="1"/>
    <n v="2"/>
    <x v="1"/>
    <n v="6220"/>
    <n v="7346"/>
    <n v="1"/>
    <x v="1"/>
    <n v="17"/>
    <n v="3"/>
    <n v="2"/>
    <n v="2"/>
    <n v="10"/>
    <n v="3"/>
    <x v="1"/>
    <n v="10"/>
    <n v="4"/>
    <n v="0"/>
    <n v="9"/>
    <x v="2"/>
    <x v="2"/>
    <n v="0"/>
    <x v="1"/>
    <s v="Bachelor"/>
    <x v="1"/>
    <x v="1"/>
  </r>
  <r>
    <n v="36"/>
    <s v="No"/>
    <x v="0"/>
    <n v="132"/>
    <x v="1"/>
    <n v="6"/>
    <n v="3"/>
    <s v="Life Sciences"/>
    <n v="97"/>
    <n v="2"/>
    <x v="0"/>
    <n v="55"/>
    <n v="4"/>
    <x v="1"/>
    <x v="2"/>
    <n v="4"/>
    <x v="1"/>
    <n v="3038"/>
    <n v="22002"/>
    <n v="3"/>
    <x v="1"/>
    <n v="12"/>
    <n v="3"/>
    <n v="2"/>
    <n v="0"/>
    <n v="5"/>
    <n v="3"/>
    <x v="1"/>
    <n v="1"/>
    <n v="0"/>
    <n v="0"/>
    <n v="0"/>
    <x v="0"/>
    <x v="0"/>
    <n v="0"/>
    <x v="2"/>
    <s v="Bachelor"/>
    <x v="0"/>
    <x v="1"/>
  </r>
  <r>
    <n v="31"/>
    <s v="No"/>
    <x v="0"/>
    <n v="746"/>
    <x v="1"/>
    <n v="8"/>
    <n v="4"/>
    <s v="Life Sciences"/>
    <n v="98"/>
    <n v="3"/>
    <x v="0"/>
    <n v="61"/>
    <n v="3"/>
    <x v="0"/>
    <x v="3"/>
    <n v="4"/>
    <x v="0"/>
    <n v="4424"/>
    <n v="20682"/>
    <n v="1"/>
    <x v="1"/>
    <n v="23"/>
    <n v="4"/>
    <n v="4"/>
    <n v="0"/>
    <n v="11"/>
    <n v="2"/>
    <x v="1"/>
    <n v="11"/>
    <n v="7"/>
    <n v="1"/>
    <n v="8"/>
    <x v="2"/>
    <x v="0"/>
    <n v="0"/>
    <x v="3"/>
    <s v="Master"/>
    <x v="0"/>
    <x v="1"/>
  </r>
  <r>
    <n v="35"/>
    <s v="No"/>
    <x v="0"/>
    <n v="776"/>
    <x v="0"/>
    <n v="1"/>
    <n v="4"/>
    <s v="Marketing"/>
    <n v="100"/>
    <n v="3"/>
    <x v="1"/>
    <n v="32"/>
    <n v="2"/>
    <x v="0"/>
    <x v="0"/>
    <n v="1"/>
    <x v="0"/>
    <n v="4312"/>
    <n v="23016"/>
    <n v="0"/>
    <x v="1"/>
    <n v="14"/>
    <n v="3"/>
    <n v="2"/>
    <n v="0"/>
    <n v="16"/>
    <n v="2"/>
    <x v="1"/>
    <n v="15"/>
    <n v="13"/>
    <n v="2"/>
    <n v="8"/>
    <x v="2"/>
    <x v="0"/>
    <n v="0"/>
    <x v="3"/>
    <s v="Master"/>
    <x v="3"/>
    <x v="1"/>
  </r>
  <r>
    <n v="45"/>
    <s v="No"/>
    <x v="0"/>
    <n v="193"/>
    <x v="1"/>
    <n v="6"/>
    <n v="4"/>
    <s v="Other"/>
    <n v="101"/>
    <n v="4"/>
    <x v="1"/>
    <n v="52"/>
    <n v="3"/>
    <x v="2"/>
    <x v="7"/>
    <n v="1"/>
    <x v="1"/>
    <n v="13245"/>
    <n v="15067"/>
    <n v="4"/>
    <x v="0"/>
    <n v="14"/>
    <n v="3"/>
    <n v="2"/>
    <n v="0"/>
    <n v="17"/>
    <n v="3"/>
    <x v="3"/>
    <n v="0"/>
    <n v="0"/>
    <n v="0"/>
    <n v="0"/>
    <x v="0"/>
    <x v="0"/>
    <n v="0"/>
    <x v="2"/>
    <s v="Master"/>
    <x v="3"/>
    <x v="3"/>
  </r>
  <r>
    <n v="37"/>
    <s v="No"/>
    <x v="0"/>
    <n v="397"/>
    <x v="1"/>
    <n v="7"/>
    <n v="4"/>
    <s v="Medical"/>
    <n v="102"/>
    <n v="1"/>
    <x v="1"/>
    <n v="30"/>
    <n v="3"/>
    <x v="2"/>
    <x v="7"/>
    <n v="3"/>
    <x v="0"/>
    <n v="13664"/>
    <n v="25258"/>
    <n v="4"/>
    <x v="1"/>
    <n v="13"/>
    <n v="3"/>
    <n v="1"/>
    <n v="0"/>
    <n v="16"/>
    <n v="3"/>
    <x v="3"/>
    <n v="5"/>
    <n v="2"/>
    <n v="0"/>
    <n v="2"/>
    <x v="0"/>
    <x v="0"/>
    <n v="0"/>
    <x v="2"/>
    <s v="Master"/>
    <x v="2"/>
    <x v="3"/>
  </r>
  <r>
    <n v="46"/>
    <s v="No"/>
    <x v="0"/>
    <n v="945"/>
    <x v="2"/>
    <n v="5"/>
    <n v="2"/>
    <s v="Medical"/>
    <n v="103"/>
    <n v="2"/>
    <x v="1"/>
    <n v="80"/>
    <n v="3"/>
    <x v="0"/>
    <x v="8"/>
    <n v="2"/>
    <x v="2"/>
    <n v="5021"/>
    <n v="10425"/>
    <n v="8"/>
    <x v="0"/>
    <n v="22"/>
    <n v="4"/>
    <n v="4"/>
    <n v="1"/>
    <n v="16"/>
    <n v="2"/>
    <x v="1"/>
    <n v="4"/>
    <n v="2"/>
    <n v="0"/>
    <n v="2"/>
    <x v="1"/>
    <x v="0"/>
    <n v="0"/>
    <x v="2"/>
    <s v="College"/>
    <x v="1"/>
    <x v="1"/>
  </r>
  <r>
    <n v="30"/>
    <s v="No"/>
    <x v="0"/>
    <n v="852"/>
    <x v="1"/>
    <n v="1"/>
    <n v="1"/>
    <s v="Life Sciences"/>
    <n v="104"/>
    <n v="4"/>
    <x v="1"/>
    <n v="55"/>
    <n v="2"/>
    <x v="0"/>
    <x v="2"/>
    <n v="4"/>
    <x v="1"/>
    <n v="5126"/>
    <n v="15998"/>
    <n v="1"/>
    <x v="0"/>
    <n v="12"/>
    <n v="3"/>
    <n v="3"/>
    <n v="2"/>
    <n v="10"/>
    <n v="1"/>
    <x v="2"/>
    <n v="10"/>
    <n v="8"/>
    <n v="3"/>
    <n v="0"/>
    <x v="2"/>
    <x v="0"/>
    <n v="0"/>
    <x v="0"/>
    <s v="Below College"/>
    <x v="0"/>
    <x v="2"/>
  </r>
  <r>
    <n v="35"/>
    <s v="No"/>
    <x v="0"/>
    <n v="1214"/>
    <x v="1"/>
    <n v="1"/>
    <n v="3"/>
    <s v="Medical"/>
    <n v="105"/>
    <n v="2"/>
    <x v="1"/>
    <n v="30"/>
    <n v="2"/>
    <x v="1"/>
    <x v="1"/>
    <n v="3"/>
    <x v="0"/>
    <n v="2859"/>
    <n v="26278"/>
    <n v="1"/>
    <x v="1"/>
    <n v="18"/>
    <n v="3"/>
    <n v="1"/>
    <n v="0"/>
    <n v="6"/>
    <n v="3"/>
    <x v="1"/>
    <n v="6"/>
    <n v="4"/>
    <n v="0"/>
    <n v="4"/>
    <x v="2"/>
    <x v="0"/>
    <n v="0"/>
    <x v="1"/>
    <s v="Bachelor"/>
    <x v="2"/>
    <x v="1"/>
  </r>
  <r>
    <n v="55"/>
    <s v="No"/>
    <x v="0"/>
    <n v="111"/>
    <x v="0"/>
    <n v="1"/>
    <n v="2"/>
    <s v="Life Sciences"/>
    <n v="106"/>
    <n v="1"/>
    <x v="1"/>
    <n v="70"/>
    <n v="3"/>
    <x v="2"/>
    <x v="0"/>
    <n v="4"/>
    <x v="1"/>
    <n v="10239"/>
    <n v="18092"/>
    <n v="3"/>
    <x v="1"/>
    <n v="14"/>
    <n v="3"/>
    <n v="4"/>
    <n v="1"/>
    <n v="24"/>
    <n v="4"/>
    <x v="1"/>
    <n v="1"/>
    <n v="0"/>
    <n v="1"/>
    <n v="0"/>
    <x v="1"/>
    <x v="0"/>
    <n v="0"/>
    <x v="2"/>
    <s v="College"/>
    <x v="0"/>
    <x v="1"/>
  </r>
  <r>
    <n v="38"/>
    <s v="No"/>
    <x v="2"/>
    <n v="573"/>
    <x v="1"/>
    <n v="6"/>
    <n v="3"/>
    <s v="Medical"/>
    <n v="107"/>
    <n v="2"/>
    <x v="0"/>
    <n v="79"/>
    <n v="1"/>
    <x v="0"/>
    <x v="1"/>
    <n v="4"/>
    <x v="2"/>
    <n v="5329"/>
    <n v="15717"/>
    <n v="7"/>
    <x v="0"/>
    <n v="12"/>
    <n v="3"/>
    <n v="4"/>
    <n v="3"/>
    <n v="17"/>
    <n v="3"/>
    <x v="1"/>
    <n v="13"/>
    <n v="11"/>
    <n v="1"/>
    <n v="9"/>
    <x v="0"/>
    <x v="0"/>
    <n v="0"/>
    <x v="3"/>
    <s v="Bachelor"/>
    <x v="0"/>
    <x v="1"/>
  </r>
  <r>
    <n v="34"/>
    <s v="No"/>
    <x v="0"/>
    <n v="1153"/>
    <x v="1"/>
    <n v="1"/>
    <n v="2"/>
    <s v="Medical"/>
    <n v="110"/>
    <n v="1"/>
    <x v="1"/>
    <n v="94"/>
    <n v="3"/>
    <x v="0"/>
    <x v="3"/>
    <n v="2"/>
    <x v="1"/>
    <n v="4325"/>
    <n v="17736"/>
    <n v="1"/>
    <x v="1"/>
    <n v="15"/>
    <n v="3"/>
    <n v="3"/>
    <n v="0"/>
    <n v="5"/>
    <n v="2"/>
    <x v="1"/>
    <n v="5"/>
    <n v="2"/>
    <n v="1"/>
    <n v="3"/>
    <x v="2"/>
    <x v="0"/>
    <n v="0"/>
    <x v="2"/>
    <s v="College"/>
    <x v="1"/>
    <x v="1"/>
  </r>
  <r>
    <n v="56"/>
    <s v="No"/>
    <x v="0"/>
    <n v="1400"/>
    <x v="1"/>
    <n v="7"/>
    <n v="3"/>
    <s v="Life Sciences"/>
    <n v="112"/>
    <n v="4"/>
    <x v="1"/>
    <n v="49"/>
    <n v="1"/>
    <x v="2"/>
    <x v="3"/>
    <n v="4"/>
    <x v="0"/>
    <n v="7260"/>
    <n v="21698"/>
    <n v="4"/>
    <x v="1"/>
    <n v="11"/>
    <n v="3"/>
    <n v="1"/>
    <n v="0"/>
    <n v="37"/>
    <n v="3"/>
    <x v="2"/>
    <n v="6"/>
    <n v="4"/>
    <n v="0"/>
    <n v="2"/>
    <x v="1"/>
    <x v="0"/>
    <n v="0"/>
    <x v="0"/>
    <s v="Bachelor"/>
    <x v="0"/>
    <x v="2"/>
  </r>
  <r>
    <n v="23"/>
    <s v="No"/>
    <x v="0"/>
    <n v="541"/>
    <x v="0"/>
    <n v="2"/>
    <n v="1"/>
    <s v="Technical Degree"/>
    <n v="113"/>
    <n v="3"/>
    <x v="1"/>
    <n v="62"/>
    <n v="3"/>
    <x v="1"/>
    <x v="6"/>
    <n v="1"/>
    <x v="2"/>
    <n v="2322"/>
    <n v="9518"/>
    <n v="3"/>
    <x v="1"/>
    <n v="13"/>
    <n v="3"/>
    <n v="3"/>
    <n v="1"/>
    <n v="3"/>
    <n v="3"/>
    <x v="1"/>
    <n v="0"/>
    <n v="0"/>
    <n v="0"/>
    <n v="0"/>
    <x v="3"/>
    <x v="2"/>
    <n v="0"/>
    <x v="2"/>
    <s v="Below College"/>
    <x v="3"/>
    <x v="1"/>
  </r>
  <r>
    <n v="51"/>
    <s v="No"/>
    <x v="0"/>
    <n v="432"/>
    <x v="1"/>
    <n v="9"/>
    <n v="4"/>
    <s v="Life Sciences"/>
    <n v="116"/>
    <n v="4"/>
    <x v="1"/>
    <n v="96"/>
    <n v="3"/>
    <x v="1"/>
    <x v="2"/>
    <n v="4"/>
    <x v="1"/>
    <n v="2075"/>
    <n v="18725"/>
    <n v="3"/>
    <x v="1"/>
    <n v="23"/>
    <n v="4"/>
    <n v="2"/>
    <n v="2"/>
    <n v="10"/>
    <n v="4"/>
    <x v="1"/>
    <n v="4"/>
    <n v="2"/>
    <n v="0"/>
    <n v="3"/>
    <x v="1"/>
    <x v="0"/>
    <n v="0"/>
    <x v="2"/>
    <s v="Master"/>
    <x v="0"/>
    <x v="1"/>
  </r>
  <r>
    <n v="30"/>
    <s v="No"/>
    <x v="0"/>
    <n v="288"/>
    <x v="1"/>
    <n v="2"/>
    <n v="3"/>
    <s v="Life Sciences"/>
    <n v="117"/>
    <n v="3"/>
    <x v="1"/>
    <n v="99"/>
    <n v="2"/>
    <x v="0"/>
    <x v="4"/>
    <n v="4"/>
    <x v="1"/>
    <n v="4152"/>
    <n v="15830"/>
    <n v="1"/>
    <x v="1"/>
    <n v="19"/>
    <n v="3"/>
    <n v="1"/>
    <n v="3"/>
    <n v="11"/>
    <n v="3"/>
    <x v="1"/>
    <n v="11"/>
    <n v="10"/>
    <n v="10"/>
    <n v="8"/>
    <x v="2"/>
    <x v="0"/>
    <n v="0"/>
    <x v="3"/>
    <s v="Bachelor"/>
    <x v="0"/>
    <x v="1"/>
  </r>
  <r>
    <n v="46"/>
    <s v="Yes"/>
    <x v="0"/>
    <n v="669"/>
    <x v="0"/>
    <n v="9"/>
    <n v="2"/>
    <s v="Medical"/>
    <n v="118"/>
    <n v="3"/>
    <x v="1"/>
    <n v="64"/>
    <n v="2"/>
    <x v="2"/>
    <x v="0"/>
    <n v="4"/>
    <x v="0"/>
    <n v="9619"/>
    <n v="13596"/>
    <n v="1"/>
    <x v="1"/>
    <n v="16"/>
    <n v="3"/>
    <n v="4"/>
    <n v="0"/>
    <n v="9"/>
    <n v="3"/>
    <x v="1"/>
    <n v="9"/>
    <n v="8"/>
    <n v="4"/>
    <n v="7"/>
    <x v="1"/>
    <x v="0"/>
    <n v="1"/>
    <x v="1"/>
    <s v="College"/>
    <x v="0"/>
    <x v="1"/>
  </r>
  <r>
    <n v="40"/>
    <s v="No"/>
    <x v="1"/>
    <n v="530"/>
    <x v="1"/>
    <n v="1"/>
    <n v="4"/>
    <s v="Life Sciences"/>
    <n v="119"/>
    <n v="3"/>
    <x v="1"/>
    <n v="78"/>
    <n v="2"/>
    <x v="3"/>
    <x v="4"/>
    <n v="2"/>
    <x v="1"/>
    <n v="13503"/>
    <n v="14115"/>
    <n v="1"/>
    <x v="1"/>
    <n v="22"/>
    <n v="4"/>
    <n v="4"/>
    <n v="1"/>
    <n v="22"/>
    <n v="3"/>
    <x v="2"/>
    <n v="22"/>
    <n v="3"/>
    <n v="11"/>
    <n v="11"/>
    <x v="0"/>
    <x v="0"/>
    <n v="0"/>
    <x v="0"/>
    <s v="Master"/>
    <x v="1"/>
    <x v="2"/>
  </r>
  <r>
    <n v="51"/>
    <s v="No"/>
    <x v="0"/>
    <n v="632"/>
    <x v="0"/>
    <n v="21"/>
    <n v="4"/>
    <s v="Marketing"/>
    <n v="120"/>
    <n v="3"/>
    <x v="1"/>
    <n v="71"/>
    <n v="3"/>
    <x v="0"/>
    <x v="0"/>
    <n v="4"/>
    <x v="0"/>
    <n v="5441"/>
    <n v="8423"/>
    <n v="0"/>
    <x v="0"/>
    <n v="22"/>
    <n v="4"/>
    <n v="4"/>
    <n v="0"/>
    <n v="11"/>
    <n v="2"/>
    <x v="0"/>
    <n v="10"/>
    <n v="7"/>
    <n v="1"/>
    <n v="0"/>
    <x v="1"/>
    <x v="2"/>
    <n v="0"/>
    <x v="0"/>
    <s v="Master"/>
    <x v="0"/>
    <x v="0"/>
  </r>
  <r>
    <n v="30"/>
    <s v="No"/>
    <x v="0"/>
    <n v="1334"/>
    <x v="0"/>
    <n v="4"/>
    <n v="2"/>
    <s v="Medical"/>
    <n v="121"/>
    <n v="3"/>
    <x v="0"/>
    <n v="63"/>
    <n v="2"/>
    <x v="0"/>
    <x v="0"/>
    <n v="2"/>
    <x v="2"/>
    <n v="5209"/>
    <n v="19760"/>
    <n v="1"/>
    <x v="0"/>
    <n v="12"/>
    <n v="3"/>
    <n v="2"/>
    <n v="3"/>
    <n v="11"/>
    <n v="4"/>
    <x v="2"/>
    <n v="11"/>
    <n v="8"/>
    <n v="2"/>
    <n v="7"/>
    <x v="2"/>
    <x v="0"/>
    <n v="0"/>
    <x v="0"/>
    <s v="College"/>
    <x v="1"/>
    <x v="2"/>
  </r>
  <r>
    <n v="46"/>
    <s v="No"/>
    <x v="1"/>
    <n v="638"/>
    <x v="1"/>
    <n v="1"/>
    <n v="3"/>
    <s v="Medical"/>
    <n v="124"/>
    <n v="3"/>
    <x v="1"/>
    <n v="40"/>
    <n v="2"/>
    <x v="2"/>
    <x v="4"/>
    <n v="1"/>
    <x v="1"/>
    <n v="10673"/>
    <n v="3142"/>
    <n v="2"/>
    <x v="0"/>
    <n v="13"/>
    <n v="3"/>
    <n v="3"/>
    <n v="1"/>
    <n v="21"/>
    <n v="5"/>
    <x v="2"/>
    <n v="10"/>
    <n v="9"/>
    <n v="9"/>
    <n v="5"/>
    <x v="1"/>
    <x v="3"/>
    <n v="0"/>
    <x v="0"/>
    <s v="Bachelor"/>
    <x v="3"/>
    <x v="2"/>
  </r>
  <r>
    <n v="32"/>
    <s v="No"/>
    <x v="0"/>
    <n v="1093"/>
    <x v="0"/>
    <n v="6"/>
    <n v="4"/>
    <s v="Medical"/>
    <n v="125"/>
    <n v="2"/>
    <x v="1"/>
    <n v="87"/>
    <n v="3"/>
    <x v="0"/>
    <x v="0"/>
    <n v="3"/>
    <x v="0"/>
    <n v="5010"/>
    <n v="24301"/>
    <n v="1"/>
    <x v="1"/>
    <n v="16"/>
    <n v="3"/>
    <n v="1"/>
    <n v="0"/>
    <n v="12"/>
    <n v="0"/>
    <x v="1"/>
    <n v="11"/>
    <n v="8"/>
    <n v="5"/>
    <n v="7"/>
    <x v="2"/>
    <x v="0"/>
    <n v="0"/>
    <x v="3"/>
    <s v="Master"/>
    <x v="2"/>
    <x v="1"/>
  </r>
  <r>
    <n v="54"/>
    <s v="No"/>
    <x v="0"/>
    <n v="1217"/>
    <x v="1"/>
    <n v="2"/>
    <n v="4"/>
    <s v="Technical Degree"/>
    <n v="126"/>
    <n v="1"/>
    <x v="0"/>
    <n v="60"/>
    <n v="3"/>
    <x v="2"/>
    <x v="7"/>
    <n v="3"/>
    <x v="1"/>
    <n v="13549"/>
    <n v="24001"/>
    <n v="9"/>
    <x v="1"/>
    <n v="12"/>
    <n v="3"/>
    <n v="1"/>
    <n v="1"/>
    <n v="16"/>
    <n v="5"/>
    <x v="0"/>
    <n v="4"/>
    <n v="3"/>
    <n v="0"/>
    <n v="3"/>
    <x v="1"/>
    <x v="0"/>
    <n v="0"/>
    <x v="0"/>
    <s v="Master"/>
    <x v="2"/>
    <x v="0"/>
  </r>
  <r>
    <n v="24"/>
    <s v="No"/>
    <x v="0"/>
    <n v="1353"/>
    <x v="0"/>
    <n v="3"/>
    <n v="2"/>
    <s v="Other"/>
    <n v="128"/>
    <n v="1"/>
    <x v="0"/>
    <n v="33"/>
    <n v="3"/>
    <x v="0"/>
    <x v="0"/>
    <n v="3"/>
    <x v="1"/>
    <n v="4999"/>
    <n v="17519"/>
    <n v="0"/>
    <x v="1"/>
    <n v="21"/>
    <n v="4"/>
    <n v="1"/>
    <n v="1"/>
    <n v="4"/>
    <n v="2"/>
    <x v="2"/>
    <n v="3"/>
    <n v="2"/>
    <n v="0"/>
    <n v="2"/>
    <x v="3"/>
    <x v="0"/>
    <n v="0"/>
    <x v="0"/>
    <s v="College"/>
    <x v="2"/>
    <x v="2"/>
  </r>
  <r>
    <n v="28"/>
    <s v="No"/>
    <x v="2"/>
    <n v="120"/>
    <x v="0"/>
    <n v="4"/>
    <n v="3"/>
    <s v="Medical"/>
    <n v="129"/>
    <n v="2"/>
    <x v="1"/>
    <n v="43"/>
    <n v="3"/>
    <x v="0"/>
    <x v="0"/>
    <n v="3"/>
    <x v="1"/>
    <n v="4221"/>
    <n v="8863"/>
    <n v="1"/>
    <x v="1"/>
    <n v="15"/>
    <n v="3"/>
    <n v="2"/>
    <n v="0"/>
    <n v="5"/>
    <n v="3"/>
    <x v="3"/>
    <n v="5"/>
    <n v="4"/>
    <n v="0"/>
    <n v="4"/>
    <x v="2"/>
    <x v="2"/>
    <n v="0"/>
    <x v="2"/>
    <s v="Bachelor"/>
    <x v="2"/>
    <x v="3"/>
  </r>
  <r>
    <n v="58"/>
    <s v="No"/>
    <x v="0"/>
    <n v="682"/>
    <x v="0"/>
    <n v="10"/>
    <n v="4"/>
    <s v="Medical"/>
    <n v="131"/>
    <n v="4"/>
    <x v="1"/>
    <n v="37"/>
    <n v="3"/>
    <x v="3"/>
    <x v="0"/>
    <n v="3"/>
    <x v="0"/>
    <n v="13872"/>
    <n v="24409"/>
    <n v="0"/>
    <x v="1"/>
    <n v="13"/>
    <n v="3"/>
    <n v="3"/>
    <n v="0"/>
    <n v="38"/>
    <n v="1"/>
    <x v="2"/>
    <n v="37"/>
    <n v="10"/>
    <n v="1"/>
    <n v="8"/>
    <x v="1"/>
    <x v="0"/>
    <n v="0"/>
    <x v="0"/>
    <s v="Master"/>
    <x v="2"/>
    <x v="2"/>
  </r>
  <r>
    <n v="44"/>
    <s v="No"/>
    <x v="2"/>
    <n v="489"/>
    <x v="1"/>
    <n v="23"/>
    <n v="3"/>
    <s v="Medical"/>
    <n v="132"/>
    <n v="2"/>
    <x v="1"/>
    <n v="67"/>
    <n v="3"/>
    <x v="0"/>
    <x v="2"/>
    <n v="2"/>
    <x v="1"/>
    <n v="2042"/>
    <n v="25043"/>
    <n v="4"/>
    <x v="1"/>
    <n v="12"/>
    <n v="3"/>
    <n v="3"/>
    <n v="1"/>
    <n v="17"/>
    <n v="3"/>
    <x v="3"/>
    <n v="3"/>
    <n v="2"/>
    <n v="1"/>
    <n v="2"/>
    <x v="0"/>
    <x v="0"/>
    <n v="0"/>
    <x v="2"/>
    <s v="Bachelor"/>
    <x v="1"/>
    <x v="3"/>
  </r>
  <r>
    <n v="37"/>
    <s v="Yes"/>
    <x v="0"/>
    <n v="807"/>
    <x v="2"/>
    <n v="6"/>
    <n v="4"/>
    <s v="Human Resources"/>
    <n v="133"/>
    <n v="3"/>
    <x v="1"/>
    <n v="63"/>
    <n v="3"/>
    <x v="1"/>
    <x v="8"/>
    <n v="1"/>
    <x v="2"/>
    <n v="2073"/>
    <n v="23648"/>
    <n v="4"/>
    <x v="0"/>
    <n v="22"/>
    <n v="4"/>
    <n v="4"/>
    <n v="0"/>
    <n v="7"/>
    <n v="3"/>
    <x v="1"/>
    <n v="3"/>
    <n v="2"/>
    <n v="0"/>
    <n v="2"/>
    <x v="0"/>
    <x v="0"/>
    <n v="1"/>
    <x v="2"/>
    <s v="Master"/>
    <x v="3"/>
    <x v="1"/>
  </r>
  <r>
    <n v="32"/>
    <s v="No"/>
    <x v="0"/>
    <n v="827"/>
    <x v="1"/>
    <n v="1"/>
    <n v="1"/>
    <s v="Life Sciences"/>
    <n v="134"/>
    <n v="4"/>
    <x v="1"/>
    <n v="71"/>
    <n v="3"/>
    <x v="1"/>
    <x v="1"/>
    <n v="1"/>
    <x v="0"/>
    <n v="2956"/>
    <n v="15178"/>
    <n v="1"/>
    <x v="1"/>
    <n v="13"/>
    <n v="3"/>
    <n v="4"/>
    <n v="0"/>
    <n v="1"/>
    <n v="2"/>
    <x v="1"/>
    <n v="1"/>
    <n v="0"/>
    <n v="0"/>
    <n v="0"/>
    <x v="2"/>
    <x v="0"/>
    <n v="0"/>
    <x v="2"/>
    <s v="Below College"/>
    <x v="3"/>
    <x v="1"/>
  </r>
  <r>
    <n v="20"/>
    <s v="Yes"/>
    <x v="1"/>
    <n v="871"/>
    <x v="1"/>
    <n v="6"/>
    <n v="3"/>
    <s v="Life Sciences"/>
    <n v="137"/>
    <n v="4"/>
    <x v="0"/>
    <n v="66"/>
    <n v="2"/>
    <x v="1"/>
    <x v="2"/>
    <n v="4"/>
    <x v="0"/>
    <n v="2926"/>
    <n v="19783"/>
    <n v="1"/>
    <x v="0"/>
    <n v="18"/>
    <n v="3"/>
    <n v="2"/>
    <n v="0"/>
    <n v="1"/>
    <n v="5"/>
    <x v="1"/>
    <n v="1"/>
    <n v="0"/>
    <n v="1"/>
    <n v="0"/>
    <x v="3"/>
    <x v="0"/>
    <n v="1"/>
    <x v="2"/>
    <s v="Bachelor"/>
    <x v="0"/>
    <x v="1"/>
  </r>
  <r>
    <n v="34"/>
    <s v="No"/>
    <x v="0"/>
    <n v="665"/>
    <x v="1"/>
    <n v="6"/>
    <n v="4"/>
    <s v="Other"/>
    <n v="138"/>
    <n v="1"/>
    <x v="0"/>
    <n v="41"/>
    <n v="3"/>
    <x v="0"/>
    <x v="1"/>
    <n v="3"/>
    <x v="0"/>
    <n v="4809"/>
    <n v="12482"/>
    <n v="1"/>
    <x v="1"/>
    <n v="14"/>
    <n v="3"/>
    <n v="3"/>
    <n v="0"/>
    <n v="16"/>
    <n v="3"/>
    <x v="1"/>
    <n v="16"/>
    <n v="13"/>
    <n v="2"/>
    <n v="10"/>
    <x v="2"/>
    <x v="0"/>
    <n v="0"/>
    <x v="3"/>
    <s v="Master"/>
    <x v="2"/>
    <x v="1"/>
  </r>
  <r>
    <n v="37"/>
    <s v="No"/>
    <x v="2"/>
    <n v="1040"/>
    <x v="1"/>
    <n v="2"/>
    <n v="2"/>
    <s v="Life Sciences"/>
    <n v="139"/>
    <n v="3"/>
    <x v="1"/>
    <n v="100"/>
    <n v="2"/>
    <x v="0"/>
    <x v="4"/>
    <n v="4"/>
    <x v="2"/>
    <n v="5163"/>
    <n v="15850"/>
    <n v="5"/>
    <x v="1"/>
    <n v="14"/>
    <n v="3"/>
    <n v="4"/>
    <n v="1"/>
    <n v="17"/>
    <n v="2"/>
    <x v="3"/>
    <n v="1"/>
    <n v="0"/>
    <n v="0"/>
    <n v="0"/>
    <x v="0"/>
    <x v="0"/>
    <n v="0"/>
    <x v="2"/>
    <s v="College"/>
    <x v="0"/>
    <x v="3"/>
  </r>
  <r>
    <n v="59"/>
    <s v="No"/>
    <x v="2"/>
    <n v="1420"/>
    <x v="2"/>
    <n v="2"/>
    <n v="4"/>
    <s v="Human Resources"/>
    <n v="140"/>
    <n v="3"/>
    <x v="0"/>
    <n v="32"/>
    <n v="2"/>
    <x v="4"/>
    <x v="5"/>
    <n v="4"/>
    <x v="1"/>
    <n v="18844"/>
    <n v="21922"/>
    <n v="9"/>
    <x v="1"/>
    <n v="21"/>
    <n v="4"/>
    <n v="4"/>
    <n v="1"/>
    <n v="30"/>
    <n v="3"/>
    <x v="1"/>
    <n v="3"/>
    <n v="2"/>
    <n v="2"/>
    <n v="2"/>
    <x v="1"/>
    <x v="0"/>
    <n v="0"/>
    <x v="2"/>
    <s v="Master"/>
    <x v="0"/>
    <x v="1"/>
  </r>
  <r>
    <n v="50"/>
    <s v="No"/>
    <x v="1"/>
    <n v="1115"/>
    <x v="1"/>
    <n v="1"/>
    <n v="3"/>
    <s v="Life Sciences"/>
    <n v="141"/>
    <n v="1"/>
    <x v="0"/>
    <n v="73"/>
    <n v="3"/>
    <x v="4"/>
    <x v="7"/>
    <n v="2"/>
    <x v="1"/>
    <n v="18172"/>
    <n v="9755"/>
    <n v="3"/>
    <x v="0"/>
    <n v="19"/>
    <n v="3"/>
    <n v="1"/>
    <n v="0"/>
    <n v="28"/>
    <n v="1"/>
    <x v="2"/>
    <n v="8"/>
    <n v="3"/>
    <n v="0"/>
    <n v="7"/>
    <x v="1"/>
    <x v="2"/>
    <n v="0"/>
    <x v="0"/>
    <s v="Bachelor"/>
    <x v="1"/>
    <x v="2"/>
  </r>
  <r>
    <n v="25"/>
    <s v="Yes"/>
    <x v="0"/>
    <n v="240"/>
    <x v="0"/>
    <n v="5"/>
    <n v="3"/>
    <s v="Marketing"/>
    <n v="142"/>
    <n v="3"/>
    <x v="1"/>
    <n v="46"/>
    <n v="2"/>
    <x v="0"/>
    <x v="0"/>
    <n v="3"/>
    <x v="0"/>
    <n v="5744"/>
    <n v="26959"/>
    <n v="1"/>
    <x v="0"/>
    <n v="11"/>
    <n v="3"/>
    <n v="4"/>
    <n v="0"/>
    <n v="6"/>
    <n v="1"/>
    <x v="1"/>
    <n v="6"/>
    <n v="4"/>
    <n v="0"/>
    <n v="3"/>
    <x v="3"/>
    <x v="0"/>
    <n v="1"/>
    <x v="1"/>
    <s v="Bachelor"/>
    <x v="2"/>
    <x v="1"/>
  </r>
  <r>
    <n v="25"/>
    <s v="No"/>
    <x v="0"/>
    <n v="1280"/>
    <x v="1"/>
    <n v="7"/>
    <n v="1"/>
    <s v="Medical"/>
    <n v="143"/>
    <n v="4"/>
    <x v="1"/>
    <n v="64"/>
    <n v="2"/>
    <x v="1"/>
    <x v="1"/>
    <n v="4"/>
    <x v="1"/>
    <n v="2889"/>
    <n v="26897"/>
    <n v="1"/>
    <x v="1"/>
    <n v="11"/>
    <n v="3"/>
    <n v="3"/>
    <n v="2"/>
    <n v="2"/>
    <n v="2"/>
    <x v="1"/>
    <n v="2"/>
    <n v="2"/>
    <n v="2"/>
    <n v="1"/>
    <x v="3"/>
    <x v="0"/>
    <n v="0"/>
    <x v="2"/>
    <s v="Below College"/>
    <x v="0"/>
    <x v="1"/>
  </r>
  <r>
    <n v="22"/>
    <s v="No"/>
    <x v="0"/>
    <n v="534"/>
    <x v="1"/>
    <n v="15"/>
    <n v="3"/>
    <s v="Medical"/>
    <n v="144"/>
    <n v="2"/>
    <x v="0"/>
    <n v="59"/>
    <n v="3"/>
    <x v="1"/>
    <x v="2"/>
    <n v="4"/>
    <x v="0"/>
    <n v="2871"/>
    <n v="23785"/>
    <n v="1"/>
    <x v="1"/>
    <n v="15"/>
    <n v="3"/>
    <n v="3"/>
    <n v="0"/>
    <n v="1"/>
    <n v="5"/>
    <x v="1"/>
    <n v="0"/>
    <n v="0"/>
    <n v="0"/>
    <n v="0"/>
    <x v="3"/>
    <x v="0"/>
    <n v="0"/>
    <x v="2"/>
    <s v="Bachelor"/>
    <x v="0"/>
    <x v="1"/>
  </r>
  <r>
    <n v="51"/>
    <s v="No"/>
    <x v="1"/>
    <n v="1456"/>
    <x v="1"/>
    <n v="1"/>
    <n v="4"/>
    <s v="Medical"/>
    <n v="145"/>
    <n v="1"/>
    <x v="0"/>
    <n v="30"/>
    <n v="2"/>
    <x v="2"/>
    <x v="4"/>
    <n v="1"/>
    <x v="0"/>
    <n v="7484"/>
    <n v="25796"/>
    <n v="3"/>
    <x v="1"/>
    <n v="20"/>
    <n v="4"/>
    <n v="3"/>
    <n v="0"/>
    <n v="23"/>
    <n v="1"/>
    <x v="2"/>
    <n v="13"/>
    <n v="12"/>
    <n v="12"/>
    <n v="8"/>
    <x v="1"/>
    <x v="0"/>
    <n v="0"/>
    <x v="0"/>
    <s v="Master"/>
    <x v="3"/>
    <x v="2"/>
  </r>
  <r>
    <n v="34"/>
    <s v="Yes"/>
    <x v="1"/>
    <n v="658"/>
    <x v="1"/>
    <n v="7"/>
    <n v="3"/>
    <s v="Life Sciences"/>
    <n v="147"/>
    <n v="1"/>
    <x v="1"/>
    <n v="66"/>
    <n v="1"/>
    <x v="0"/>
    <x v="2"/>
    <n v="3"/>
    <x v="0"/>
    <n v="6074"/>
    <n v="22887"/>
    <n v="1"/>
    <x v="0"/>
    <n v="24"/>
    <n v="4"/>
    <n v="4"/>
    <n v="0"/>
    <n v="9"/>
    <n v="3"/>
    <x v="1"/>
    <n v="9"/>
    <n v="7"/>
    <n v="0"/>
    <n v="6"/>
    <x v="2"/>
    <x v="0"/>
    <n v="1"/>
    <x v="1"/>
    <s v="Bachelor"/>
    <x v="2"/>
    <x v="1"/>
  </r>
  <r>
    <n v="54"/>
    <s v="No"/>
    <x v="2"/>
    <n v="142"/>
    <x v="2"/>
    <n v="26"/>
    <n v="3"/>
    <s v="Human Resources"/>
    <n v="148"/>
    <n v="4"/>
    <x v="0"/>
    <n v="30"/>
    <n v="4"/>
    <x v="3"/>
    <x v="5"/>
    <n v="4"/>
    <x v="0"/>
    <n v="17328"/>
    <n v="13871"/>
    <n v="2"/>
    <x v="0"/>
    <n v="12"/>
    <n v="3"/>
    <n v="3"/>
    <n v="0"/>
    <n v="23"/>
    <n v="3"/>
    <x v="1"/>
    <n v="5"/>
    <n v="3"/>
    <n v="4"/>
    <n v="4"/>
    <x v="1"/>
    <x v="0"/>
    <n v="0"/>
    <x v="2"/>
    <s v="Bachelor"/>
    <x v="0"/>
    <x v="1"/>
  </r>
  <r>
    <n v="24"/>
    <s v="No"/>
    <x v="0"/>
    <n v="1127"/>
    <x v="1"/>
    <n v="18"/>
    <n v="1"/>
    <s v="Life Sciences"/>
    <n v="150"/>
    <n v="2"/>
    <x v="1"/>
    <n v="52"/>
    <n v="3"/>
    <x v="1"/>
    <x v="2"/>
    <n v="3"/>
    <x v="1"/>
    <n v="2774"/>
    <n v="13257"/>
    <n v="0"/>
    <x v="1"/>
    <n v="12"/>
    <n v="3"/>
    <n v="3"/>
    <n v="1"/>
    <n v="6"/>
    <n v="2"/>
    <x v="1"/>
    <n v="5"/>
    <n v="3"/>
    <n v="1"/>
    <n v="2"/>
    <x v="3"/>
    <x v="0"/>
    <n v="0"/>
    <x v="2"/>
    <s v="Below College"/>
    <x v="2"/>
    <x v="1"/>
  </r>
  <r>
    <n v="34"/>
    <s v="No"/>
    <x v="0"/>
    <n v="1031"/>
    <x v="1"/>
    <n v="6"/>
    <n v="4"/>
    <s v="Life Sciences"/>
    <n v="151"/>
    <n v="3"/>
    <x v="0"/>
    <n v="45"/>
    <n v="2"/>
    <x v="0"/>
    <x v="1"/>
    <n v="2"/>
    <x v="2"/>
    <n v="4505"/>
    <n v="15000"/>
    <n v="6"/>
    <x v="1"/>
    <n v="15"/>
    <n v="3"/>
    <n v="3"/>
    <n v="1"/>
    <n v="12"/>
    <n v="3"/>
    <x v="1"/>
    <n v="1"/>
    <n v="0"/>
    <n v="0"/>
    <n v="0"/>
    <x v="2"/>
    <x v="0"/>
    <n v="0"/>
    <x v="2"/>
    <s v="Master"/>
    <x v="1"/>
    <x v="1"/>
  </r>
  <r>
    <n v="37"/>
    <s v="No"/>
    <x v="0"/>
    <n v="1189"/>
    <x v="0"/>
    <n v="3"/>
    <n v="3"/>
    <s v="Life Sciences"/>
    <n v="152"/>
    <n v="3"/>
    <x v="1"/>
    <n v="87"/>
    <n v="3"/>
    <x v="2"/>
    <x v="0"/>
    <n v="4"/>
    <x v="0"/>
    <n v="7428"/>
    <n v="14506"/>
    <n v="2"/>
    <x v="1"/>
    <n v="12"/>
    <n v="3"/>
    <n v="1"/>
    <n v="0"/>
    <n v="12"/>
    <n v="3"/>
    <x v="1"/>
    <n v="5"/>
    <n v="3"/>
    <n v="1"/>
    <n v="3"/>
    <x v="0"/>
    <x v="0"/>
    <n v="0"/>
    <x v="2"/>
    <s v="Bachelor"/>
    <x v="0"/>
    <x v="1"/>
  </r>
  <r>
    <n v="34"/>
    <s v="No"/>
    <x v="0"/>
    <n v="1354"/>
    <x v="1"/>
    <n v="5"/>
    <n v="3"/>
    <s v="Medical"/>
    <n v="153"/>
    <n v="3"/>
    <x v="0"/>
    <n v="45"/>
    <n v="2"/>
    <x v="2"/>
    <x v="5"/>
    <n v="1"/>
    <x v="0"/>
    <n v="11631"/>
    <n v="5615"/>
    <n v="2"/>
    <x v="1"/>
    <n v="12"/>
    <n v="3"/>
    <n v="4"/>
    <n v="0"/>
    <n v="14"/>
    <n v="6"/>
    <x v="1"/>
    <n v="11"/>
    <n v="10"/>
    <n v="5"/>
    <n v="8"/>
    <x v="2"/>
    <x v="3"/>
    <n v="0"/>
    <x v="3"/>
    <s v="Bachelor"/>
    <x v="3"/>
    <x v="1"/>
  </r>
  <r>
    <n v="36"/>
    <s v="No"/>
    <x v="1"/>
    <n v="1467"/>
    <x v="0"/>
    <n v="11"/>
    <n v="2"/>
    <s v="Technical Degree"/>
    <n v="154"/>
    <n v="2"/>
    <x v="0"/>
    <n v="92"/>
    <n v="3"/>
    <x v="2"/>
    <x v="0"/>
    <n v="4"/>
    <x v="1"/>
    <n v="9738"/>
    <n v="22952"/>
    <n v="0"/>
    <x v="1"/>
    <n v="14"/>
    <n v="3"/>
    <n v="3"/>
    <n v="1"/>
    <n v="10"/>
    <n v="6"/>
    <x v="1"/>
    <n v="9"/>
    <n v="7"/>
    <n v="2"/>
    <n v="8"/>
    <x v="0"/>
    <x v="0"/>
    <n v="0"/>
    <x v="1"/>
    <s v="College"/>
    <x v="0"/>
    <x v="1"/>
  </r>
  <r>
    <n v="36"/>
    <s v="No"/>
    <x v="0"/>
    <n v="922"/>
    <x v="1"/>
    <n v="3"/>
    <n v="2"/>
    <s v="Life Sciences"/>
    <n v="155"/>
    <n v="1"/>
    <x v="0"/>
    <n v="39"/>
    <n v="3"/>
    <x v="1"/>
    <x v="2"/>
    <n v="4"/>
    <x v="2"/>
    <n v="2835"/>
    <n v="2561"/>
    <n v="5"/>
    <x v="1"/>
    <n v="22"/>
    <n v="4"/>
    <n v="1"/>
    <n v="1"/>
    <n v="7"/>
    <n v="2"/>
    <x v="1"/>
    <n v="1"/>
    <n v="0"/>
    <n v="0"/>
    <n v="0"/>
    <x v="0"/>
    <x v="1"/>
    <n v="0"/>
    <x v="2"/>
    <s v="College"/>
    <x v="0"/>
    <x v="1"/>
  </r>
  <r>
    <n v="43"/>
    <s v="No"/>
    <x v="1"/>
    <n v="394"/>
    <x v="0"/>
    <n v="26"/>
    <n v="2"/>
    <s v="Life Sciences"/>
    <n v="158"/>
    <n v="3"/>
    <x v="1"/>
    <n v="92"/>
    <n v="3"/>
    <x v="3"/>
    <x v="5"/>
    <n v="4"/>
    <x v="1"/>
    <n v="16959"/>
    <n v="19494"/>
    <n v="1"/>
    <x v="0"/>
    <n v="12"/>
    <n v="3"/>
    <n v="4"/>
    <n v="2"/>
    <n v="25"/>
    <n v="3"/>
    <x v="3"/>
    <n v="25"/>
    <n v="12"/>
    <n v="4"/>
    <n v="12"/>
    <x v="0"/>
    <x v="0"/>
    <n v="0"/>
    <x v="3"/>
    <s v="College"/>
    <x v="0"/>
    <x v="3"/>
  </r>
  <r>
    <n v="30"/>
    <s v="No"/>
    <x v="1"/>
    <n v="1312"/>
    <x v="1"/>
    <n v="23"/>
    <n v="3"/>
    <s v="Life Sciences"/>
    <n v="159"/>
    <n v="1"/>
    <x v="1"/>
    <n v="96"/>
    <n v="1"/>
    <x v="1"/>
    <x v="1"/>
    <n v="3"/>
    <x v="2"/>
    <n v="2613"/>
    <n v="22310"/>
    <n v="1"/>
    <x v="1"/>
    <n v="25"/>
    <n v="4"/>
    <n v="3"/>
    <n v="3"/>
    <n v="10"/>
    <n v="2"/>
    <x v="2"/>
    <n v="10"/>
    <n v="7"/>
    <n v="0"/>
    <n v="9"/>
    <x v="2"/>
    <x v="0"/>
    <n v="0"/>
    <x v="0"/>
    <s v="Bachelor"/>
    <x v="2"/>
    <x v="2"/>
  </r>
  <r>
    <n v="33"/>
    <s v="No"/>
    <x v="2"/>
    <n v="750"/>
    <x v="0"/>
    <n v="22"/>
    <n v="2"/>
    <s v="Marketing"/>
    <n v="160"/>
    <n v="3"/>
    <x v="1"/>
    <n v="95"/>
    <n v="3"/>
    <x v="0"/>
    <x v="0"/>
    <n v="2"/>
    <x v="1"/>
    <n v="6146"/>
    <n v="15480"/>
    <n v="0"/>
    <x v="1"/>
    <n v="13"/>
    <n v="3"/>
    <n v="1"/>
    <n v="1"/>
    <n v="8"/>
    <n v="2"/>
    <x v="3"/>
    <n v="7"/>
    <n v="7"/>
    <n v="0"/>
    <n v="7"/>
    <x v="2"/>
    <x v="0"/>
    <n v="0"/>
    <x v="1"/>
    <s v="College"/>
    <x v="1"/>
    <x v="3"/>
  </r>
  <r>
    <n v="56"/>
    <s v="Yes"/>
    <x v="0"/>
    <n v="441"/>
    <x v="1"/>
    <n v="14"/>
    <n v="4"/>
    <s v="Life Sciences"/>
    <n v="161"/>
    <n v="2"/>
    <x v="0"/>
    <n v="72"/>
    <n v="3"/>
    <x v="1"/>
    <x v="1"/>
    <n v="2"/>
    <x v="1"/>
    <n v="4963"/>
    <n v="4510"/>
    <n v="9"/>
    <x v="0"/>
    <n v="18"/>
    <n v="3"/>
    <n v="1"/>
    <n v="3"/>
    <n v="7"/>
    <n v="2"/>
    <x v="1"/>
    <n v="5"/>
    <n v="4"/>
    <n v="4"/>
    <n v="3"/>
    <x v="1"/>
    <x v="3"/>
    <n v="1"/>
    <x v="2"/>
    <s v="Master"/>
    <x v="1"/>
    <x v="1"/>
  </r>
  <r>
    <n v="51"/>
    <s v="No"/>
    <x v="0"/>
    <n v="684"/>
    <x v="1"/>
    <n v="6"/>
    <n v="3"/>
    <s v="Life Sciences"/>
    <n v="162"/>
    <n v="1"/>
    <x v="1"/>
    <n v="51"/>
    <n v="3"/>
    <x v="4"/>
    <x v="7"/>
    <n v="3"/>
    <x v="0"/>
    <n v="19537"/>
    <n v="6462"/>
    <n v="7"/>
    <x v="1"/>
    <n v="13"/>
    <n v="3"/>
    <n v="3"/>
    <n v="0"/>
    <n v="23"/>
    <n v="5"/>
    <x v="1"/>
    <n v="20"/>
    <n v="18"/>
    <n v="15"/>
    <n v="15"/>
    <x v="1"/>
    <x v="2"/>
    <n v="0"/>
    <x v="3"/>
    <s v="Bachelor"/>
    <x v="2"/>
    <x v="1"/>
  </r>
  <r>
    <n v="31"/>
    <s v="Yes"/>
    <x v="0"/>
    <n v="249"/>
    <x v="0"/>
    <n v="6"/>
    <n v="4"/>
    <s v="Life Sciences"/>
    <n v="163"/>
    <n v="2"/>
    <x v="1"/>
    <n v="76"/>
    <n v="1"/>
    <x v="0"/>
    <x v="0"/>
    <n v="3"/>
    <x v="1"/>
    <n v="6172"/>
    <n v="20739"/>
    <n v="4"/>
    <x v="0"/>
    <n v="18"/>
    <n v="3"/>
    <n v="2"/>
    <n v="0"/>
    <n v="12"/>
    <n v="3"/>
    <x v="2"/>
    <n v="7"/>
    <n v="7"/>
    <n v="7"/>
    <n v="7"/>
    <x v="2"/>
    <x v="0"/>
    <n v="1"/>
    <x v="0"/>
    <s v="Master"/>
    <x v="2"/>
    <x v="2"/>
  </r>
  <r>
    <n v="26"/>
    <s v="No"/>
    <x v="0"/>
    <n v="841"/>
    <x v="1"/>
    <n v="6"/>
    <n v="3"/>
    <s v="Other"/>
    <n v="164"/>
    <n v="3"/>
    <x v="0"/>
    <n v="46"/>
    <n v="2"/>
    <x v="1"/>
    <x v="1"/>
    <n v="2"/>
    <x v="1"/>
    <n v="2368"/>
    <n v="23300"/>
    <n v="1"/>
    <x v="1"/>
    <n v="19"/>
    <n v="3"/>
    <n v="3"/>
    <n v="0"/>
    <n v="5"/>
    <n v="3"/>
    <x v="2"/>
    <n v="5"/>
    <n v="4"/>
    <n v="4"/>
    <n v="3"/>
    <x v="2"/>
    <x v="0"/>
    <n v="0"/>
    <x v="0"/>
    <s v="Bachelor"/>
    <x v="1"/>
    <x v="2"/>
  </r>
  <r>
    <n v="58"/>
    <s v="Yes"/>
    <x v="0"/>
    <n v="147"/>
    <x v="1"/>
    <n v="23"/>
    <n v="4"/>
    <s v="Medical"/>
    <n v="165"/>
    <n v="4"/>
    <x v="0"/>
    <n v="94"/>
    <n v="3"/>
    <x v="2"/>
    <x v="4"/>
    <n v="4"/>
    <x v="1"/>
    <n v="10312"/>
    <n v="3465"/>
    <n v="1"/>
    <x v="1"/>
    <n v="12"/>
    <n v="3"/>
    <n v="4"/>
    <n v="1"/>
    <n v="40"/>
    <n v="3"/>
    <x v="2"/>
    <n v="40"/>
    <n v="10"/>
    <n v="15"/>
    <n v="6"/>
    <x v="1"/>
    <x v="3"/>
    <n v="1"/>
    <x v="0"/>
    <s v="Master"/>
    <x v="0"/>
    <x v="2"/>
  </r>
  <r>
    <n v="19"/>
    <s v="Yes"/>
    <x v="0"/>
    <n v="528"/>
    <x v="0"/>
    <n v="22"/>
    <n v="1"/>
    <s v="Marketing"/>
    <n v="167"/>
    <n v="4"/>
    <x v="1"/>
    <n v="50"/>
    <n v="3"/>
    <x v="1"/>
    <x v="6"/>
    <n v="3"/>
    <x v="0"/>
    <n v="1675"/>
    <n v="26820"/>
    <n v="1"/>
    <x v="0"/>
    <n v="19"/>
    <n v="3"/>
    <n v="4"/>
    <n v="0"/>
    <n v="0"/>
    <n v="2"/>
    <x v="2"/>
    <n v="0"/>
    <n v="0"/>
    <n v="0"/>
    <n v="0"/>
    <x v="3"/>
    <x v="0"/>
    <n v="1"/>
    <x v="0"/>
    <s v="Below College"/>
    <x v="2"/>
    <x v="2"/>
  </r>
  <r>
    <n v="22"/>
    <s v="No"/>
    <x v="0"/>
    <n v="594"/>
    <x v="1"/>
    <n v="2"/>
    <n v="1"/>
    <s v="Technical Degree"/>
    <n v="169"/>
    <n v="3"/>
    <x v="1"/>
    <n v="100"/>
    <n v="3"/>
    <x v="1"/>
    <x v="2"/>
    <n v="4"/>
    <x v="1"/>
    <n v="2523"/>
    <n v="19299"/>
    <n v="0"/>
    <x v="1"/>
    <n v="14"/>
    <n v="3"/>
    <n v="3"/>
    <n v="1"/>
    <n v="3"/>
    <n v="2"/>
    <x v="1"/>
    <n v="2"/>
    <n v="1"/>
    <n v="2"/>
    <n v="1"/>
    <x v="3"/>
    <x v="0"/>
    <n v="0"/>
    <x v="2"/>
    <s v="Below College"/>
    <x v="0"/>
    <x v="1"/>
  </r>
  <r>
    <n v="49"/>
    <s v="No"/>
    <x v="0"/>
    <n v="470"/>
    <x v="1"/>
    <n v="20"/>
    <n v="4"/>
    <s v="Medical"/>
    <n v="170"/>
    <n v="3"/>
    <x v="0"/>
    <n v="96"/>
    <n v="3"/>
    <x v="0"/>
    <x v="3"/>
    <n v="1"/>
    <x v="1"/>
    <n v="6567"/>
    <n v="5549"/>
    <n v="1"/>
    <x v="1"/>
    <n v="14"/>
    <n v="3"/>
    <n v="3"/>
    <n v="0"/>
    <n v="16"/>
    <n v="2"/>
    <x v="2"/>
    <n v="15"/>
    <n v="11"/>
    <n v="5"/>
    <n v="11"/>
    <x v="1"/>
    <x v="3"/>
    <n v="0"/>
    <x v="0"/>
    <s v="Master"/>
    <x v="3"/>
    <x v="2"/>
  </r>
  <r>
    <n v="43"/>
    <s v="No"/>
    <x v="1"/>
    <n v="957"/>
    <x v="1"/>
    <n v="28"/>
    <n v="3"/>
    <s v="Medical"/>
    <n v="171"/>
    <n v="2"/>
    <x v="0"/>
    <n v="72"/>
    <n v="4"/>
    <x v="1"/>
    <x v="1"/>
    <n v="3"/>
    <x v="0"/>
    <n v="4739"/>
    <n v="16090"/>
    <n v="4"/>
    <x v="1"/>
    <n v="12"/>
    <n v="3"/>
    <n v="4"/>
    <n v="0"/>
    <n v="18"/>
    <n v="2"/>
    <x v="1"/>
    <n v="3"/>
    <n v="2"/>
    <n v="1"/>
    <n v="2"/>
    <x v="0"/>
    <x v="0"/>
    <n v="0"/>
    <x v="2"/>
    <s v="Bachelor"/>
    <x v="2"/>
    <x v="1"/>
  </r>
  <r>
    <n v="50"/>
    <s v="No"/>
    <x v="1"/>
    <n v="809"/>
    <x v="0"/>
    <n v="12"/>
    <n v="3"/>
    <s v="Marketing"/>
    <n v="174"/>
    <n v="3"/>
    <x v="0"/>
    <n v="77"/>
    <n v="3"/>
    <x v="2"/>
    <x v="0"/>
    <n v="4"/>
    <x v="0"/>
    <n v="9208"/>
    <n v="6645"/>
    <n v="4"/>
    <x v="1"/>
    <n v="11"/>
    <n v="3"/>
    <n v="4"/>
    <n v="0"/>
    <n v="16"/>
    <n v="3"/>
    <x v="1"/>
    <n v="2"/>
    <n v="2"/>
    <n v="2"/>
    <n v="1"/>
    <x v="1"/>
    <x v="2"/>
    <n v="0"/>
    <x v="2"/>
    <s v="Bachelor"/>
    <x v="0"/>
    <x v="1"/>
  </r>
  <r>
    <n v="31"/>
    <s v="Yes"/>
    <x v="0"/>
    <n v="542"/>
    <x v="0"/>
    <n v="20"/>
    <n v="3"/>
    <s v="Life Sciences"/>
    <n v="175"/>
    <n v="2"/>
    <x v="0"/>
    <n v="71"/>
    <n v="1"/>
    <x v="0"/>
    <x v="0"/>
    <n v="3"/>
    <x v="1"/>
    <n v="4559"/>
    <n v="24788"/>
    <n v="3"/>
    <x v="0"/>
    <n v="11"/>
    <n v="3"/>
    <n v="3"/>
    <n v="1"/>
    <n v="4"/>
    <n v="2"/>
    <x v="1"/>
    <n v="2"/>
    <n v="2"/>
    <n v="2"/>
    <n v="2"/>
    <x v="2"/>
    <x v="0"/>
    <n v="1"/>
    <x v="2"/>
    <s v="Bachelor"/>
    <x v="2"/>
    <x v="1"/>
  </r>
  <r>
    <n v="41"/>
    <s v="No"/>
    <x v="0"/>
    <n v="802"/>
    <x v="0"/>
    <n v="9"/>
    <n v="1"/>
    <s v="Life Sciences"/>
    <n v="176"/>
    <n v="3"/>
    <x v="1"/>
    <n v="96"/>
    <n v="3"/>
    <x v="2"/>
    <x v="0"/>
    <n v="3"/>
    <x v="2"/>
    <n v="8189"/>
    <n v="21196"/>
    <n v="3"/>
    <x v="0"/>
    <n v="13"/>
    <n v="3"/>
    <n v="3"/>
    <n v="1"/>
    <n v="12"/>
    <n v="2"/>
    <x v="1"/>
    <n v="9"/>
    <n v="7"/>
    <n v="0"/>
    <n v="7"/>
    <x v="0"/>
    <x v="0"/>
    <n v="0"/>
    <x v="1"/>
    <s v="Below College"/>
    <x v="2"/>
    <x v="1"/>
  </r>
  <r>
    <n v="26"/>
    <s v="No"/>
    <x v="0"/>
    <n v="1355"/>
    <x v="2"/>
    <n v="25"/>
    <n v="1"/>
    <s v="Life Sciences"/>
    <n v="177"/>
    <n v="3"/>
    <x v="0"/>
    <n v="61"/>
    <n v="3"/>
    <x v="1"/>
    <x v="8"/>
    <n v="3"/>
    <x v="1"/>
    <n v="2942"/>
    <n v="8916"/>
    <n v="1"/>
    <x v="1"/>
    <n v="23"/>
    <n v="4"/>
    <n v="4"/>
    <n v="1"/>
    <n v="8"/>
    <n v="3"/>
    <x v="1"/>
    <n v="8"/>
    <n v="7"/>
    <n v="5"/>
    <n v="7"/>
    <x v="2"/>
    <x v="2"/>
    <n v="0"/>
    <x v="1"/>
    <s v="Below College"/>
    <x v="2"/>
    <x v="1"/>
  </r>
  <r>
    <n v="36"/>
    <s v="No"/>
    <x v="0"/>
    <n v="216"/>
    <x v="1"/>
    <n v="6"/>
    <n v="2"/>
    <s v="Medical"/>
    <n v="178"/>
    <n v="2"/>
    <x v="1"/>
    <n v="84"/>
    <n v="3"/>
    <x v="0"/>
    <x v="3"/>
    <n v="2"/>
    <x v="2"/>
    <n v="4941"/>
    <n v="2819"/>
    <n v="6"/>
    <x v="1"/>
    <n v="20"/>
    <n v="4"/>
    <n v="4"/>
    <n v="2"/>
    <n v="7"/>
    <n v="0"/>
    <x v="1"/>
    <n v="3"/>
    <n v="2"/>
    <n v="0"/>
    <n v="1"/>
    <x v="0"/>
    <x v="1"/>
    <n v="0"/>
    <x v="2"/>
    <s v="College"/>
    <x v="1"/>
    <x v="1"/>
  </r>
  <r>
    <n v="51"/>
    <s v="Yes"/>
    <x v="1"/>
    <n v="1150"/>
    <x v="1"/>
    <n v="8"/>
    <n v="4"/>
    <s v="Life Sciences"/>
    <n v="179"/>
    <n v="1"/>
    <x v="1"/>
    <n v="53"/>
    <n v="1"/>
    <x v="2"/>
    <x v="3"/>
    <n v="4"/>
    <x v="0"/>
    <n v="10650"/>
    <n v="25150"/>
    <n v="2"/>
    <x v="1"/>
    <n v="15"/>
    <n v="3"/>
    <n v="4"/>
    <n v="0"/>
    <n v="18"/>
    <n v="2"/>
    <x v="1"/>
    <n v="4"/>
    <n v="2"/>
    <n v="0"/>
    <n v="3"/>
    <x v="1"/>
    <x v="0"/>
    <n v="1"/>
    <x v="2"/>
    <s v="Master"/>
    <x v="0"/>
    <x v="1"/>
  </r>
  <r>
    <n v="39"/>
    <s v="No"/>
    <x v="0"/>
    <n v="1329"/>
    <x v="0"/>
    <n v="4"/>
    <n v="4"/>
    <s v="Life Sciences"/>
    <n v="182"/>
    <n v="4"/>
    <x v="0"/>
    <n v="47"/>
    <n v="2"/>
    <x v="0"/>
    <x v="0"/>
    <n v="3"/>
    <x v="1"/>
    <n v="5902"/>
    <n v="14590"/>
    <n v="4"/>
    <x v="1"/>
    <n v="14"/>
    <n v="3"/>
    <n v="3"/>
    <n v="1"/>
    <n v="17"/>
    <n v="1"/>
    <x v="3"/>
    <n v="15"/>
    <n v="11"/>
    <n v="5"/>
    <n v="9"/>
    <x v="0"/>
    <x v="0"/>
    <n v="0"/>
    <x v="3"/>
    <s v="Master"/>
    <x v="2"/>
    <x v="3"/>
  </r>
  <r>
    <n v="25"/>
    <s v="No"/>
    <x v="0"/>
    <n v="959"/>
    <x v="0"/>
    <n v="28"/>
    <n v="3"/>
    <s v="Life Sciences"/>
    <n v="183"/>
    <n v="1"/>
    <x v="1"/>
    <n v="41"/>
    <n v="2"/>
    <x v="0"/>
    <x v="0"/>
    <n v="3"/>
    <x v="1"/>
    <n v="8639"/>
    <n v="24835"/>
    <n v="2"/>
    <x v="1"/>
    <n v="18"/>
    <n v="3"/>
    <n v="4"/>
    <n v="0"/>
    <n v="6"/>
    <n v="3"/>
    <x v="1"/>
    <n v="2"/>
    <n v="2"/>
    <n v="2"/>
    <n v="2"/>
    <x v="3"/>
    <x v="0"/>
    <n v="0"/>
    <x v="2"/>
    <s v="Bachelor"/>
    <x v="2"/>
    <x v="1"/>
  </r>
  <r>
    <n v="30"/>
    <s v="No"/>
    <x v="0"/>
    <n v="1240"/>
    <x v="2"/>
    <n v="9"/>
    <n v="3"/>
    <s v="Human Resources"/>
    <n v="184"/>
    <n v="3"/>
    <x v="1"/>
    <n v="48"/>
    <n v="3"/>
    <x v="0"/>
    <x v="8"/>
    <n v="4"/>
    <x v="1"/>
    <n v="6347"/>
    <n v="13982"/>
    <n v="0"/>
    <x v="0"/>
    <n v="19"/>
    <n v="3"/>
    <n v="4"/>
    <n v="0"/>
    <n v="12"/>
    <n v="2"/>
    <x v="0"/>
    <n v="11"/>
    <n v="9"/>
    <n v="4"/>
    <n v="7"/>
    <x v="2"/>
    <x v="0"/>
    <n v="0"/>
    <x v="0"/>
    <s v="Bachelor"/>
    <x v="0"/>
    <x v="0"/>
  </r>
  <r>
    <n v="32"/>
    <s v="Yes"/>
    <x v="0"/>
    <n v="1033"/>
    <x v="1"/>
    <n v="9"/>
    <n v="3"/>
    <s v="Medical"/>
    <n v="190"/>
    <n v="1"/>
    <x v="0"/>
    <n v="41"/>
    <n v="3"/>
    <x v="1"/>
    <x v="2"/>
    <n v="1"/>
    <x v="0"/>
    <n v="4200"/>
    <n v="10224"/>
    <n v="7"/>
    <x v="1"/>
    <n v="22"/>
    <n v="4"/>
    <n v="1"/>
    <n v="0"/>
    <n v="10"/>
    <n v="2"/>
    <x v="3"/>
    <n v="5"/>
    <n v="4"/>
    <n v="0"/>
    <n v="4"/>
    <x v="2"/>
    <x v="0"/>
    <n v="1"/>
    <x v="2"/>
    <s v="Bachelor"/>
    <x v="3"/>
    <x v="3"/>
  </r>
  <r>
    <n v="45"/>
    <s v="No"/>
    <x v="0"/>
    <n v="1316"/>
    <x v="1"/>
    <n v="29"/>
    <n v="3"/>
    <s v="Medical"/>
    <n v="192"/>
    <n v="3"/>
    <x v="1"/>
    <n v="83"/>
    <n v="3"/>
    <x v="1"/>
    <x v="1"/>
    <n v="4"/>
    <x v="0"/>
    <n v="3452"/>
    <n v="9752"/>
    <n v="5"/>
    <x v="1"/>
    <n v="13"/>
    <n v="3"/>
    <n v="2"/>
    <n v="0"/>
    <n v="9"/>
    <n v="2"/>
    <x v="2"/>
    <n v="6"/>
    <n v="5"/>
    <n v="0"/>
    <n v="3"/>
    <x v="0"/>
    <x v="2"/>
    <n v="0"/>
    <x v="0"/>
    <s v="Bachelor"/>
    <x v="0"/>
    <x v="2"/>
  </r>
  <r>
    <n v="38"/>
    <s v="No"/>
    <x v="0"/>
    <n v="364"/>
    <x v="1"/>
    <n v="3"/>
    <n v="5"/>
    <s v="Technical Degree"/>
    <n v="193"/>
    <n v="4"/>
    <x v="0"/>
    <n v="32"/>
    <n v="3"/>
    <x v="0"/>
    <x v="1"/>
    <n v="3"/>
    <x v="0"/>
    <n v="4317"/>
    <n v="2302"/>
    <n v="3"/>
    <x v="0"/>
    <n v="20"/>
    <n v="4"/>
    <n v="2"/>
    <n v="0"/>
    <n v="19"/>
    <n v="2"/>
    <x v="1"/>
    <n v="3"/>
    <n v="2"/>
    <n v="2"/>
    <n v="2"/>
    <x v="0"/>
    <x v="1"/>
    <n v="0"/>
    <x v="2"/>
    <s v="Doctor"/>
    <x v="2"/>
    <x v="1"/>
  </r>
  <r>
    <n v="30"/>
    <s v="No"/>
    <x v="0"/>
    <n v="438"/>
    <x v="1"/>
    <n v="18"/>
    <n v="3"/>
    <s v="Life Sciences"/>
    <n v="194"/>
    <n v="1"/>
    <x v="0"/>
    <n v="75"/>
    <n v="3"/>
    <x v="1"/>
    <x v="1"/>
    <n v="3"/>
    <x v="0"/>
    <n v="2632"/>
    <n v="23910"/>
    <n v="1"/>
    <x v="1"/>
    <n v="14"/>
    <n v="3"/>
    <n v="3"/>
    <n v="0"/>
    <n v="5"/>
    <n v="4"/>
    <x v="2"/>
    <n v="5"/>
    <n v="4"/>
    <n v="0"/>
    <n v="4"/>
    <x v="2"/>
    <x v="0"/>
    <n v="0"/>
    <x v="0"/>
    <s v="Bachelor"/>
    <x v="2"/>
    <x v="2"/>
  </r>
  <r>
    <n v="32"/>
    <s v="No"/>
    <x v="1"/>
    <n v="689"/>
    <x v="0"/>
    <n v="9"/>
    <n v="2"/>
    <s v="Medical"/>
    <n v="195"/>
    <n v="4"/>
    <x v="1"/>
    <n v="35"/>
    <n v="1"/>
    <x v="0"/>
    <x v="0"/>
    <n v="4"/>
    <x v="2"/>
    <n v="4668"/>
    <n v="22812"/>
    <n v="0"/>
    <x v="1"/>
    <n v="17"/>
    <n v="3"/>
    <n v="4"/>
    <n v="3"/>
    <n v="9"/>
    <n v="2"/>
    <x v="3"/>
    <n v="8"/>
    <n v="7"/>
    <n v="0"/>
    <n v="7"/>
    <x v="2"/>
    <x v="0"/>
    <n v="0"/>
    <x v="1"/>
    <s v="College"/>
    <x v="0"/>
    <x v="3"/>
  </r>
  <r>
    <n v="30"/>
    <s v="No"/>
    <x v="0"/>
    <n v="201"/>
    <x v="1"/>
    <n v="5"/>
    <n v="3"/>
    <s v="Technical Degree"/>
    <n v="197"/>
    <n v="4"/>
    <x v="0"/>
    <n v="84"/>
    <n v="3"/>
    <x v="1"/>
    <x v="1"/>
    <n v="1"/>
    <x v="2"/>
    <n v="3204"/>
    <n v="10415"/>
    <n v="5"/>
    <x v="1"/>
    <n v="14"/>
    <n v="3"/>
    <n v="4"/>
    <n v="1"/>
    <n v="8"/>
    <n v="3"/>
    <x v="1"/>
    <n v="3"/>
    <n v="2"/>
    <n v="2"/>
    <n v="2"/>
    <x v="2"/>
    <x v="0"/>
    <n v="0"/>
    <x v="2"/>
    <s v="Bachelor"/>
    <x v="3"/>
    <x v="1"/>
  </r>
  <r>
    <n v="30"/>
    <s v="No"/>
    <x v="0"/>
    <n v="1427"/>
    <x v="1"/>
    <n v="2"/>
    <n v="1"/>
    <s v="Medical"/>
    <n v="198"/>
    <n v="2"/>
    <x v="1"/>
    <n v="35"/>
    <n v="2"/>
    <x v="1"/>
    <x v="2"/>
    <n v="4"/>
    <x v="0"/>
    <n v="2720"/>
    <n v="11162"/>
    <n v="0"/>
    <x v="1"/>
    <n v="13"/>
    <n v="3"/>
    <n v="4"/>
    <n v="0"/>
    <n v="6"/>
    <n v="3"/>
    <x v="1"/>
    <n v="5"/>
    <n v="3"/>
    <n v="1"/>
    <n v="2"/>
    <x v="2"/>
    <x v="0"/>
    <n v="0"/>
    <x v="2"/>
    <s v="Below College"/>
    <x v="0"/>
    <x v="1"/>
  </r>
  <r>
    <n v="41"/>
    <s v="No"/>
    <x v="1"/>
    <n v="857"/>
    <x v="1"/>
    <n v="10"/>
    <n v="3"/>
    <s v="Life Sciences"/>
    <n v="199"/>
    <n v="4"/>
    <x v="1"/>
    <n v="91"/>
    <n v="2"/>
    <x v="3"/>
    <x v="5"/>
    <n v="1"/>
    <x v="2"/>
    <n v="17181"/>
    <n v="12888"/>
    <n v="4"/>
    <x v="1"/>
    <n v="13"/>
    <n v="3"/>
    <n v="2"/>
    <n v="1"/>
    <n v="21"/>
    <n v="2"/>
    <x v="2"/>
    <n v="7"/>
    <n v="6"/>
    <n v="7"/>
    <n v="7"/>
    <x v="0"/>
    <x v="0"/>
    <n v="0"/>
    <x v="0"/>
    <s v="Bachelor"/>
    <x v="3"/>
    <x v="2"/>
  </r>
  <r>
    <n v="41"/>
    <s v="No"/>
    <x v="0"/>
    <n v="933"/>
    <x v="1"/>
    <n v="9"/>
    <n v="4"/>
    <s v="Life Sciences"/>
    <n v="200"/>
    <n v="3"/>
    <x v="1"/>
    <n v="94"/>
    <n v="3"/>
    <x v="1"/>
    <x v="2"/>
    <n v="1"/>
    <x v="1"/>
    <n v="2238"/>
    <n v="6961"/>
    <n v="2"/>
    <x v="1"/>
    <n v="21"/>
    <n v="4"/>
    <n v="4"/>
    <n v="1"/>
    <n v="7"/>
    <n v="2"/>
    <x v="1"/>
    <n v="5"/>
    <n v="0"/>
    <n v="1"/>
    <n v="4"/>
    <x v="0"/>
    <x v="2"/>
    <n v="0"/>
    <x v="2"/>
    <s v="Master"/>
    <x v="3"/>
    <x v="1"/>
  </r>
  <r>
    <n v="19"/>
    <s v="No"/>
    <x v="0"/>
    <n v="1181"/>
    <x v="1"/>
    <n v="3"/>
    <n v="1"/>
    <s v="Medical"/>
    <n v="201"/>
    <n v="2"/>
    <x v="0"/>
    <n v="79"/>
    <n v="3"/>
    <x v="1"/>
    <x v="2"/>
    <n v="2"/>
    <x v="0"/>
    <n v="1483"/>
    <n v="16102"/>
    <n v="1"/>
    <x v="1"/>
    <n v="14"/>
    <n v="3"/>
    <n v="4"/>
    <n v="0"/>
    <n v="1"/>
    <n v="3"/>
    <x v="1"/>
    <n v="1"/>
    <n v="0"/>
    <n v="0"/>
    <n v="0"/>
    <x v="3"/>
    <x v="0"/>
    <n v="0"/>
    <x v="2"/>
    <s v="Below College"/>
    <x v="1"/>
    <x v="1"/>
  </r>
  <r>
    <n v="40"/>
    <s v="No"/>
    <x v="1"/>
    <n v="1395"/>
    <x v="1"/>
    <n v="26"/>
    <n v="3"/>
    <s v="Medical"/>
    <n v="202"/>
    <n v="2"/>
    <x v="0"/>
    <n v="54"/>
    <n v="3"/>
    <x v="0"/>
    <x v="1"/>
    <n v="2"/>
    <x v="2"/>
    <n v="5605"/>
    <n v="8504"/>
    <n v="1"/>
    <x v="1"/>
    <n v="11"/>
    <n v="3"/>
    <n v="1"/>
    <n v="1"/>
    <n v="20"/>
    <n v="2"/>
    <x v="1"/>
    <n v="20"/>
    <n v="7"/>
    <n v="2"/>
    <n v="13"/>
    <x v="0"/>
    <x v="2"/>
    <n v="0"/>
    <x v="3"/>
    <s v="Bachelor"/>
    <x v="1"/>
    <x v="1"/>
  </r>
  <r>
    <n v="35"/>
    <s v="No"/>
    <x v="0"/>
    <n v="662"/>
    <x v="0"/>
    <n v="1"/>
    <n v="5"/>
    <s v="Marketing"/>
    <n v="204"/>
    <n v="3"/>
    <x v="1"/>
    <n v="94"/>
    <n v="3"/>
    <x v="2"/>
    <x v="0"/>
    <n v="2"/>
    <x v="1"/>
    <n v="7295"/>
    <n v="11439"/>
    <n v="1"/>
    <x v="1"/>
    <n v="13"/>
    <n v="3"/>
    <n v="1"/>
    <n v="2"/>
    <n v="10"/>
    <n v="3"/>
    <x v="1"/>
    <n v="10"/>
    <n v="8"/>
    <n v="0"/>
    <n v="6"/>
    <x v="2"/>
    <x v="0"/>
    <n v="0"/>
    <x v="1"/>
    <s v="Doctor"/>
    <x v="1"/>
    <x v="1"/>
  </r>
  <r>
    <n v="53"/>
    <s v="No"/>
    <x v="0"/>
    <n v="1436"/>
    <x v="0"/>
    <n v="6"/>
    <n v="2"/>
    <s v="Marketing"/>
    <n v="205"/>
    <n v="2"/>
    <x v="1"/>
    <n v="34"/>
    <n v="3"/>
    <x v="0"/>
    <x v="6"/>
    <n v="3"/>
    <x v="1"/>
    <n v="2306"/>
    <n v="16047"/>
    <n v="2"/>
    <x v="0"/>
    <n v="20"/>
    <n v="4"/>
    <n v="4"/>
    <n v="1"/>
    <n v="13"/>
    <n v="3"/>
    <x v="0"/>
    <n v="7"/>
    <n v="7"/>
    <n v="4"/>
    <n v="5"/>
    <x v="1"/>
    <x v="0"/>
    <n v="0"/>
    <x v="0"/>
    <s v="College"/>
    <x v="2"/>
    <x v="0"/>
  </r>
  <r>
    <n v="45"/>
    <s v="No"/>
    <x v="0"/>
    <n v="194"/>
    <x v="1"/>
    <n v="9"/>
    <n v="3"/>
    <s v="Life Sciences"/>
    <n v="206"/>
    <n v="2"/>
    <x v="1"/>
    <n v="60"/>
    <n v="3"/>
    <x v="0"/>
    <x v="2"/>
    <n v="2"/>
    <x v="2"/>
    <n v="2348"/>
    <n v="10901"/>
    <n v="8"/>
    <x v="1"/>
    <n v="18"/>
    <n v="3"/>
    <n v="3"/>
    <n v="1"/>
    <n v="20"/>
    <n v="2"/>
    <x v="0"/>
    <n v="17"/>
    <n v="9"/>
    <n v="0"/>
    <n v="15"/>
    <x v="0"/>
    <x v="0"/>
    <n v="0"/>
    <x v="0"/>
    <s v="Bachelor"/>
    <x v="1"/>
    <x v="0"/>
  </r>
  <r>
    <n v="32"/>
    <s v="No"/>
    <x v="1"/>
    <n v="967"/>
    <x v="0"/>
    <n v="8"/>
    <n v="3"/>
    <s v="Marketing"/>
    <n v="207"/>
    <n v="2"/>
    <x v="0"/>
    <n v="43"/>
    <n v="3"/>
    <x v="2"/>
    <x v="0"/>
    <n v="4"/>
    <x v="0"/>
    <n v="8998"/>
    <n v="15589"/>
    <n v="1"/>
    <x v="1"/>
    <n v="14"/>
    <n v="3"/>
    <n v="4"/>
    <n v="0"/>
    <n v="9"/>
    <n v="2"/>
    <x v="1"/>
    <n v="9"/>
    <n v="8"/>
    <n v="3"/>
    <n v="7"/>
    <x v="2"/>
    <x v="0"/>
    <n v="0"/>
    <x v="1"/>
    <s v="Bachelor"/>
    <x v="0"/>
    <x v="1"/>
  </r>
  <r>
    <n v="29"/>
    <s v="No"/>
    <x v="2"/>
    <n v="1496"/>
    <x v="1"/>
    <n v="1"/>
    <n v="1"/>
    <s v="Technical Degree"/>
    <n v="208"/>
    <n v="4"/>
    <x v="1"/>
    <n v="41"/>
    <n v="3"/>
    <x v="0"/>
    <x v="3"/>
    <n v="3"/>
    <x v="1"/>
    <n v="4319"/>
    <n v="26283"/>
    <n v="1"/>
    <x v="1"/>
    <n v="13"/>
    <n v="3"/>
    <n v="1"/>
    <n v="1"/>
    <n v="10"/>
    <n v="1"/>
    <x v="1"/>
    <n v="10"/>
    <n v="7"/>
    <n v="0"/>
    <n v="9"/>
    <x v="2"/>
    <x v="0"/>
    <n v="0"/>
    <x v="1"/>
    <s v="Below College"/>
    <x v="2"/>
    <x v="1"/>
  </r>
  <r>
    <n v="51"/>
    <s v="No"/>
    <x v="0"/>
    <n v="1169"/>
    <x v="1"/>
    <n v="7"/>
    <n v="4"/>
    <s v="Medical"/>
    <n v="211"/>
    <n v="2"/>
    <x v="1"/>
    <n v="34"/>
    <n v="2"/>
    <x v="0"/>
    <x v="3"/>
    <n v="3"/>
    <x v="1"/>
    <n v="6132"/>
    <n v="13983"/>
    <n v="2"/>
    <x v="1"/>
    <n v="17"/>
    <n v="3"/>
    <n v="3"/>
    <n v="0"/>
    <n v="10"/>
    <n v="2"/>
    <x v="1"/>
    <n v="1"/>
    <n v="0"/>
    <n v="0"/>
    <n v="0"/>
    <x v="1"/>
    <x v="0"/>
    <n v="0"/>
    <x v="2"/>
    <s v="Master"/>
    <x v="2"/>
    <x v="1"/>
  </r>
  <r>
    <n v="58"/>
    <s v="No"/>
    <x v="0"/>
    <n v="1145"/>
    <x v="1"/>
    <n v="9"/>
    <n v="3"/>
    <s v="Medical"/>
    <n v="214"/>
    <n v="2"/>
    <x v="0"/>
    <n v="75"/>
    <n v="2"/>
    <x v="1"/>
    <x v="1"/>
    <n v="2"/>
    <x v="1"/>
    <n v="3346"/>
    <n v="11873"/>
    <n v="4"/>
    <x v="0"/>
    <n v="20"/>
    <n v="4"/>
    <n v="2"/>
    <n v="1"/>
    <n v="9"/>
    <n v="3"/>
    <x v="2"/>
    <n v="1"/>
    <n v="0"/>
    <n v="0"/>
    <n v="0"/>
    <x v="1"/>
    <x v="0"/>
    <n v="0"/>
    <x v="0"/>
    <s v="Bachelor"/>
    <x v="1"/>
    <x v="2"/>
  </r>
  <r>
    <n v="40"/>
    <s v="No"/>
    <x v="0"/>
    <n v="630"/>
    <x v="0"/>
    <n v="4"/>
    <n v="4"/>
    <s v="Marketing"/>
    <n v="215"/>
    <n v="3"/>
    <x v="1"/>
    <n v="67"/>
    <n v="2"/>
    <x v="2"/>
    <x v="0"/>
    <n v="4"/>
    <x v="1"/>
    <n v="10855"/>
    <n v="8552"/>
    <n v="7"/>
    <x v="1"/>
    <n v="11"/>
    <n v="3"/>
    <n v="1"/>
    <n v="1"/>
    <n v="15"/>
    <n v="2"/>
    <x v="2"/>
    <n v="12"/>
    <n v="11"/>
    <n v="2"/>
    <n v="11"/>
    <x v="0"/>
    <x v="2"/>
    <n v="0"/>
    <x v="0"/>
    <s v="Master"/>
    <x v="0"/>
    <x v="2"/>
  </r>
  <r>
    <n v="34"/>
    <s v="No"/>
    <x v="1"/>
    <n v="303"/>
    <x v="0"/>
    <n v="2"/>
    <n v="4"/>
    <s v="Marketing"/>
    <n v="216"/>
    <n v="3"/>
    <x v="0"/>
    <n v="75"/>
    <n v="3"/>
    <x v="1"/>
    <x v="6"/>
    <n v="3"/>
    <x v="1"/>
    <n v="2231"/>
    <n v="11314"/>
    <n v="6"/>
    <x v="1"/>
    <n v="18"/>
    <n v="3"/>
    <n v="4"/>
    <n v="1"/>
    <n v="6"/>
    <n v="3"/>
    <x v="1"/>
    <n v="4"/>
    <n v="3"/>
    <n v="1"/>
    <n v="2"/>
    <x v="2"/>
    <x v="0"/>
    <n v="0"/>
    <x v="2"/>
    <s v="Master"/>
    <x v="2"/>
    <x v="1"/>
  </r>
  <r>
    <n v="22"/>
    <s v="No"/>
    <x v="0"/>
    <n v="1256"/>
    <x v="1"/>
    <n v="19"/>
    <n v="1"/>
    <s v="Medical"/>
    <n v="217"/>
    <n v="3"/>
    <x v="1"/>
    <n v="80"/>
    <n v="3"/>
    <x v="1"/>
    <x v="1"/>
    <n v="4"/>
    <x v="1"/>
    <n v="2323"/>
    <n v="11992"/>
    <n v="1"/>
    <x v="1"/>
    <n v="24"/>
    <n v="4"/>
    <n v="1"/>
    <n v="2"/>
    <n v="2"/>
    <n v="6"/>
    <x v="1"/>
    <n v="2"/>
    <n v="2"/>
    <n v="2"/>
    <n v="2"/>
    <x v="3"/>
    <x v="0"/>
    <n v="0"/>
    <x v="2"/>
    <s v="Below College"/>
    <x v="0"/>
    <x v="1"/>
  </r>
  <r>
    <n v="27"/>
    <s v="No"/>
    <x v="2"/>
    <n v="691"/>
    <x v="1"/>
    <n v="9"/>
    <n v="3"/>
    <s v="Medical"/>
    <n v="218"/>
    <n v="4"/>
    <x v="1"/>
    <n v="57"/>
    <n v="3"/>
    <x v="1"/>
    <x v="1"/>
    <n v="2"/>
    <x v="2"/>
    <n v="2024"/>
    <n v="5970"/>
    <n v="6"/>
    <x v="1"/>
    <n v="18"/>
    <n v="3"/>
    <n v="4"/>
    <n v="1"/>
    <n v="6"/>
    <n v="1"/>
    <x v="0"/>
    <n v="2"/>
    <n v="2"/>
    <n v="2"/>
    <n v="2"/>
    <x v="2"/>
    <x v="3"/>
    <n v="0"/>
    <x v="0"/>
    <s v="Bachelor"/>
    <x v="1"/>
    <x v="0"/>
  </r>
  <r>
    <n v="28"/>
    <s v="No"/>
    <x v="0"/>
    <n v="440"/>
    <x v="1"/>
    <n v="21"/>
    <n v="3"/>
    <s v="Medical"/>
    <n v="221"/>
    <n v="3"/>
    <x v="1"/>
    <n v="42"/>
    <n v="3"/>
    <x v="1"/>
    <x v="1"/>
    <n v="4"/>
    <x v="1"/>
    <n v="2713"/>
    <n v="6672"/>
    <n v="1"/>
    <x v="1"/>
    <n v="11"/>
    <n v="3"/>
    <n v="3"/>
    <n v="1"/>
    <n v="5"/>
    <n v="2"/>
    <x v="0"/>
    <n v="5"/>
    <n v="2"/>
    <n v="0"/>
    <n v="2"/>
    <x v="2"/>
    <x v="2"/>
    <n v="0"/>
    <x v="0"/>
    <s v="Bachelor"/>
    <x v="0"/>
    <x v="0"/>
  </r>
  <r>
    <n v="57"/>
    <s v="No"/>
    <x v="0"/>
    <n v="334"/>
    <x v="1"/>
    <n v="24"/>
    <n v="2"/>
    <s v="Life Sciences"/>
    <n v="223"/>
    <n v="3"/>
    <x v="1"/>
    <n v="83"/>
    <n v="4"/>
    <x v="2"/>
    <x v="4"/>
    <n v="4"/>
    <x v="2"/>
    <n v="9439"/>
    <n v="23402"/>
    <n v="3"/>
    <x v="0"/>
    <n v="16"/>
    <n v="3"/>
    <n v="2"/>
    <n v="1"/>
    <n v="12"/>
    <n v="2"/>
    <x v="0"/>
    <n v="5"/>
    <n v="3"/>
    <n v="1"/>
    <n v="4"/>
    <x v="1"/>
    <x v="0"/>
    <n v="0"/>
    <x v="0"/>
    <s v="College"/>
    <x v="0"/>
    <x v="0"/>
  </r>
  <r>
    <n v="27"/>
    <s v="No"/>
    <x v="2"/>
    <n v="1450"/>
    <x v="1"/>
    <n v="3"/>
    <n v="3"/>
    <s v="Medical"/>
    <n v="224"/>
    <n v="3"/>
    <x v="1"/>
    <n v="79"/>
    <n v="2"/>
    <x v="1"/>
    <x v="1"/>
    <n v="3"/>
    <x v="2"/>
    <n v="2566"/>
    <n v="25326"/>
    <n v="1"/>
    <x v="0"/>
    <n v="15"/>
    <n v="3"/>
    <n v="4"/>
    <n v="1"/>
    <n v="1"/>
    <n v="2"/>
    <x v="2"/>
    <n v="1"/>
    <n v="1"/>
    <n v="0"/>
    <n v="1"/>
    <x v="2"/>
    <x v="0"/>
    <n v="0"/>
    <x v="0"/>
    <s v="Bachelor"/>
    <x v="2"/>
    <x v="2"/>
  </r>
  <r>
    <n v="50"/>
    <s v="No"/>
    <x v="0"/>
    <n v="1452"/>
    <x v="1"/>
    <n v="11"/>
    <n v="3"/>
    <s v="Life Sciences"/>
    <n v="226"/>
    <n v="3"/>
    <x v="0"/>
    <n v="53"/>
    <n v="3"/>
    <x v="4"/>
    <x v="5"/>
    <n v="2"/>
    <x v="0"/>
    <n v="19926"/>
    <n v="17053"/>
    <n v="3"/>
    <x v="1"/>
    <n v="15"/>
    <n v="3"/>
    <n v="2"/>
    <n v="0"/>
    <n v="21"/>
    <n v="5"/>
    <x v="1"/>
    <n v="5"/>
    <n v="4"/>
    <n v="4"/>
    <n v="4"/>
    <x v="1"/>
    <x v="0"/>
    <n v="0"/>
    <x v="2"/>
    <s v="Bachelor"/>
    <x v="1"/>
    <x v="1"/>
  </r>
  <r>
    <n v="41"/>
    <s v="No"/>
    <x v="0"/>
    <n v="465"/>
    <x v="1"/>
    <n v="14"/>
    <n v="3"/>
    <s v="Life Sciences"/>
    <n v="227"/>
    <n v="1"/>
    <x v="1"/>
    <n v="56"/>
    <n v="3"/>
    <x v="1"/>
    <x v="1"/>
    <n v="3"/>
    <x v="2"/>
    <n v="2451"/>
    <n v="4609"/>
    <n v="4"/>
    <x v="1"/>
    <n v="12"/>
    <n v="3"/>
    <n v="1"/>
    <n v="1"/>
    <n v="13"/>
    <n v="2"/>
    <x v="1"/>
    <n v="9"/>
    <n v="8"/>
    <n v="1"/>
    <n v="8"/>
    <x v="0"/>
    <x v="3"/>
    <n v="0"/>
    <x v="1"/>
    <s v="Bachelor"/>
    <x v="2"/>
    <x v="1"/>
  </r>
  <r>
    <n v="30"/>
    <s v="No"/>
    <x v="0"/>
    <n v="1339"/>
    <x v="0"/>
    <n v="5"/>
    <n v="3"/>
    <s v="Life Sciences"/>
    <n v="228"/>
    <n v="2"/>
    <x v="0"/>
    <n v="41"/>
    <n v="3"/>
    <x v="2"/>
    <x v="0"/>
    <n v="4"/>
    <x v="1"/>
    <n v="9419"/>
    <n v="8053"/>
    <n v="2"/>
    <x v="1"/>
    <n v="12"/>
    <n v="3"/>
    <n v="3"/>
    <n v="1"/>
    <n v="12"/>
    <n v="2"/>
    <x v="1"/>
    <n v="10"/>
    <n v="9"/>
    <n v="7"/>
    <n v="4"/>
    <x v="2"/>
    <x v="2"/>
    <n v="0"/>
    <x v="1"/>
    <s v="Bachelor"/>
    <x v="0"/>
    <x v="1"/>
  </r>
  <r>
    <n v="38"/>
    <s v="No"/>
    <x v="0"/>
    <n v="702"/>
    <x v="0"/>
    <n v="1"/>
    <n v="4"/>
    <s v="Life Sciences"/>
    <n v="230"/>
    <n v="1"/>
    <x v="0"/>
    <n v="59"/>
    <n v="2"/>
    <x v="0"/>
    <x v="0"/>
    <n v="4"/>
    <x v="0"/>
    <n v="8686"/>
    <n v="12930"/>
    <n v="4"/>
    <x v="1"/>
    <n v="22"/>
    <n v="4"/>
    <n v="3"/>
    <n v="0"/>
    <n v="12"/>
    <n v="2"/>
    <x v="3"/>
    <n v="8"/>
    <n v="3"/>
    <n v="0"/>
    <n v="7"/>
    <x v="0"/>
    <x v="0"/>
    <n v="0"/>
    <x v="1"/>
    <s v="Master"/>
    <x v="0"/>
    <x v="3"/>
  </r>
  <r>
    <n v="32"/>
    <s v="No"/>
    <x v="0"/>
    <n v="120"/>
    <x v="1"/>
    <n v="6"/>
    <n v="5"/>
    <s v="Life Sciences"/>
    <n v="231"/>
    <n v="3"/>
    <x v="1"/>
    <n v="43"/>
    <n v="3"/>
    <x v="1"/>
    <x v="1"/>
    <n v="3"/>
    <x v="0"/>
    <n v="3038"/>
    <n v="12430"/>
    <n v="3"/>
    <x v="1"/>
    <n v="20"/>
    <n v="4"/>
    <n v="1"/>
    <n v="0"/>
    <n v="8"/>
    <n v="2"/>
    <x v="1"/>
    <n v="5"/>
    <n v="4"/>
    <n v="1"/>
    <n v="4"/>
    <x v="2"/>
    <x v="0"/>
    <n v="0"/>
    <x v="2"/>
    <s v="Doctor"/>
    <x v="2"/>
    <x v="1"/>
  </r>
  <r>
    <n v="27"/>
    <s v="No"/>
    <x v="0"/>
    <n v="1157"/>
    <x v="1"/>
    <n v="17"/>
    <n v="3"/>
    <s v="Technical Degree"/>
    <n v="233"/>
    <n v="3"/>
    <x v="1"/>
    <n v="51"/>
    <n v="3"/>
    <x v="1"/>
    <x v="1"/>
    <n v="2"/>
    <x v="1"/>
    <n v="3058"/>
    <n v="13364"/>
    <n v="0"/>
    <x v="0"/>
    <n v="16"/>
    <n v="3"/>
    <n v="4"/>
    <n v="1"/>
    <n v="6"/>
    <n v="3"/>
    <x v="2"/>
    <n v="5"/>
    <n v="2"/>
    <n v="1"/>
    <n v="1"/>
    <x v="2"/>
    <x v="0"/>
    <n v="0"/>
    <x v="0"/>
    <s v="Bachelor"/>
    <x v="1"/>
    <x v="2"/>
  </r>
  <r>
    <n v="19"/>
    <s v="Yes"/>
    <x v="1"/>
    <n v="602"/>
    <x v="0"/>
    <n v="1"/>
    <n v="1"/>
    <s v="Technical Degree"/>
    <n v="235"/>
    <n v="3"/>
    <x v="0"/>
    <n v="100"/>
    <n v="1"/>
    <x v="1"/>
    <x v="6"/>
    <n v="1"/>
    <x v="0"/>
    <n v="2325"/>
    <n v="20989"/>
    <n v="0"/>
    <x v="1"/>
    <n v="21"/>
    <n v="4"/>
    <n v="1"/>
    <n v="0"/>
    <n v="1"/>
    <n v="5"/>
    <x v="3"/>
    <n v="0"/>
    <n v="0"/>
    <n v="0"/>
    <n v="0"/>
    <x v="3"/>
    <x v="0"/>
    <n v="1"/>
    <x v="2"/>
    <s v="Below College"/>
    <x v="3"/>
    <x v="3"/>
  </r>
  <r>
    <n v="36"/>
    <s v="No"/>
    <x v="1"/>
    <n v="1480"/>
    <x v="1"/>
    <n v="3"/>
    <n v="2"/>
    <s v="Medical"/>
    <n v="238"/>
    <n v="4"/>
    <x v="1"/>
    <n v="30"/>
    <n v="3"/>
    <x v="1"/>
    <x v="2"/>
    <n v="2"/>
    <x v="0"/>
    <n v="2088"/>
    <n v="15062"/>
    <n v="4"/>
    <x v="1"/>
    <n v="12"/>
    <n v="3"/>
    <n v="3"/>
    <n v="0"/>
    <n v="13"/>
    <n v="3"/>
    <x v="2"/>
    <n v="8"/>
    <n v="7"/>
    <n v="7"/>
    <n v="2"/>
    <x v="0"/>
    <x v="0"/>
    <n v="0"/>
    <x v="0"/>
    <s v="College"/>
    <x v="1"/>
    <x v="2"/>
  </r>
  <r>
    <n v="30"/>
    <s v="No"/>
    <x v="2"/>
    <n v="111"/>
    <x v="1"/>
    <n v="9"/>
    <n v="3"/>
    <s v="Medical"/>
    <n v="239"/>
    <n v="3"/>
    <x v="1"/>
    <n v="66"/>
    <n v="3"/>
    <x v="0"/>
    <x v="2"/>
    <n v="1"/>
    <x v="2"/>
    <n v="3072"/>
    <n v="11012"/>
    <n v="1"/>
    <x v="1"/>
    <n v="11"/>
    <n v="3"/>
    <n v="3"/>
    <n v="2"/>
    <n v="12"/>
    <n v="4"/>
    <x v="1"/>
    <n v="12"/>
    <n v="9"/>
    <n v="6"/>
    <n v="10"/>
    <x v="2"/>
    <x v="0"/>
    <n v="0"/>
    <x v="3"/>
    <s v="Bachelor"/>
    <x v="3"/>
    <x v="1"/>
  </r>
  <r>
    <n v="45"/>
    <s v="No"/>
    <x v="0"/>
    <n v="1268"/>
    <x v="0"/>
    <n v="4"/>
    <n v="2"/>
    <s v="Life Sciences"/>
    <n v="240"/>
    <n v="3"/>
    <x v="0"/>
    <n v="30"/>
    <n v="3"/>
    <x v="0"/>
    <x v="0"/>
    <n v="1"/>
    <x v="2"/>
    <n v="5006"/>
    <n v="6319"/>
    <n v="4"/>
    <x v="0"/>
    <n v="11"/>
    <n v="3"/>
    <n v="1"/>
    <n v="1"/>
    <n v="9"/>
    <n v="3"/>
    <x v="3"/>
    <n v="5"/>
    <n v="4"/>
    <n v="0"/>
    <n v="3"/>
    <x v="0"/>
    <x v="2"/>
    <n v="0"/>
    <x v="2"/>
    <s v="College"/>
    <x v="3"/>
    <x v="3"/>
  </r>
  <r>
    <n v="56"/>
    <s v="No"/>
    <x v="0"/>
    <n v="713"/>
    <x v="1"/>
    <n v="8"/>
    <n v="3"/>
    <s v="Life Sciences"/>
    <n v="241"/>
    <n v="3"/>
    <x v="0"/>
    <n v="67"/>
    <n v="3"/>
    <x v="1"/>
    <x v="1"/>
    <n v="1"/>
    <x v="2"/>
    <n v="4257"/>
    <n v="13939"/>
    <n v="4"/>
    <x v="0"/>
    <n v="18"/>
    <n v="3"/>
    <n v="3"/>
    <n v="1"/>
    <n v="19"/>
    <n v="3"/>
    <x v="1"/>
    <n v="2"/>
    <n v="2"/>
    <n v="2"/>
    <n v="2"/>
    <x v="1"/>
    <x v="0"/>
    <n v="0"/>
    <x v="2"/>
    <s v="Bachelor"/>
    <x v="3"/>
    <x v="1"/>
  </r>
  <r>
    <n v="33"/>
    <s v="No"/>
    <x v="0"/>
    <n v="134"/>
    <x v="1"/>
    <n v="2"/>
    <n v="3"/>
    <s v="Life Sciences"/>
    <n v="242"/>
    <n v="3"/>
    <x v="1"/>
    <n v="90"/>
    <n v="3"/>
    <x v="1"/>
    <x v="1"/>
    <n v="4"/>
    <x v="0"/>
    <n v="2500"/>
    <n v="10515"/>
    <n v="0"/>
    <x v="1"/>
    <n v="14"/>
    <n v="3"/>
    <n v="1"/>
    <n v="0"/>
    <n v="4"/>
    <n v="2"/>
    <x v="3"/>
    <n v="3"/>
    <n v="1"/>
    <n v="0"/>
    <n v="2"/>
    <x v="2"/>
    <x v="0"/>
    <n v="0"/>
    <x v="2"/>
    <s v="Bachelor"/>
    <x v="0"/>
    <x v="3"/>
  </r>
  <r>
    <n v="19"/>
    <s v="Yes"/>
    <x v="0"/>
    <n v="303"/>
    <x v="1"/>
    <n v="2"/>
    <n v="3"/>
    <s v="Life Sciences"/>
    <n v="243"/>
    <n v="2"/>
    <x v="1"/>
    <n v="47"/>
    <n v="2"/>
    <x v="1"/>
    <x v="2"/>
    <n v="4"/>
    <x v="0"/>
    <n v="1102"/>
    <n v="9241"/>
    <n v="1"/>
    <x v="1"/>
    <n v="22"/>
    <n v="4"/>
    <n v="3"/>
    <n v="0"/>
    <n v="1"/>
    <n v="3"/>
    <x v="2"/>
    <n v="1"/>
    <n v="0"/>
    <n v="1"/>
    <n v="0"/>
    <x v="3"/>
    <x v="2"/>
    <n v="1"/>
    <x v="0"/>
    <s v="Bachelor"/>
    <x v="0"/>
    <x v="2"/>
  </r>
  <r>
    <n v="46"/>
    <s v="No"/>
    <x v="0"/>
    <n v="526"/>
    <x v="0"/>
    <n v="1"/>
    <n v="2"/>
    <s v="Marketing"/>
    <n v="244"/>
    <n v="2"/>
    <x v="0"/>
    <n v="92"/>
    <n v="3"/>
    <x v="2"/>
    <x v="0"/>
    <n v="1"/>
    <x v="2"/>
    <n v="10453"/>
    <n v="2137"/>
    <n v="1"/>
    <x v="1"/>
    <n v="25"/>
    <n v="4"/>
    <n v="3"/>
    <n v="3"/>
    <n v="24"/>
    <n v="2"/>
    <x v="1"/>
    <n v="24"/>
    <n v="13"/>
    <n v="15"/>
    <n v="7"/>
    <x v="1"/>
    <x v="1"/>
    <n v="0"/>
    <x v="3"/>
    <s v="College"/>
    <x v="3"/>
    <x v="1"/>
  </r>
  <r>
    <n v="38"/>
    <s v="No"/>
    <x v="0"/>
    <n v="1380"/>
    <x v="1"/>
    <n v="9"/>
    <n v="2"/>
    <s v="Life Sciences"/>
    <n v="245"/>
    <n v="3"/>
    <x v="0"/>
    <n v="75"/>
    <n v="3"/>
    <x v="1"/>
    <x v="2"/>
    <n v="4"/>
    <x v="0"/>
    <n v="2288"/>
    <n v="6319"/>
    <n v="1"/>
    <x v="1"/>
    <n v="12"/>
    <n v="3"/>
    <n v="3"/>
    <n v="0"/>
    <n v="2"/>
    <n v="3"/>
    <x v="1"/>
    <n v="2"/>
    <n v="2"/>
    <n v="2"/>
    <n v="1"/>
    <x v="0"/>
    <x v="2"/>
    <n v="0"/>
    <x v="2"/>
    <s v="College"/>
    <x v="0"/>
    <x v="1"/>
  </r>
  <r>
    <n v="31"/>
    <s v="No"/>
    <x v="0"/>
    <n v="140"/>
    <x v="1"/>
    <n v="12"/>
    <n v="1"/>
    <s v="Medical"/>
    <n v="246"/>
    <n v="3"/>
    <x v="0"/>
    <n v="95"/>
    <n v="3"/>
    <x v="1"/>
    <x v="1"/>
    <n v="4"/>
    <x v="1"/>
    <n v="3929"/>
    <n v="6984"/>
    <n v="8"/>
    <x v="0"/>
    <n v="23"/>
    <n v="4"/>
    <n v="3"/>
    <n v="1"/>
    <n v="7"/>
    <n v="0"/>
    <x v="1"/>
    <n v="4"/>
    <n v="2"/>
    <n v="0"/>
    <n v="2"/>
    <x v="2"/>
    <x v="2"/>
    <n v="0"/>
    <x v="2"/>
    <s v="Below College"/>
    <x v="0"/>
    <x v="1"/>
  </r>
  <r>
    <n v="34"/>
    <s v="No"/>
    <x v="0"/>
    <n v="629"/>
    <x v="1"/>
    <n v="27"/>
    <n v="2"/>
    <s v="Medical"/>
    <n v="247"/>
    <n v="4"/>
    <x v="0"/>
    <n v="95"/>
    <n v="3"/>
    <x v="1"/>
    <x v="1"/>
    <n v="2"/>
    <x v="0"/>
    <n v="2311"/>
    <n v="5711"/>
    <n v="2"/>
    <x v="1"/>
    <n v="15"/>
    <n v="3"/>
    <n v="4"/>
    <n v="0"/>
    <n v="9"/>
    <n v="3"/>
    <x v="1"/>
    <n v="3"/>
    <n v="2"/>
    <n v="1"/>
    <n v="2"/>
    <x v="2"/>
    <x v="3"/>
    <n v="0"/>
    <x v="2"/>
    <s v="College"/>
    <x v="1"/>
    <x v="1"/>
  </r>
  <r>
    <n v="41"/>
    <s v="Yes"/>
    <x v="0"/>
    <n v="1356"/>
    <x v="0"/>
    <n v="20"/>
    <n v="2"/>
    <s v="Marketing"/>
    <n v="248"/>
    <n v="2"/>
    <x v="0"/>
    <n v="70"/>
    <n v="3"/>
    <x v="1"/>
    <x v="6"/>
    <n v="2"/>
    <x v="0"/>
    <n v="3140"/>
    <n v="21728"/>
    <n v="1"/>
    <x v="0"/>
    <n v="22"/>
    <n v="4"/>
    <n v="4"/>
    <n v="0"/>
    <n v="4"/>
    <n v="5"/>
    <x v="2"/>
    <n v="4"/>
    <n v="3"/>
    <n v="0"/>
    <n v="2"/>
    <x v="0"/>
    <x v="0"/>
    <n v="1"/>
    <x v="0"/>
    <s v="College"/>
    <x v="1"/>
    <x v="2"/>
  </r>
  <r>
    <n v="50"/>
    <s v="No"/>
    <x v="0"/>
    <n v="328"/>
    <x v="1"/>
    <n v="1"/>
    <n v="3"/>
    <s v="Medical"/>
    <n v="249"/>
    <n v="3"/>
    <x v="1"/>
    <n v="86"/>
    <n v="2"/>
    <x v="1"/>
    <x v="2"/>
    <n v="3"/>
    <x v="1"/>
    <n v="3690"/>
    <n v="3425"/>
    <n v="2"/>
    <x v="1"/>
    <n v="15"/>
    <n v="3"/>
    <n v="4"/>
    <n v="1"/>
    <n v="5"/>
    <n v="2"/>
    <x v="2"/>
    <n v="3"/>
    <n v="2"/>
    <n v="0"/>
    <n v="2"/>
    <x v="1"/>
    <x v="3"/>
    <n v="0"/>
    <x v="0"/>
    <s v="Bachelor"/>
    <x v="2"/>
    <x v="2"/>
  </r>
  <r>
    <n v="53"/>
    <s v="No"/>
    <x v="0"/>
    <n v="1084"/>
    <x v="1"/>
    <n v="13"/>
    <n v="2"/>
    <s v="Medical"/>
    <n v="250"/>
    <n v="4"/>
    <x v="0"/>
    <n v="57"/>
    <n v="4"/>
    <x v="0"/>
    <x v="3"/>
    <n v="1"/>
    <x v="2"/>
    <n v="4450"/>
    <n v="26250"/>
    <n v="1"/>
    <x v="1"/>
    <n v="11"/>
    <n v="3"/>
    <n v="3"/>
    <n v="2"/>
    <n v="5"/>
    <n v="3"/>
    <x v="1"/>
    <n v="4"/>
    <n v="2"/>
    <n v="1"/>
    <n v="3"/>
    <x v="1"/>
    <x v="0"/>
    <n v="0"/>
    <x v="2"/>
    <s v="College"/>
    <x v="3"/>
    <x v="1"/>
  </r>
  <r>
    <n v="33"/>
    <s v="No"/>
    <x v="0"/>
    <n v="931"/>
    <x v="1"/>
    <n v="14"/>
    <n v="3"/>
    <s v="Medical"/>
    <n v="252"/>
    <n v="4"/>
    <x v="0"/>
    <n v="72"/>
    <n v="3"/>
    <x v="1"/>
    <x v="1"/>
    <n v="2"/>
    <x v="1"/>
    <n v="2756"/>
    <n v="4673"/>
    <n v="1"/>
    <x v="1"/>
    <n v="13"/>
    <n v="3"/>
    <n v="4"/>
    <n v="1"/>
    <n v="8"/>
    <n v="5"/>
    <x v="1"/>
    <n v="8"/>
    <n v="7"/>
    <n v="1"/>
    <n v="6"/>
    <x v="2"/>
    <x v="3"/>
    <n v="0"/>
    <x v="1"/>
    <s v="Bachelor"/>
    <x v="1"/>
    <x v="1"/>
  </r>
  <r>
    <n v="40"/>
    <s v="No"/>
    <x v="0"/>
    <n v="989"/>
    <x v="1"/>
    <n v="4"/>
    <n v="1"/>
    <s v="Medical"/>
    <n v="253"/>
    <n v="4"/>
    <x v="0"/>
    <n v="46"/>
    <n v="3"/>
    <x v="4"/>
    <x v="5"/>
    <n v="3"/>
    <x v="1"/>
    <n v="19033"/>
    <n v="6499"/>
    <n v="1"/>
    <x v="1"/>
    <n v="14"/>
    <n v="3"/>
    <n v="2"/>
    <n v="1"/>
    <n v="21"/>
    <n v="2"/>
    <x v="1"/>
    <n v="20"/>
    <n v="8"/>
    <n v="9"/>
    <n v="9"/>
    <x v="0"/>
    <x v="2"/>
    <n v="0"/>
    <x v="3"/>
    <s v="Below College"/>
    <x v="2"/>
    <x v="1"/>
  </r>
  <r>
    <n v="55"/>
    <s v="No"/>
    <x v="0"/>
    <n v="692"/>
    <x v="1"/>
    <n v="14"/>
    <n v="4"/>
    <s v="Medical"/>
    <n v="254"/>
    <n v="3"/>
    <x v="1"/>
    <n v="61"/>
    <n v="4"/>
    <x v="4"/>
    <x v="7"/>
    <n v="2"/>
    <x v="0"/>
    <n v="18722"/>
    <n v="13339"/>
    <n v="8"/>
    <x v="1"/>
    <n v="11"/>
    <n v="3"/>
    <n v="4"/>
    <n v="0"/>
    <n v="36"/>
    <n v="3"/>
    <x v="1"/>
    <n v="24"/>
    <n v="15"/>
    <n v="2"/>
    <n v="15"/>
    <x v="1"/>
    <x v="0"/>
    <n v="0"/>
    <x v="3"/>
    <s v="Master"/>
    <x v="1"/>
    <x v="1"/>
  </r>
  <r>
    <n v="34"/>
    <s v="No"/>
    <x v="1"/>
    <n v="1069"/>
    <x v="1"/>
    <n v="2"/>
    <n v="1"/>
    <s v="Life Sciences"/>
    <n v="256"/>
    <n v="4"/>
    <x v="1"/>
    <n v="45"/>
    <n v="2"/>
    <x v="0"/>
    <x v="3"/>
    <n v="3"/>
    <x v="1"/>
    <n v="9547"/>
    <n v="14074"/>
    <n v="1"/>
    <x v="1"/>
    <n v="17"/>
    <n v="3"/>
    <n v="3"/>
    <n v="0"/>
    <n v="10"/>
    <n v="2"/>
    <x v="2"/>
    <n v="10"/>
    <n v="9"/>
    <n v="1"/>
    <n v="9"/>
    <x v="2"/>
    <x v="0"/>
    <n v="0"/>
    <x v="0"/>
    <s v="Below College"/>
    <x v="2"/>
    <x v="2"/>
  </r>
  <r>
    <n v="51"/>
    <s v="No"/>
    <x v="0"/>
    <n v="313"/>
    <x v="1"/>
    <n v="3"/>
    <n v="3"/>
    <s v="Medical"/>
    <n v="258"/>
    <n v="4"/>
    <x v="0"/>
    <n v="98"/>
    <n v="3"/>
    <x v="3"/>
    <x v="4"/>
    <n v="2"/>
    <x v="0"/>
    <n v="13734"/>
    <n v="7192"/>
    <n v="3"/>
    <x v="1"/>
    <n v="18"/>
    <n v="3"/>
    <n v="3"/>
    <n v="0"/>
    <n v="21"/>
    <n v="6"/>
    <x v="1"/>
    <n v="7"/>
    <n v="7"/>
    <n v="1"/>
    <n v="0"/>
    <x v="1"/>
    <x v="2"/>
    <n v="0"/>
    <x v="1"/>
    <s v="Bachelor"/>
    <x v="1"/>
    <x v="1"/>
  </r>
  <r>
    <n v="52"/>
    <s v="No"/>
    <x v="0"/>
    <n v="699"/>
    <x v="1"/>
    <n v="1"/>
    <n v="4"/>
    <s v="Life Sciences"/>
    <n v="259"/>
    <n v="3"/>
    <x v="1"/>
    <n v="65"/>
    <n v="2"/>
    <x v="4"/>
    <x v="5"/>
    <n v="3"/>
    <x v="1"/>
    <n v="19999"/>
    <n v="5678"/>
    <n v="0"/>
    <x v="1"/>
    <n v="14"/>
    <n v="3"/>
    <n v="1"/>
    <n v="1"/>
    <n v="34"/>
    <n v="5"/>
    <x v="1"/>
    <n v="33"/>
    <n v="18"/>
    <n v="11"/>
    <n v="9"/>
    <x v="1"/>
    <x v="3"/>
    <n v="0"/>
    <x v="3"/>
    <s v="Master"/>
    <x v="2"/>
    <x v="1"/>
  </r>
  <r>
    <n v="27"/>
    <s v="No"/>
    <x v="0"/>
    <n v="894"/>
    <x v="1"/>
    <n v="9"/>
    <n v="3"/>
    <s v="Medical"/>
    <n v="260"/>
    <n v="4"/>
    <x v="0"/>
    <n v="99"/>
    <n v="3"/>
    <x v="1"/>
    <x v="1"/>
    <n v="2"/>
    <x v="0"/>
    <n v="2279"/>
    <n v="11781"/>
    <n v="1"/>
    <x v="1"/>
    <n v="16"/>
    <n v="3"/>
    <n v="4"/>
    <n v="0"/>
    <n v="7"/>
    <n v="2"/>
    <x v="2"/>
    <n v="7"/>
    <n v="7"/>
    <n v="0"/>
    <n v="3"/>
    <x v="2"/>
    <x v="0"/>
    <n v="0"/>
    <x v="0"/>
    <s v="Bachelor"/>
    <x v="1"/>
    <x v="2"/>
  </r>
  <r>
    <n v="35"/>
    <s v="Yes"/>
    <x v="0"/>
    <n v="556"/>
    <x v="1"/>
    <n v="23"/>
    <n v="2"/>
    <s v="Life Sciences"/>
    <n v="261"/>
    <n v="2"/>
    <x v="1"/>
    <n v="50"/>
    <n v="2"/>
    <x v="0"/>
    <x v="3"/>
    <n v="3"/>
    <x v="1"/>
    <n v="5916"/>
    <n v="15497"/>
    <n v="3"/>
    <x v="0"/>
    <n v="13"/>
    <n v="3"/>
    <n v="1"/>
    <n v="0"/>
    <n v="8"/>
    <n v="1"/>
    <x v="1"/>
    <n v="1"/>
    <n v="0"/>
    <n v="0"/>
    <n v="1"/>
    <x v="2"/>
    <x v="0"/>
    <n v="1"/>
    <x v="2"/>
    <s v="College"/>
    <x v="2"/>
    <x v="1"/>
  </r>
  <r>
    <n v="43"/>
    <s v="No"/>
    <x v="2"/>
    <n v="1344"/>
    <x v="1"/>
    <n v="7"/>
    <n v="3"/>
    <s v="Medical"/>
    <n v="262"/>
    <n v="4"/>
    <x v="1"/>
    <n v="37"/>
    <n v="4"/>
    <x v="1"/>
    <x v="1"/>
    <n v="4"/>
    <x v="2"/>
    <n v="2089"/>
    <n v="5228"/>
    <n v="4"/>
    <x v="1"/>
    <n v="14"/>
    <n v="3"/>
    <n v="4"/>
    <n v="3"/>
    <n v="7"/>
    <n v="3"/>
    <x v="3"/>
    <n v="5"/>
    <n v="4"/>
    <n v="2"/>
    <n v="2"/>
    <x v="0"/>
    <x v="3"/>
    <n v="0"/>
    <x v="2"/>
    <s v="Bachelor"/>
    <x v="0"/>
    <x v="3"/>
  </r>
  <r>
    <n v="45"/>
    <s v="No"/>
    <x v="2"/>
    <n v="1195"/>
    <x v="1"/>
    <n v="2"/>
    <n v="2"/>
    <s v="Medical"/>
    <n v="264"/>
    <n v="1"/>
    <x v="1"/>
    <n v="65"/>
    <n v="2"/>
    <x v="3"/>
    <x v="5"/>
    <n v="4"/>
    <x v="1"/>
    <n v="16792"/>
    <n v="20462"/>
    <n v="9"/>
    <x v="1"/>
    <n v="23"/>
    <n v="4"/>
    <n v="4"/>
    <n v="1"/>
    <n v="22"/>
    <n v="1"/>
    <x v="1"/>
    <n v="20"/>
    <n v="8"/>
    <n v="11"/>
    <n v="8"/>
    <x v="0"/>
    <x v="0"/>
    <n v="0"/>
    <x v="3"/>
    <s v="College"/>
    <x v="0"/>
    <x v="1"/>
  </r>
  <r>
    <n v="37"/>
    <s v="No"/>
    <x v="0"/>
    <n v="290"/>
    <x v="1"/>
    <n v="21"/>
    <n v="3"/>
    <s v="Life Sciences"/>
    <n v="267"/>
    <n v="2"/>
    <x v="1"/>
    <n v="65"/>
    <n v="4"/>
    <x v="1"/>
    <x v="1"/>
    <n v="1"/>
    <x v="1"/>
    <n v="3564"/>
    <n v="22977"/>
    <n v="1"/>
    <x v="0"/>
    <n v="12"/>
    <n v="3"/>
    <n v="1"/>
    <n v="1"/>
    <n v="8"/>
    <n v="3"/>
    <x v="2"/>
    <n v="8"/>
    <n v="7"/>
    <n v="1"/>
    <n v="7"/>
    <x v="0"/>
    <x v="0"/>
    <n v="0"/>
    <x v="0"/>
    <s v="Bachelor"/>
    <x v="3"/>
    <x v="2"/>
  </r>
  <r>
    <n v="35"/>
    <s v="No"/>
    <x v="1"/>
    <n v="138"/>
    <x v="1"/>
    <n v="2"/>
    <n v="3"/>
    <s v="Medical"/>
    <n v="269"/>
    <n v="2"/>
    <x v="0"/>
    <n v="37"/>
    <n v="3"/>
    <x v="0"/>
    <x v="2"/>
    <n v="2"/>
    <x v="0"/>
    <n v="4425"/>
    <n v="15986"/>
    <n v="5"/>
    <x v="1"/>
    <n v="11"/>
    <n v="3"/>
    <n v="4"/>
    <n v="0"/>
    <n v="10"/>
    <n v="5"/>
    <x v="1"/>
    <n v="6"/>
    <n v="2"/>
    <n v="1"/>
    <n v="2"/>
    <x v="2"/>
    <x v="0"/>
    <n v="0"/>
    <x v="1"/>
    <s v="Bachelor"/>
    <x v="1"/>
    <x v="1"/>
  </r>
  <r>
    <n v="42"/>
    <s v="No"/>
    <x v="2"/>
    <n v="926"/>
    <x v="1"/>
    <n v="21"/>
    <n v="2"/>
    <s v="Medical"/>
    <n v="270"/>
    <n v="3"/>
    <x v="0"/>
    <n v="36"/>
    <n v="3"/>
    <x v="0"/>
    <x v="3"/>
    <n v="3"/>
    <x v="2"/>
    <n v="5265"/>
    <n v="16439"/>
    <n v="2"/>
    <x v="1"/>
    <n v="16"/>
    <n v="3"/>
    <n v="2"/>
    <n v="1"/>
    <n v="11"/>
    <n v="5"/>
    <x v="1"/>
    <n v="5"/>
    <n v="3"/>
    <n v="0"/>
    <n v="2"/>
    <x v="0"/>
    <x v="0"/>
    <n v="0"/>
    <x v="2"/>
    <s v="College"/>
    <x v="2"/>
    <x v="1"/>
  </r>
  <r>
    <n v="38"/>
    <s v="No"/>
    <x v="0"/>
    <n v="1261"/>
    <x v="1"/>
    <n v="2"/>
    <n v="4"/>
    <s v="Life Sciences"/>
    <n v="271"/>
    <n v="4"/>
    <x v="1"/>
    <n v="88"/>
    <n v="3"/>
    <x v="0"/>
    <x v="3"/>
    <n v="3"/>
    <x v="1"/>
    <n v="6553"/>
    <n v="7259"/>
    <n v="9"/>
    <x v="1"/>
    <n v="14"/>
    <n v="3"/>
    <n v="2"/>
    <n v="0"/>
    <n v="14"/>
    <n v="3"/>
    <x v="1"/>
    <n v="1"/>
    <n v="0"/>
    <n v="0"/>
    <n v="0"/>
    <x v="0"/>
    <x v="2"/>
    <n v="0"/>
    <x v="2"/>
    <s v="Master"/>
    <x v="2"/>
    <x v="1"/>
  </r>
  <r>
    <n v="38"/>
    <s v="No"/>
    <x v="0"/>
    <n v="1084"/>
    <x v="1"/>
    <n v="29"/>
    <n v="3"/>
    <s v="Technical Degree"/>
    <n v="273"/>
    <n v="4"/>
    <x v="1"/>
    <n v="54"/>
    <n v="3"/>
    <x v="0"/>
    <x v="3"/>
    <n v="4"/>
    <x v="1"/>
    <n v="6261"/>
    <n v="4185"/>
    <n v="3"/>
    <x v="1"/>
    <n v="18"/>
    <n v="3"/>
    <n v="1"/>
    <n v="1"/>
    <n v="9"/>
    <n v="3"/>
    <x v="0"/>
    <n v="7"/>
    <n v="7"/>
    <n v="1"/>
    <n v="7"/>
    <x v="0"/>
    <x v="3"/>
    <n v="0"/>
    <x v="0"/>
    <s v="Bachelor"/>
    <x v="0"/>
    <x v="0"/>
  </r>
  <r>
    <n v="27"/>
    <s v="No"/>
    <x v="1"/>
    <n v="472"/>
    <x v="1"/>
    <n v="1"/>
    <n v="1"/>
    <s v="Technical Degree"/>
    <n v="274"/>
    <n v="3"/>
    <x v="1"/>
    <n v="60"/>
    <n v="2"/>
    <x v="0"/>
    <x v="3"/>
    <n v="1"/>
    <x v="1"/>
    <n v="4298"/>
    <n v="9679"/>
    <n v="5"/>
    <x v="1"/>
    <n v="19"/>
    <n v="3"/>
    <n v="3"/>
    <n v="1"/>
    <n v="6"/>
    <n v="1"/>
    <x v="1"/>
    <n v="2"/>
    <n v="2"/>
    <n v="2"/>
    <n v="0"/>
    <x v="2"/>
    <x v="2"/>
    <n v="0"/>
    <x v="2"/>
    <s v="Below College"/>
    <x v="3"/>
    <x v="1"/>
  </r>
  <r>
    <n v="49"/>
    <s v="No"/>
    <x v="2"/>
    <n v="1002"/>
    <x v="1"/>
    <n v="18"/>
    <n v="4"/>
    <s v="Life Sciences"/>
    <n v="275"/>
    <n v="4"/>
    <x v="1"/>
    <n v="92"/>
    <n v="3"/>
    <x v="0"/>
    <x v="3"/>
    <n v="4"/>
    <x v="2"/>
    <n v="6804"/>
    <n v="23793"/>
    <n v="1"/>
    <x v="0"/>
    <n v="15"/>
    <n v="3"/>
    <n v="1"/>
    <n v="2"/>
    <n v="7"/>
    <n v="0"/>
    <x v="1"/>
    <n v="7"/>
    <n v="7"/>
    <n v="1"/>
    <n v="7"/>
    <x v="1"/>
    <x v="0"/>
    <n v="0"/>
    <x v="1"/>
    <s v="Master"/>
    <x v="0"/>
    <x v="1"/>
  </r>
  <r>
    <n v="34"/>
    <s v="No"/>
    <x v="1"/>
    <n v="878"/>
    <x v="1"/>
    <n v="10"/>
    <n v="4"/>
    <s v="Medical"/>
    <n v="277"/>
    <n v="4"/>
    <x v="1"/>
    <n v="43"/>
    <n v="3"/>
    <x v="1"/>
    <x v="1"/>
    <n v="3"/>
    <x v="2"/>
    <n v="3815"/>
    <n v="5972"/>
    <n v="1"/>
    <x v="0"/>
    <n v="17"/>
    <n v="3"/>
    <n v="4"/>
    <n v="1"/>
    <n v="5"/>
    <n v="4"/>
    <x v="3"/>
    <n v="5"/>
    <n v="3"/>
    <n v="2"/>
    <n v="0"/>
    <x v="2"/>
    <x v="3"/>
    <n v="0"/>
    <x v="2"/>
    <s v="Master"/>
    <x v="2"/>
    <x v="3"/>
  </r>
  <r>
    <n v="40"/>
    <s v="No"/>
    <x v="0"/>
    <n v="905"/>
    <x v="1"/>
    <n v="19"/>
    <n v="2"/>
    <s v="Medical"/>
    <n v="281"/>
    <n v="3"/>
    <x v="1"/>
    <n v="99"/>
    <n v="3"/>
    <x v="0"/>
    <x v="2"/>
    <n v="4"/>
    <x v="1"/>
    <n v="2741"/>
    <n v="16523"/>
    <n v="8"/>
    <x v="0"/>
    <n v="15"/>
    <n v="3"/>
    <n v="3"/>
    <n v="1"/>
    <n v="15"/>
    <n v="2"/>
    <x v="3"/>
    <n v="7"/>
    <n v="2"/>
    <n v="3"/>
    <n v="7"/>
    <x v="0"/>
    <x v="0"/>
    <n v="0"/>
    <x v="1"/>
    <s v="College"/>
    <x v="0"/>
    <x v="3"/>
  </r>
  <r>
    <n v="38"/>
    <s v="Yes"/>
    <x v="0"/>
    <n v="1180"/>
    <x v="1"/>
    <n v="29"/>
    <n v="1"/>
    <s v="Medical"/>
    <n v="282"/>
    <n v="2"/>
    <x v="1"/>
    <n v="70"/>
    <n v="3"/>
    <x v="0"/>
    <x v="4"/>
    <n v="1"/>
    <x v="1"/>
    <n v="6673"/>
    <n v="11354"/>
    <n v="7"/>
    <x v="0"/>
    <n v="19"/>
    <n v="3"/>
    <n v="2"/>
    <n v="0"/>
    <n v="17"/>
    <n v="2"/>
    <x v="1"/>
    <n v="1"/>
    <n v="0"/>
    <n v="0"/>
    <n v="0"/>
    <x v="0"/>
    <x v="0"/>
    <n v="1"/>
    <x v="2"/>
    <s v="Below College"/>
    <x v="3"/>
    <x v="1"/>
  </r>
  <r>
    <n v="29"/>
    <s v="Yes"/>
    <x v="0"/>
    <n v="121"/>
    <x v="0"/>
    <n v="27"/>
    <n v="3"/>
    <s v="Marketing"/>
    <n v="283"/>
    <n v="2"/>
    <x v="0"/>
    <n v="35"/>
    <n v="3"/>
    <x v="2"/>
    <x v="0"/>
    <n v="4"/>
    <x v="1"/>
    <n v="7639"/>
    <n v="24525"/>
    <n v="1"/>
    <x v="1"/>
    <n v="22"/>
    <n v="4"/>
    <n v="4"/>
    <n v="3"/>
    <n v="10"/>
    <n v="3"/>
    <x v="2"/>
    <n v="10"/>
    <n v="4"/>
    <n v="1"/>
    <n v="9"/>
    <x v="2"/>
    <x v="0"/>
    <n v="1"/>
    <x v="0"/>
    <s v="Bachelor"/>
    <x v="0"/>
    <x v="2"/>
  </r>
  <r>
    <n v="22"/>
    <s v="No"/>
    <x v="0"/>
    <n v="1136"/>
    <x v="1"/>
    <n v="5"/>
    <n v="3"/>
    <s v="Life Sciences"/>
    <n v="284"/>
    <n v="4"/>
    <x v="1"/>
    <n v="60"/>
    <n v="4"/>
    <x v="1"/>
    <x v="1"/>
    <n v="2"/>
    <x v="2"/>
    <n v="2328"/>
    <n v="12392"/>
    <n v="1"/>
    <x v="0"/>
    <n v="16"/>
    <n v="3"/>
    <n v="1"/>
    <n v="1"/>
    <n v="4"/>
    <n v="2"/>
    <x v="2"/>
    <n v="4"/>
    <n v="2"/>
    <n v="2"/>
    <n v="2"/>
    <x v="3"/>
    <x v="0"/>
    <n v="0"/>
    <x v="0"/>
    <s v="Bachelor"/>
    <x v="1"/>
    <x v="2"/>
  </r>
  <r>
    <n v="36"/>
    <s v="No"/>
    <x v="1"/>
    <n v="635"/>
    <x v="1"/>
    <n v="18"/>
    <n v="1"/>
    <s v="Medical"/>
    <n v="286"/>
    <n v="2"/>
    <x v="0"/>
    <n v="73"/>
    <n v="3"/>
    <x v="1"/>
    <x v="2"/>
    <n v="4"/>
    <x v="0"/>
    <n v="2153"/>
    <n v="7703"/>
    <n v="1"/>
    <x v="1"/>
    <n v="13"/>
    <n v="3"/>
    <n v="1"/>
    <n v="0"/>
    <n v="8"/>
    <n v="2"/>
    <x v="1"/>
    <n v="8"/>
    <n v="1"/>
    <n v="1"/>
    <n v="7"/>
    <x v="0"/>
    <x v="2"/>
    <n v="0"/>
    <x v="1"/>
    <s v="Below College"/>
    <x v="0"/>
    <x v="1"/>
  </r>
  <r>
    <n v="40"/>
    <s v="No"/>
    <x v="2"/>
    <n v="1151"/>
    <x v="1"/>
    <n v="9"/>
    <n v="5"/>
    <s v="Life Sciences"/>
    <n v="287"/>
    <n v="4"/>
    <x v="1"/>
    <n v="63"/>
    <n v="2"/>
    <x v="0"/>
    <x v="4"/>
    <n v="4"/>
    <x v="1"/>
    <n v="4876"/>
    <n v="14242"/>
    <n v="9"/>
    <x v="1"/>
    <n v="14"/>
    <n v="3"/>
    <n v="4"/>
    <n v="1"/>
    <n v="5"/>
    <n v="5"/>
    <x v="0"/>
    <n v="3"/>
    <n v="2"/>
    <n v="0"/>
    <n v="2"/>
    <x v="0"/>
    <x v="0"/>
    <n v="0"/>
    <x v="0"/>
    <s v="Doctor"/>
    <x v="0"/>
    <x v="0"/>
  </r>
  <r>
    <n v="46"/>
    <s v="No"/>
    <x v="0"/>
    <n v="644"/>
    <x v="1"/>
    <n v="1"/>
    <n v="4"/>
    <s v="Medical"/>
    <n v="288"/>
    <n v="4"/>
    <x v="1"/>
    <n v="97"/>
    <n v="3"/>
    <x v="2"/>
    <x v="4"/>
    <n v="1"/>
    <x v="2"/>
    <n v="9396"/>
    <n v="12368"/>
    <n v="7"/>
    <x v="1"/>
    <n v="16"/>
    <n v="3"/>
    <n v="3"/>
    <n v="1"/>
    <n v="17"/>
    <n v="3"/>
    <x v="1"/>
    <n v="4"/>
    <n v="2"/>
    <n v="0"/>
    <n v="3"/>
    <x v="1"/>
    <x v="0"/>
    <n v="0"/>
    <x v="2"/>
    <s v="Master"/>
    <x v="3"/>
    <x v="1"/>
  </r>
  <r>
    <n v="32"/>
    <s v="Yes"/>
    <x v="0"/>
    <n v="1045"/>
    <x v="0"/>
    <n v="4"/>
    <n v="4"/>
    <s v="Medical"/>
    <n v="291"/>
    <n v="4"/>
    <x v="1"/>
    <n v="32"/>
    <n v="1"/>
    <x v="2"/>
    <x v="0"/>
    <n v="4"/>
    <x v="1"/>
    <n v="10400"/>
    <n v="25812"/>
    <n v="1"/>
    <x v="1"/>
    <n v="11"/>
    <n v="3"/>
    <n v="3"/>
    <n v="0"/>
    <n v="14"/>
    <n v="2"/>
    <x v="2"/>
    <n v="14"/>
    <n v="8"/>
    <n v="9"/>
    <n v="8"/>
    <x v="2"/>
    <x v="0"/>
    <n v="1"/>
    <x v="0"/>
    <s v="Master"/>
    <x v="0"/>
    <x v="2"/>
  </r>
  <r>
    <n v="30"/>
    <s v="No"/>
    <x v="2"/>
    <n v="829"/>
    <x v="1"/>
    <n v="1"/>
    <n v="1"/>
    <s v="Life Sciences"/>
    <n v="292"/>
    <n v="3"/>
    <x v="1"/>
    <n v="88"/>
    <n v="2"/>
    <x v="2"/>
    <x v="3"/>
    <n v="3"/>
    <x v="0"/>
    <n v="8474"/>
    <n v="20925"/>
    <n v="1"/>
    <x v="1"/>
    <n v="22"/>
    <n v="4"/>
    <n v="3"/>
    <n v="0"/>
    <n v="12"/>
    <n v="2"/>
    <x v="1"/>
    <n v="11"/>
    <n v="8"/>
    <n v="5"/>
    <n v="8"/>
    <x v="2"/>
    <x v="0"/>
    <n v="0"/>
    <x v="3"/>
    <s v="Below College"/>
    <x v="2"/>
    <x v="1"/>
  </r>
  <r>
    <n v="27"/>
    <s v="No"/>
    <x v="1"/>
    <n v="1242"/>
    <x v="0"/>
    <n v="20"/>
    <n v="3"/>
    <s v="Life Sciences"/>
    <n v="293"/>
    <n v="4"/>
    <x v="0"/>
    <n v="90"/>
    <n v="3"/>
    <x v="0"/>
    <x v="0"/>
    <n v="3"/>
    <x v="0"/>
    <n v="9981"/>
    <n v="12916"/>
    <n v="1"/>
    <x v="1"/>
    <n v="14"/>
    <n v="3"/>
    <n v="4"/>
    <n v="0"/>
    <n v="7"/>
    <n v="2"/>
    <x v="1"/>
    <n v="7"/>
    <n v="7"/>
    <n v="0"/>
    <n v="7"/>
    <x v="2"/>
    <x v="0"/>
    <n v="0"/>
    <x v="1"/>
    <s v="Bachelor"/>
    <x v="2"/>
    <x v="1"/>
  </r>
  <r>
    <n v="51"/>
    <s v="No"/>
    <x v="0"/>
    <n v="1469"/>
    <x v="1"/>
    <n v="8"/>
    <n v="4"/>
    <s v="Life Sciences"/>
    <n v="296"/>
    <n v="2"/>
    <x v="1"/>
    <n v="81"/>
    <n v="2"/>
    <x v="2"/>
    <x v="7"/>
    <n v="2"/>
    <x v="1"/>
    <n v="12490"/>
    <n v="15736"/>
    <n v="5"/>
    <x v="1"/>
    <n v="16"/>
    <n v="3"/>
    <n v="4"/>
    <n v="2"/>
    <n v="16"/>
    <n v="5"/>
    <x v="0"/>
    <n v="10"/>
    <n v="9"/>
    <n v="4"/>
    <n v="7"/>
    <x v="1"/>
    <x v="0"/>
    <n v="0"/>
    <x v="0"/>
    <s v="Master"/>
    <x v="1"/>
    <x v="0"/>
  </r>
  <r>
    <n v="30"/>
    <s v="Yes"/>
    <x v="0"/>
    <n v="1005"/>
    <x v="1"/>
    <n v="3"/>
    <n v="3"/>
    <s v="Technical Degree"/>
    <n v="297"/>
    <n v="4"/>
    <x v="0"/>
    <n v="88"/>
    <n v="3"/>
    <x v="1"/>
    <x v="1"/>
    <n v="1"/>
    <x v="0"/>
    <n v="2657"/>
    <n v="8556"/>
    <n v="5"/>
    <x v="0"/>
    <n v="11"/>
    <n v="3"/>
    <n v="3"/>
    <n v="0"/>
    <n v="8"/>
    <n v="5"/>
    <x v="1"/>
    <n v="5"/>
    <n v="2"/>
    <n v="0"/>
    <n v="4"/>
    <x v="2"/>
    <x v="2"/>
    <n v="1"/>
    <x v="2"/>
    <s v="Bachelor"/>
    <x v="3"/>
    <x v="1"/>
  </r>
  <r>
    <n v="41"/>
    <s v="No"/>
    <x v="0"/>
    <n v="896"/>
    <x v="0"/>
    <n v="6"/>
    <n v="3"/>
    <s v="Life Sciences"/>
    <n v="298"/>
    <n v="4"/>
    <x v="0"/>
    <n v="75"/>
    <n v="3"/>
    <x v="2"/>
    <x v="5"/>
    <n v="4"/>
    <x v="0"/>
    <n v="13591"/>
    <n v="14674"/>
    <n v="3"/>
    <x v="0"/>
    <n v="18"/>
    <n v="3"/>
    <n v="3"/>
    <n v="0"/>
    <n v="16"/>
    <n v="3"/>
    <x v="1"/>
    <n v="1"/>
    <n v="0"/>
    <n v="0"/>
    <n v="0"/>
    <x v="0"/>
    <x v="0"/>
    <n v="0"/>
    <x v="2"/>
    <s v="Bachelor"/>
    <x v="0"/>
    <x v="1"/>
  </r>
  <r>
    <n v="30"/>
    <s v="Yes"/>
    <x v="1"/>
    <n v="334"/>
    <x v="0"/>
    <n v="26"/>
    <n v="4"/>
    <s v="Marketing"/>
    <n v="299"/>
    <n v="3"/>
    <x v="0"/>
    <n v="52"/>
    <n v="2"/>
    <x v="0"/>
    <x v="0"/>
    <n v="1"/>
    <x v="0"/>
    <n v="6696"/>
    <n v="22967"/>
    <n v="5"/>
    <x v="1"/>
    <n v="15"/>
    <n v="3"/>
    <n v="3"/>
    <n v="0"/>
    <n v="9"/>
    <n v="5"/>
    <x v="2"/>
    <n v="6"/>
    <n v="3"/>
    <n v="0"/>
    <n v="1"/>
    <x v="2"/>
    <x v="0"/>
    <n v="1"/>
    <x v="0"/>
    <s v="Master"/>
    <x v="3"/>
    <x v="2"/>
  </r>
  <r>
    <n v="29"/>
    <s v="Yes"/>
    <x v="0"/>
    <n v="992"/>
    <x v="1"/>
    <n v="1"/>
    <n v="3"/>
    <s v="Technical Degree"/>
    <n v="300"/>
    <n v="3"/>
    <x v="1"/>
    <n v="85"/>
    <n v="3"/>
    <x v="1"/>
    <x v="1"/>
    <n v="3"/>
    <x v="0"/>
    <n v="2058"/>
    <n v="19757"/>
    <n v="0"/>
    <x v="1"/>
    <n v="14"/>
    <n v="3"/>
    <n v="4"/>
    <n v="0"/>
    <n v="7"/>
    <n v="1"/>
    <x v="2"/>
    <n v="6"/>
    <n v="2"/>
    <n v="1"/>
    <n v="5"/>
    <x v="2"/>
    <x v="0"/>
    <n v="1"/>
    <x v="0"/>
    <s v="Bachelor"/>
    <x v="2"/>
    <x v="2"/>
  </r>
  <r>
    <n v="45"/>
    <s v="No"/>
    <x v="2"/>
    <n v="1052"/>
    <x v="0"/>
    <n v="6"/>
    <n v="3"/>
    <s v="Medical"/>
    <n v="302"/>
    <n v="4"/>
    <x v="0"/>
    <n v="57"/>
    <n v="2"/>
    <x v="2"/>
    <x v="0"/>
    <n v="4"/>
    <x v="0"/>
    <n v="8865"/>
    <n v="16840"/>
    <n v="6"/>
    <x v="1"/>
    <n v="12"/>
    <n v="3"/>
    <n v="4"/>
    <n v="0"/>
    <n v="23"/>
    <n v="2"/>
    <x v="1"/>
    <n v="19"/>
    <n v="7"/>
    <n v="12"/>
    <n v="8"/>
    <x v="0"/>
    <x v="0"/>
    <n v="0"/>
    <x v="3"/>
    <s v="Bachelor"/>
    <x v="0"/>
    <x v="1"/>
  </r>
  <r>
    <n v="54"/>
    <s v="No"/>
    <x v="0"/>
    <n v="1147"/>
    <x v="0"/>
    <n v="3"/>
    <n v="3"/>
    <s v="Marketing"/>
    <n v="303"/>
    <n v="4"/>
    <x v="0"/>
    <n v="52"/>
    <n v="3"/>
    <x v="0"/>
    <x v="0"/>
    <n v="1"/>
    <x v="1"/>
    <n v="5940"/>
    <n v="17011"/>
    <n v="2"/>
    <x v="1"/>
    <n v="14"/>
    <n v="3"/>
    <n v="4"/>
    <n v="1"/>
    <n v="16"/>
    <n v="4"/>
    <x v="1"/>
    <n v="6"/>
    <n v="2"/>
    <n v="0"/>
    <n v="5"/>
    <x v="1"/>
    <x v="0"/>
    <n v="0"/>
    <x v="1"/>
    <s v="Bachelor"/>
    <x v="3"/>
    <x v="1"/>
  </r>
  <r>
    <n v="36"/>
    <s v="No"/>
    <x v="0"/>
    <n v="1396"/>
    <x v="1"/>
    <n v="5"/>
    <n v="2"/>
    <s v="Life Sciences"/>
    <n v="304"/>
    <n v="4"/>
    <x v="1"/>
    <n v="62"/>
    <n v="3"/>
    <x v="0"/>
    <x v="2"/>
    <n v="2"/>
    <x v="0"/>
    <n v="5914"/>
    <n v="9945"/>
    <n v="8"/>
    <x v="1"/>
    <n v="16"/>
    <n v="3"/>
    <n v="4"/>
    <n v="0"/>
    <n v="16"/>
    <n v="3"/>
    <x v="3"/>
    <n v="13"/>
    <n v="11"/>
    <n v="3"/>
    <n v="7"/>
    <x v="0"/>
    <x v="2"/>
    <n v="0"/>
    <x v="3"/>
    <s v="College"/>
    <x v="1"/>
    <x v="3"/>
  </r>
  <r>
    <n v="33"/>
    <s v="No"/>
    <x v="0"/>
    <n v="147"/>
    <x v="1"/>
    <n v="4"/>
    <n v="4"/>
    <s v="Medical"/>
    <n v="305"/>
    <n v="3"/>
    <x v="0"/>
    <n v="47"/>
    <n v="2"/>
    <x v="1"/>
    <x v="1"/>
    <n v="2"/>
    <x v="1"/>
    <n v="2622"/>
    <n v="13248"/>
    <n v="6"/>
    <x v="1"/>
    <n v="21"/>
    <n v="4"/>
    <n v="4"/>
    <n v="0"/>
    <n v="7"/>
    <n v="3"/>
    <x v="1"/>
    <n v="3"/>
    <n v="2"/>
    <n v="1"/>
    <n v="1"/>
    <x v="2"/>
    <x v="0"/>
    <n v="0"/>
    <x v="2"/>
    <s v="Master"/>
    <x v="1"/>
    <x v="1"/>
  </r>
  <r>
    <n v="37"/>
    <s v="No"/>
    <x v="1"/>
    <n v="663"/>
    <x v="1"/>
    <n v="11"/>
    <n v="3"/>
    <s v="Other"/>
    <n v="306"/>
    <n v="2"/>
    <x v="1"/>
    <n v="47"/>
    <n v="3"/>
    <x v="2"/>
    <x v="7"/>
    <n v="4"/>
    <x v="2"/>
    <n v="12185"/>
    <n v="10056"/>
    <n v="1"/>
    <x v="0"/>
    <n v="14"/>
    <n v="3"/>
    <n v="3"/>
    <n v="3"/>
    <n v="10"/>
    <n v="1"/>
    <x v="1"/>
    <n v="10"/>
    <n v="8"/>
    <n v="0"/>
    <n v="7"/>
    <x v="0"/>
    <x v="0"/>
    <n v="0"/>
    <x v="1"/>
    <s v="Bachelor"/>
    <x v="0"/>
    <x v="1"/>
  </r>
  <r>
    <n v="38"/>
    <s v="No"/>
    <x v="0"/>
    <n v="119"/>
    <x v="0"/>
    <n v="3"/>
    <n v="3"/>
    <s v="Life Sciences"/>
    <n v="307"/>
    <n v="1"/>
    <x v="1"/>
    <n v="76"/>
    <n v="3"/>
    <x v="2"/>
    <x v="0"/>
    <n v="3"/>
    <x v="2"/>
    <n v="10609"/>
    <n v="9647"/>
    <n v="0"/>
    <x v="1"/>
    <n v="12"/>
    <n v="3"/>
    <n v="3"/>
    <n v="2"/>
    <n v="17"/>
    <n v="6"/>
    <x v="2"/>
    <n v="16"/>
    <n v="10"/>
    <n v="5"/>
    <n v="13"/>
    <x v="0"/>
    <x v="2"/>
    <n v="0"/>
    <x v="0"/>
    <s v="Bachelor"/>
    <x v="2"/>
    <x v="2"/>
  </r>
  <r>
    <n v="31"/>
    <s v="No"/>
    <x v="2"/>
    <n v="979"/>
    <x v="1"/>
    <n v="1"/>
    <n v="4"/>
    <s v="Medical"/>
    <n v="308"/>
    <n v="3"/>
    <x v="1"/>
    <n v="90"/>
    <n v="1"/>
    <x v="0"/>
    <x v="3"/>
    <n v="3"/>
    <x v="1"/>
    <n v="4345"/>
    <n v="4381"/>
    <n v="0"/>
    <x v="1"/>
    <n v="12"/>
    <n v="3"/>
    <n v="4"/>
    <n v="1"/>
    <n v="6"/>
    <n v="2"/>
    <x v="1"/>
    <n v="5"/>
    <n v="4"/>
    <n v="1"/>
    <n v="4"/>
    <x v="2"/>
    <x v="3"/>
    <n v="0"/>
    <x v="2"/>
    <s v="Master"/>
    <x v="2"/>
    <x v="1"/>
  </r>
  <r>
    <n v="59"/>
    <s v="No"/>
    <x v="0"/>
    <n v="142"/>
    <x v="1"/>
    <n v="3"/>
    <n v="3"/>
    <s v="Life Sciences"/>
    <n v="309"/>
    <n v="3"/>
    <x v="1"/>
    <n v="70"/>
    <n v="2"/>
    <x v="1"/>
    <x v="1"/>
    <n v="4"/>
    <x v="1"/>
    <n v="2177"/>
    <n v="8456"/>
    <n v="3"/>
    <x v="1"/>
    <n v="17"/>
    <n v="3"/>
    <n v="1"/>
    <n v="1"/>
    <n v="7"/>
    <n v="6"/>
    <x v="1"/>
    <n v="1"/>
    <n v="0"/>
    <n v="0"/>
    <n v="0"/>
    <x v="1"/>
    <x v="2"/>
    <n v="0"/>
    <x v="2"/>
    <s v="Bachelor"/>
    <x v="0"/>
    <x v="1"/>
  </r>
  <r>
    <n v="37"/>
    <s v="No"/>
    <x v="1"/>
    <n v="319"/>
    <x v="0"/>
    <n v="4"/>
    <n v="4"/>
    <s v="Marketing"/>
    <n v="311"/>
    <n v="1"/>
    <x v="1"/>
    <n v="41"/>
    <n v="3"/>
    <x v="1"/>
    <x v="6"/>
    <n v="4"/>
    <x v="2"/>
    <n v="2793"/>
    <n v="2539"/>
    <n v="4"/>
    <x v="1"/>
    <n v="17"/>
    <n v="3"/>
    <n v="3"/>
    <n v="1"/>
    <n v="13"/>
    <n v="2"/>
    <x v="1"/>
    <n v="9"/>
    <n v="8"/>
    <n v="5"/>
    <n v="8"/>
    <x v="0"/>
    <x v="1"/>
    <n v="0"/>
    <x v="1"/>
    <s v="Master"/>
    <x v="0"/>
    <x v="1"/>
  </r>
  <r>
    <n v="29"/>
    <s v="No"/>
    <x v="1"/>
    <n v="1413"/>
    <x v="0"/>
    <n v="1"/>
    <n v="1"/>
    <s v="Medical"/>
    <n v="312"/>
    <n v="2"/>
    <x v="0"/>
    <n v="42"/>
    <n v="3"/>
    <x v="2"/>
    <x v="0"/>
    <n v="4"/>
    <x v="1"/>
    <n v="7918"/>
    <n v="6599"/>
    <n v="1"/>
    <x v="1"/>
    <n v="14"/>
    <n v="3"/>
    <n v="4"/>
    <n v="1"/>
    <n v="11"/>
    <n v="5"/>
    <x v="1"/>
    <n v="11"/>
    <n v="10"/>
    <n v="4"/>
    <n v="1"/>
    <x v="2"/>
    <x v="2"/>
    <n v="0"/>
    <x v="3"/>
    <s v="Below College"/>
    <x v="0"/>
    <x v="1"/>
  </r>
  <r>
    <n v="35"/>
    <s v="No"/>
    <x v="1"/>
    <n v="944"/>
    <x v="0"/>
    <n v="1"/>
    <n v="3"/>
    <s v="Marketing"/>
    <n v="314"/>
    <n v="3"/>
    <x v="0"/>
    <n v="92"/>
    <n v="3"/>
    <x v="2"/>
    <x v="0"/>
    <n v="3"/>
    <x v="0"/>
    <n v="8789"/>
    <n v="9096"/>
    <n v="1"/>
    <x v="1"/>
    <n v="14"/>
    <n v="3"/>
    <n v="1"/>
    <n v="0"/>
    <n v="10"/>
    <n v="3"/>
    <x v="3"/>
    <n v="10"/>
    <n v="7"/>
    <n v="0"/>
    <n v="8"/>
    <x v="2"/>
    <x v="2"/>
    <n v="0"/>
    <x v="1"/>
    <s v="Bachelor"/>
    <x v="2"/>
    <x v="3"/>
  </r>
  <r>
    <n v="29"/>
    <s v="Yes"/>
    <x v="0"/>
    <n v="896"/>
    <x v="1"/>
    <n v="18"/>
    <n v="1"/>
    <s v="Medical"/>
    <n v="315"/>
    <n v="3"/>
    <x v="1"/>
    <n v="86"/>
    <n v="2"/>
    <x v="1"/>
    <x v="1"/>
    <n v="4"/>
    <x v="0"/>
    <n v="2389"/>
    <n v="14961"/>
    <n v="1"/>
    <x v="0"/>
    <n v="13"/>
    <n v="3"/>
    <n v="3"/>
    <n v="0"/>
    <n v="4"/>
    <n v="3"/>
    <x v="2"/>
    <n v="4"/>
    <n v="3"/>
    <n v="0"/>
    <n v="1"/>
    <x v="2"/>
    <x v="0"/>
    <n v="1"/>
    <x v="0"/>
    <s v="Below College"/>
    <x v="0"/>
    <x v="2"/>
  </r>
  <r>
    <n v="52"/>
    <s v="No"/>
    <x v="0"/>
    <n v="1323"/>
    <x v="1"/>
    <n v="2"/>
    <n v="3"/>
    <s v="Life Sciences"/>
    <n v="316"/>
    <n v="3"/>
    <x v="0"/>
    <n v="89"/>
    <n v="2"/>
    <x v="1"/>
    <x v="2"/>
    <n v="4"/>
    <x v="0"/>
    <n v="3212"/>
    <n v="3300"/>
    <n v="7"/>
    <x v="1"/>
    <n v="15"/>
    <n v="3"/>
    <n v="2"/>
    <n v="0"/>
    <n v="6"/>
    <n v="3"/>
    <x v="2"/>
    <n v="2"/>
    <n v="2"/>
    <n v="2"/>
    <n v="2"/>
    <x v="1"/>
    <x v="3"/>
    <n v="0"/>
    <x v="0"/>
    <s v="Bachelor"/>
    <x v="0"/>
    <x v="2"/>
  </r>
  <r>
    <n v="42"/>
    <s v="No"/>
    <x v="0"/>
    <n v="532"/>
    <x v="1"/>
    <n v="4"/>
    <n v="2"/>
    <s v="Technical Degree"/>
    <n v="319"/>
    <n v="3"/>
    <x v="1"/>
    <n v="58"/>
    <n v="3"/>
    <x v="4"/>
    <x v="5"/>
    <n v="4"/>
    <x v="1"/>
    <n v="19232"/>
    <n v="4933"/>
    <n v="1"/>
    <x v="1"/>
    <n v="11"/>
    <n v="3"/>
    <n v="4"/>
    <n v="0"/>
    <n v="22"/>
    <n v="3"/>
    <x v="1"/>
    <n v="22"/>
    <n v="17"/>
    <n v="11"/>
    <n v="15"/>
    <x v="0"/>
    <x v="3"/>
    <n v="0"/>
    <x v="3"/>
    <s v="College"/>
    <x v="0"/>
    <x v="1"/>
  </r>
  <r>
    <n v="59"/>
    <s v="No"/>
    <x v="0"/>
    <n v="818"/>
    <x v="2"/>
    <n v="6"/>
    <n v="2"/>
    <s v="Medical"/>
    <n v="321"/>
    <n v="2"/>
    <x v="1"/>
    <n v="52"/>
    <n v="3"/>
    <x v="1"/>
    <x v="8"/>
    <n v="3"/>
    <x v="1"/>
    <n v="2267"/>
    <n v="25657"/>
    <n v="8"/>
    <x v="1"/>
    <n v="17"/>
    <n v="3"/>
    <n v="4"/>
    <n v="0"/>
    <n v="7"/>
    <n v="2"/>
    <x v="2"/>
    <n v="2"/>
    <n v="2"/>
    <n v="2"/>
    <n v="2"/>
    <x v="1"/>
    <x v="0"/>
    <n v="0"/>
    <x v="0"/>
    <s v="College"/>
    <x v="2"/>
    <x v="2"/>
  </r>
  <r>
    <n v="50"/>
    <s v="No"/>
    <x v="0"/>
    <n v="854"/>
    <x v="0"/>
    <n v="1"/>
    <n v="4"/>
    <s v="Medical"/>
    <n v="323"/>
    <n v="4"/>
    <x v="0"/>
    <n v="68"/>
    <n v="3"/>
    <x v="4"/>
    <x v="5"/>
    <n v="4"/>
    <x v="2"/>
    <n v="19517"/>
    <n v="24118"/>
    <n v="3"/>
    <x v="1"/>
    <n v="11"/>
    <n v="3"/>
    <n v="3"/>
    <n v="1"/>
    <n v="32"/>
    <n v="3"/>
    <x v="2"/>
    <n v="7"/>
    <n v="0"/>
    <n v="0"/>
    <n v="6"/>
    <x v="1"/>
    <x v="0"/>
    <n v="0"/>
    <x v="0"/>
    <s v="Master"/>
    <x v="0"/>
    <x v="2"/>
  </r>
  <r>
    <n v="33"/>
    <s v="Yes"/>
    <x v="0"/>
    <n v="813"/>
    <x v="1"/>
    <n v="14"/>
    <n v="3"/>
    <s v="Medical"/>
    <n v="325"/>
    <n v="3"/>
    <x v="1"/>
    <n v="58"/>
    <n v="3"/>
    <x v="1"/>
    <x v="2"/>
    <n v="4"/>
    <x v="1"/>
    <n v="2436"/>
    <n v="22149"/>
    <n v="5"/>
    <x v="0"/>
    <n v="13"/>
    <n v="3"/>
    <n v="3"/>
    <n v="1"/>
    <n v="8"/>
    <n v="2"/>
    <x v="0"/>
    <n v="5"/>
    <n v="4"/>
    <n v="0"/>
    <n v="4"/>
    <x v="2"/>
    <x v="0"/>
    <n v="1"/>
    <x v="0"/>
    <s v="Bachelor"/>
    <x v="0"/>
    <x v="0"/>
  </r>
  <r>
    <n v="43"/>
    <s v="No"/>
    <x v="0"/>
    <n v="1034"/>
    <x v="0"/>
    <n v="16"/>
    <n v="3"/>
    <s v="Marketing"/>
    <n v="327"/>
    <n v="4"/>
    <x v="0"/>
    <n v="80"/>
    <n v="3"/>
    <x v="3"/>
    <x v="5"/>
    <n v="4"/>
    <x v="1"/>
    <n v="16064"/>
    <n v="7744"/>
    <n v="5"/>
    <x v="0"/>
    <n v="22"/>
    <n v="4"/>
    <n v="3"/>
    <n v="1"/>
    <n v="22"/>
    <n v="3"/>
    <x v="1"/>
    <n v="17"/>
    <n v="13"/>
    <n v="1"/>
    <n v="9"/>
    <x v="0"/>
    <x v="2"/>
    <n v="0"/>
    <x v="3"/>
    <s v="Bachelor"/>
    <x v="0"/>
    <x v="1"/>
  </r>
  <r>
    <n v="33"/>
    <s v="Yes"/>
    <x v="0"/>
    <n v="465"/>
    <x v="1"/>
    <n v="2"/>
    <n v="2"/>
    <s v="Life Sciences"/>
    <n v="328"/>
    <n v="1"/>
    <x v="0"/>
    <n v="39"/>
    <n v="3"/>
    <x v="1"/>
    <x v="2"/>
    <n v="1"/>
    <x v="1"/>
    <n v="2707"/>
    <n v="21509"/>
    <n v="7"/>
    <x v="1"/>
    <n v="20"/>
    <n v="4"/>
    <n v="1"/>
    <n v="0"/>
    <n v="13"/>
    <n v="3"/>
    <x v="3"/>
    <n v="9"/>
    <n v="7"/>
    <n v="1"/>
    <n v="7"/>
    <x v="2"/>
    <x v="0"/>
    <n v="1"/>
    <x v="1"/>
    <s v="College"/>
    <x v="3"/>
    <x v="3"/>
  </r>
  <r>
    <n v="52"/>
    <s v="No"/>
    <x v="2"/>
    <n v="771"/>
    <x v="0"/>
    <n v="2"/>
    <n v="4"/>
    <s v="Life Sciences"/>
    <n v="329"/>
    <n v="1"/>
    <x v="1"/>
    <n v="79"/>
    <n v="2"/>
    <x v="4"/>
    <x v="5"/>
    <n v="3"/>
    <x v="0"/>
    <n v="19068"/>
    <n v="21030"/>
    <n v="1"/>
    <x v="0"/>
    <n v="18"/>
    <n v="3"/>
    <n v="4"/>
    <n v="0"/>
    <n v="33"/>
    <n v="2"/>
    <x v="3"/>
    <n v="33"/>
    <n v="7"/>
    <n v="15"/>
    <n v="12"/>
    <x v="1"/>
    <x v="0"/>
    <n v="0"/>
    <x v="3"/>
    <s v="Master"/>
    <x v="2"/>
    <x v="3"/>
  </r>
  <r>
    <n v="32"/>
    <s v="No"/>
    <x v="0"/>
    <n v="1401"/>
    <x v="0"/>
    <n v="4"/>
    <n v="2"/>
    <s v="Life Sciences"/>
    <n v="330"/>
    <n v="3"/>
    <x v="0"/>
    <n v="56"/>
    <n v="3"/>
    <x v="1"/>
    <x v="6"/>
    <n v="2"/>
    <x v="1"/>
    <n v="3931"/>
    <n v="20990"/>
    <n v="2"/>
    <x v="1"/>
    <n v="11"/>
    <n v="3"/>
    <n v="1"/>
    <n v="1"/>
    <n v="6"/>
    <n v="5"/>
    <x v="1"/>
    <n v="4"/>
    <n v="3"/>
    <n v="1"/>
    <n v="2"/>
    <x v="2"/>
    <x v="0"/>
    <n v="0"/>
    <x v="2"/>
    <s v="College"/>
    <x v="1"/>
    <x v="1"/>
  </r>
  <r>
    <n v="32"/>
    <s v="Yes"/>
    <x v="0"/>
    <n v="515"/>
    <x v="1"/>
    <n v="1"/>
    <n v="3"/>
    <s v="Life Sciences"/>
    <n v="331"/>
    <n v="4"/>
    <x v="1"/>
    <n v="62"/>
    <n v="2"/>
    <x v="1"/>
    <x v="2"/>
    <n v="3"/>
    <x v="0"/>
    <n v="3730"/>
    <n v="9571"/>
    <n v="0"/>
    <x v="0"/>
    <n v="14"/>
    <n v="3"/>
    <n v="4"/>
    <n v="0"/>
    <n v="4"/>
    <n v="2"/>
    <x v="0"/>
    <n v="3"/>
    <n v="2"/>
    <n v="1"/>
    <n v="2"/>
    <x v="2"/>
    <x v="2"/>
    <n v="1"/>
    <x v="0"/>
    <s v="Bachelor"/>
    <x v="2"/>
    <x v="0"/>
  </r>
  <r>
    <n v="39"/>
    <s v="No"/>
    <x v="0"/>
    <n v="1431"/>
    <x v="1"/>
    <n v="1"/>
    <n v="4"/>
    <s v="Medical"/>
    <n v="332"/>
    <n v="3"/>
    <x v="0"/>
    <n v="96"/>
    <n v="3"/>
    <x v="1"/>
    <x v="2"/>
    <n v="3"/>
    <x v="2"/>
    <n v="2232"/>
    <n v="15417"/>
    <n v="7"/>
    <x v="1"/>
    <n v="14"/>
    <n v="3"/>
    <n v="3"/>
    <n v="3"/>
    <n v="7"/>
    <n v="1"/>
    <x v="1"/>
    <n v="3"/>
    <n v="2"/>
    <n v="1"/>
    <n v="2"/>
    <x v="0"/>
    <x v="0"/>
    <n v="0"/>
    <x v="2"/>
    <s v="Master"/>
    <x v="2"/>
    <x v="1"/>
  </r>
  <r>
    <n v="32"/>
    <s v="No"/>
    <x v="2"/>
    <n v="976"/>
    <x v="0"/>
    <n v="26"/>
    <n v="4"/>
    <s v="Marketing"/>
    <n v="333"/>
    <n v="3"/>
    <x v="1"/>
    <n v="100"/>
    <n v="3"/>
    <x v="0"/>
    <x v="0"/>
    <n v="4"/>
    <x v="1"/>
    <n v="4465"/>
    <n v="12069"/>
    <n v="0"/>
    <x v="1"/>
    <n v="18"/>
    <n v="3"/>
    <n v="1"/>
    <n v="0"/>
    <n v="4"/>
    <n v="2"/>
    <x v="1"/>
    <n v="3"/>
    <n v="2"/>
    <n v="2"/>
    <n v="2"/>
    <x v="2"/>
    <x v="0"/>
    <n v="0"/>
    <x v="2"/>
    <s v="Master"/>
    <x v="0"/>
    <x v="1"/>
  </r>
  <r>
    <n v="41"/>
    <s v="No"/>
    <x v="0"/>
    <n v="1411"/>
    <x v="1"/>
    <n v="19"/>
    <n v="2"/>
    <s v="Life Sciences"/>
    <n v="334"/>
    <n v="3"/>
    <x v="1"/>
    <n v="36"/>
    <n v="3"/>
    <x v="0"/>
    <x v="1"/>
    <n v="1"/>
    <x v="2"/>
    <n v="3072"/>
    <n v="19877"/>
    <n v="2"/>
    <x v="1"/>
    <n v="16"/>
    <n v="3"/>
    <n v="1"/>
    <n v="2"/>
    <n v="17"/>
    <n v="2"/>
    <x v="2"/>
    <n v="1"/>
    <n v="0"/>
    <n v="0"/>
    <n v="0"/>
    <x v="0"/>
    <x v="0"/>
    <n v="0"/>
    <x v="0"/>
    <s v="College"/>
    <x v="3"/>
    <x v="2"/>
  </r>
  <r>
    <n v="40"/>
    <s v="No"/>
    <x v="0"/>
    <n v="1300"/>
    <x v="1"/>
    <n v="24"/>
    <n v="2"/>
    <s v="Technical Degree"/>
    <n v="335"/>
    <n v="1"/>
    <x v="1"/>
    <n v="62"/>
    <n v="3"/>
    <x v="0"/>
    <x v="1"/>
    <n v="4"/>
    <x v="2"/>
    <n v="3319"/>
    <n v="24447"/>
    <n v="1"/>
    <x v="1"/>
    <n v="17"/>
    <n v="3"/>
    <n v="1"/>
    <n v="2"/>
    <n v="9"/>
    <n v="3"/>
    <x v="1"/>
    <n v="9"/>
    <n v="8"/>
    <n v="4"/>
    <n v="7"/>
    <x v="0"/>
    <x v="0"/>
    <n v="0"/>
    <x v="1"/>
    <s v="College"/>
    <x v="0"/>
    <x v="1"/>
  </r>
  <r>
    <n v="45"/>
    <s v="No"/>
    <x v="0"/>
    <n v="252"/>
    <x v="1"/>
    <n v="1"/>
    <n v="3"/>
    <s v="Other"/>
    <n v="336"/>
    <n v="3"/>
    <x v="1"/>
    <n v="70"/>
    <n v="4"/>
    <x v="4"/>
    <x v="5"/>
    <n v="4"/>
    <x v="1"/>
    <n v="19202"/>
    <n v="15970"/>
    <n v="0"/>
    <x v="1"/>
    <n v="11"/>
    <n v="3"/>
    <n v="3"/>
    <n v="1"/>
    <n v="25"/>
    <n v="2"/>
    <x v="1"/>
    <n v="24"/>
    <n v="0"/>
    <n v="1"/>
    <n v="7"/>
    <x v="0"/>
    <x v="0"/>
    <n v="0"/>
    <x v="3"/>
    <s v="Bachelor"/>
    <x v="0"/>
    <x v="1"/>
  </r>
  <r>
    <n v="31"/>
    <s v="No"/>
    <x v="1"/>
    <n v="1327"/>
    <x v="1"/>
    <n v="3"/>
    <n v="4"/>
    <s v="Medical"/>
    <n v="337"/>
    <n v="2"/>
    <x v="1"/>
    <n v="73"/>
    <n v="3"/>
    <x v="2"/>
    <x v="7"/>
    <n v="3"/>
    <x v="2"/>
    <n v="13675"/>
    <n v="13523"/>
    <n v="9"/>
    <x v="1"/>
    <n v="12"/>
    <n v="3"/>
    <n v="1"/>
    <n v="1"/>
    <n v="9"/>
    <n v="3"/>
    <x v="1"/>
    <n v="2"/>
    <n v="2"/>
    <n v="2"/>
    <n v="2"/>
    <x v="2"/>
    <x v="0"/>
    <n v="0"/>
    <x v="2"/>
    <s v="Master"/>
    <x v="2"/>
    <x v="1"/>
  </r>
  <r>
    <n v="33"/>
    <s v="No"/>
    <x v="0"/>
    <n v="832"/>
    <x v="1"/>
    <n v="5"/>
    <n v="4"/>
    <s v="Life Sciences"/>
    <n v="338"/>
    <n v="3"/>
    <x v="0"/>
    <n v="63"/>
    <n v="2"/>
    <x v="1"/>
    <x v="1"/>
    <n v="4"/>
    <x v="1"/>
    <n v="2911"/>
    <n v="14776"/>
    <n v="1"/>
    <x v="1"/>
    <n v="13"/>
    <n v="3"/>
    <n v="3"/>
    <n v="1"/>
    <n v="2"/>
    <n v="2"/>
    <x v="2"/>
    <n v="2"/>
    <n v="2"/>
    <n v="0"/>
    <n v="2"/>
    <x v="2"/>
    <x v="0"/>
    <n v="0"/>
    <x v="0"/>
    <s v="Master"/>
    <x v="0"/>
    <x v="2"/>
  </r>
  <r>
    <n v="34"/>
    <s v="No"/>
    <x v="0"/>
    <n v="470"/>
    <x v="1"/>
    <n v="2"/>
    <n v="4"/>
    <s v="Life Sciences"/>
    <n v="339"/>
    <n v="4"/>
    <x v="1"/>
    <n v="84"/>
    <n v="2"/>
    <x v="0"/>
    <x v="3"/>
    <n v="1"/>
    <x v="1"/>
    <n v="5957"/>
    <n v="23687"/>
    <n v="6"/>
    <x v="1"/>
    <n v="13"/>
    <n v="3"/>
    <n v="2"/>
    <n v="1"/>
    <n v="13"/>
    <n v="3"/>
    <x v="1"/>
    <n v="11"/>
    <n v="9"/>
    <n v="5"/>
    <n v="9"/>
    <x v="2"/>
    <x v="0"/>
    <n v="0"/>
    <x v="3"/>
    <s v="Master"/>
    <x v="3"/>
    <x v="1"/>
  </r>
  <r>
    <n v="37"/>
    <s v="No"/>
    <x v="0"/>
    <n v="1017"/>
    <x v="1"/>
    <n v="1"/>
    <n v="2"/>
    <s v="Medical"/>
    <n v="340"/>
    <n v="3"/>
    <x v="0"/>
    <n v="83"/>
    <n v="2"/>
    <x v="1"/>
    <x v="1"/>
    <n v="1"/>
    <x v="1"/>
    <n v="3920"/>
    <n v="18697"/>
    <n v="2"/>
    <x v="1"/>
    <n v="14"/>
    <n v="3"/>
    <n v="1"/>
    <n v="1"/>
    <n v="17"/>
    <n v="2"/>
    <x v="2"/>
    <n v="3"/>
    <n v="1"/>
    <n v="0"/>
    <n v="2"/>
    <x v="0"/>
    <x v="0"/>
    <n v="0"/>
    <x v="0"/>
    <s v="College"/>
    <x v="3"/>
    <x v="2"/>
  </r>
  <r>
    <n v="45"/>
    <s v="No"/>
    <x v="1"/>
    <n v="1199"/>
    <x v="1"/>
    <n v="7"/>
    <n v="4"/>
    <s v="Life Sciences"/>
    <n v="341"/>
    <n v="1"/>
    <x v="1"/>
    <n v="77"/>
    <n v="4"/>
    <x v="0"/>
    <x v="3"/>
    <n v="3"/>
    <x v="1"/>
    <n v="6434"/>
    <n v="5118"/>
    <n v="4"/>
    <x v="1"/>
    <n v="17"/>
    <n v="3"/>
    <n v="4"/>
    <n v="1"/>
    <n v="9"/>
    <n v="1"/>
    <x v="1"/>
    <n v="3"/>
    <n v="2"/>
    <n v="0"/>
    <n v="2"/>
    <x v="0"/>
    <x v="3"/>
    <n v="0"/>
    <x v="2"/>
    <s v="Master"/>
    <x v="2"/>
    <x v="1"/>
  </r>
  <r>
    <n v="37"/>
    <s v="Yes"/>
    <x v="1"/>
    <n v="504"/>
    <x v="1"/>
    <n v="10"/>
    <n v="3"/>
    <s v="Medical"/>
    <n v="342"/>
    <n v="1"/>
    <x v="1"/>
    <n v="61"/>
    <n v="3"/>
    <x v="2"/>
    <x v="3"/>
    <n v="3"/>
    <x v="2"/>
    <n v="10048"/>
    <n v="22573"/>
    <n v="6"/>
    <x v="1"/>
    <n v="11"/>
    <n v="3"/>
    <n v="2"/>
    <n v="2"/>
    <n v="17"/>
    <n v="5"/>
    <x v="1"/>
    <n v="1"/>
    <n v="0"/>
    <n v="0"/>
    <n v="0"/>
    <x v="0"/>
    <x v="0"/>
    <n v="1"/>
    <x v="2"/>
    <s v="Bachelor"/>
    <x v="2"/>
    <x v="1"/>
  </r>
  <r>
    <n v="39"/>
    <s v="No"/>
    <x v="1"/>
    <n v="505"/>
    <x v="1"/>
    <n v="2"/>
    <n v="4"/>
    <s v="Technical Degree"/>
    <n v="343"/>
    <n v="3"/>
    <x v="0"/>
    <n v="64"/>
    <n v="3"/>
    <x v="2"/>
    <x v="4"/>
    <n v="3"/>
    <x v="0"/>
    <n v="10938"/>
    <n v="6420"/>
    <n v="0"/>
    <x v="1"/>
    <n v="25"/>
    <n v="4"/>
    <n v="4"/>
    <n v="0"/>
    <n v="20"/>
    <n v="1"/>
    <x v="1"/>
    <n v="19"/>
    <n v="6"/>
    <n v="11"/>
    <n v="8"/>
    <x v="0"/>
    <x v="2"/>
    <n v="0"/>
    <x v="3"/>
    <s v="Master"/>
    <x v="2"/>
    <x v="1"/>
  </r>
  <r>
    <n v="29"/>
    <s v="No"/>
    <x v="0"/>
    <n v="665"/>
    <x v="1"/>
    <n v="15"/>
    <n v="3"/>
    <s v="Life Sciences"/>
    <n v="346"/>
    <n v="3"/>
    <x v="1"/>
    <n v="60"/>
    <n v="3"/>
    <x v="1"/>
    <x v="1"/>
    <n v="4"/>
    <x v="0"/>
    <n v="2340"/>
    <n v="22673"/>
    <n v="1"/>
    <x v="1"/>
    <n v="19"/>
    <n v="3"/>
    <n v="1"/>
    <n v="0"/>
    <n v="6"/>
    <n v="1"/>
    <x v="1"/>
    <n v="6"/>
    <n v="5"/>
    <n v="1"/>
    <n v="5"/>
    <x v="2"/>
    <x v="0"/>
    <n v="0"/>
    <x v="1"/>
    <s v="Bachelor"/>
    <x v="0"/>
    <x v="1"/>
  </r>
  <r>
    <n v="42"/>
    <s v="No"/>
    <x v="0"/>
    <n v="916"/>
    <x v="1"/>
    <n v="17"/>
    <n v="2"/>
    <s v="Life Sciences"/>
    <n v="347"/>
    <n v="4"/>
    <x v="0"/>
    <n v="82"/>
    <n v="4"/>
    <x v="0"/>
    <x v="1"/>
    <n v="1"/>
    <x v="0"/>
    <n v="6545"/>
    <n v="23016"/>
    <n v="3"/>
    <x v="0"/>
    <n v="13"/>
    <n v="3"/>
    <n v="3"/>
    <n v="0"/>
    <n v="10"/>
    <n v="1"/>
    <x v="1"/>
    <n v="3"/>
    <n v="2"/>
    <n v="0"/>
    <n v="2"/>
    <x v="0"/>
    <x v="0"/>
    <n v="0"/>
    <x v="2"/>
    <s v="College"/>
    <x v="3"/>
    <x v="1"/>
  </r>
  <r>
    <n v="29"/>
    <s v="No"/>
    <x v="0"/>
    <n v="1247"/>
    <x v="0"/>
    <n v="20"/>
    <n v="2"/>
    <s v="Marketing"/>
    <n v="349"/>
    <n v="4"/>
    <x v="1"/>
    <n v="45"/>
    <n v="3"/>
    <x v="0"/>
    <x v="0"/>
    <n v="4"/>
    <x v="2"/>
    <n v="6931"/>
    <n v="10732"/>
    <n v="2"/>
    <x v="1"/>
    <n v="14"/>
    <n v="3"/>
    <n v="4"/>
    <n v="1"/>
    <n v="10"/>
    <n v="2"/>
    <x v="1"/>
    <n v="3"/>
    <n v="2"/>
    <n v="0"/>
    <n v="2"/>
    <x v="2"/>
    <x v="0"/>
    <n v="0"/>
    <x v="2"/>
    <s v="College"/>
    <x v="0"/>
    <x v="1"/>
  </r>
  <r>
    <n v="25"/>
    <s v="No"/>
    <x v="0"/>
    <n v="685"/>
    <x v="1"/>
    <n v="1"/>
    <n v="3"/>
    <s v="Life Sciences"/>
    <n v="350"/>
    <n v="1"/>
    <x v="0"/>
    <n v="62"/>
    <n v="3"/>
    <x v="0"/>
    <x v="3"/>
    <n v="3"/>
    <x v="1"/>
    <n v="4898"/>
    <n v="7505"/>
    <n v="0"/>
    <x v="1"/>
    <n v="12"/>
    <n v="3"/>
    <n v="4"/>
    <n v="2"/>
    <n v="5"/>
    <n v="3"/>
    <x v="1"/>
    <n v="4"/>
    <n v="2"/>
    <n v="1"/>
    <n v="2"/>
    <x v="3"/>
    <x v="2"/>
    <n v="0"/>
    <x v="2"/>
    <s v="Bachelor"/>
    <x v="2"/>
    <x v="1"/>
  </r>
  <r>
    <n v="42"/>
    <s v="No"/>
    <x v="0"/>
    <n v="269"/>
    <x v="1"/>
    <n v="2"/>
    <n v="3"/>
    <s v="Medical"/>
    <n v="351"/>
    <n v="4"/>
    <x v="0"/>
    <n v="56"/>
    <n v="2"/>
    <x v="1"/>
    <x v="2"/>
    <n v="1"/>
    <x v="2"/>
    <n v="2593"/>
    <n v="8007"/>
    <n v="0"/>
    <x v="0"/>
    <n v="11"/>
    <n v="3"/>
    <n v="3"/>
    <n v="1"/>
    <n v="10"/>
    <n v="4"/>
    <x v="1"/>
    <n v="9"/>
    <n v="6"/>
    <n v="7"/>
    <n v="8"/>
    <x v="0"/>
    <x v="2"/>
    <n v="0"/>
    <x v="1"/>
    <s v="Bachelor"/>
    <x v="3"/>
    <x v="1"/>
  </r>
  <r>
    <n v="40"/>
    <s v="No"/>
    <x v="0"/>
    <n v="1416"/>
    <x v="1"/>
    <n v="2"/>
    <n v="2"/>
    <s v="Medical"/>
    <n v="352"/>
    <n v="1"/>
    <x v="1"/>
    <n v="49"/>
    <n v="3"/>
    <x v="4"/>
    <x v="7"/>
    <n v="3"/>
    <x v="2"/>
    <n v="19436"/>
    <n v="5949"/>
    <n v="0"/>
    <x v="1"/>
    <n v="19"/>
    <n v="3"/>
    <n v="4"/>
    <n v="1"/>
    <n v="22"/>
    <n v="5"/>
    <x v="1"/>
    <n v="21"/>
    <n v="7"/>
    <n v="3"/>
    <n v="9"/>
    <x v="0"/>
    <x v="3"/>
    <n v="0"/>
    <x v="3"/>
    <s v="College"/>
    <x v="2"/>
    <x v="1"/>
  </r>
  <r>
    <n v="51"/>
    <s v="No"/>
    <x v="0"/>
    <n v="833"/>
    <x v="1"/>
    <n v="1"/>
    <n v="3"/>
    <s v="Life Sciences"/>
    <n v="353"/>
    <n v="3"/>
    <x v="1"/>
    <n v="96"/>
    <n v="3"/>
    <x v="1"/>
    <x v="1"/>
    <n v="4"/>
    <x v="1"/>
    <n v="2723"/>
    <n v="23231"/>
    <n v="1"/>
    <x v="1"/>
    <n v="11"/>
    <n v="3"/>
    <n v="2"/>
    <n v="0"/>
    <n v="1"/>
    <n v="0"/>
    <x v="2"/>
    <n v="1"/>
    <n v="0"/>
    <n v="0"/>
    <n v="0"/>
    <x v="1"/>
    <x v="0"/>
    <n v="0"/>
    <x v="0"/>
    <s v="Bachelor"/>
    <x v="0"/>
    <x v="2"/>
  </r>
  <r>
    <n v="31"/>
    <s v="Yes"/>
    <x v="1"/>
    <n v="307"/>
    <x v="1"/>
    <n v="29"/>
    <n v="2"/>
    <s v="Medical"/>
    <n v="355"/>
    <n v="3"/>
    <x v="1"/>
    <n v="71"/>
    <n v="2"/>
    <x v="1"/>
    <x v="2"/>
    <n v="2"/>
    <x v="0"/>
    <n v="3479"/>
    <n v="11652"/>
    <n v="0"/>
    <x v="1"/>
    <n v="11"/>
    <n v="3"/>
    <n v="2"/>
    <n v="0"/>
    <n v="6"/>
    <n v="2"/>
    <x v="3"/>
    <n v="5"/>
    <n v="4"/>
    <n v="1"/>
    <n v="4"/>
    <x v="2"/>
    <x v="0"/>
    <n v="1"/>
    <x v="2"/>
    <s v="College"/>
    <x v="1"/>
    <x v="3"/>
  </r>
  <r>
    <n v="32"/>
    <s v="No"/>
    <x v="1"/>
    <n v="1311"/>
    <x v="1"/>
    <n v="7"/>
    <n v="3"/>
    <s v="Life Sciences"/>
    <n v="359"/>
    <n v="2"/>
    <x v="1"/>
    <n v="100"/>
    <n v="4"/>
    <x v="1"/>
    <x v="2"/>
    <n v="2"/>
    <x v="1"/>
    <n v="2794"/>
    <n v="26062"/>
    <n v="1"/>
    <x v="1"/>
    <n v="20"/>
    <n v="4"/>
    <n v="3"/>
    <n v="0"/>
    <n v="5"/>
    <n v="3"/>
    <x v="0"/>
    <n v="5"/>
    <n v="1"/>
    <n v="0"/>
    <n v="3"/>
    <x v="2"/>
    <x v="0"/>
    <n v="0"/>
    <x v="0"/>
    <s v="Bachelor"/>
    <x v="1"/>
    <x v="0"/>
  </r>
  <r>
    <n v="38"/>
    <s v="No"/>
    <x v="2"/>
    <n v="1327"/>
    <x v="0"/>
    <n v="2"/>
    <n v="2"/>
    <s v="Life Sciences"/>
    <n v="361"/>
    <n v="4"/>
    <x v="1"/>
    <n v="39"/>
    <n v="2"/>
    <x v="0"/>
    <x v="0"/>
    <n v="4"/>
    <x v="1"/>
    <n v="5249"/>
    <n v="19682"/>
    <n v="3"/>
    <x v="1"/>
    <n v="18"/>
    <n v="3"/>
    <n v="4"/>
    <n v="1"/>
    <n v="13"/>
    <n v="0"/>
    <x v="1"/>
    <n v="8"/>
    <n v="7"/>
    <n v="7"/>
    <n v="5"/>
    <x v="0"/>
    <x v="0"/>
    <n v="0"/>
    <x v="1"/>
    <s v="College"/>
    <x v="0"/>
    <x v="1"/>
  </r>
  <r>
    <n v="32"/>
    <s v="No"/>
    <x v="0"/>
    <n v="128"/>
    <x v="1"/>
    <n v="2"/>
    <n v="1"/>
    <s v="Technical Degree"/>
    <n v="362"/>
    <n v="4"/>
    <x v="1"/>
    <n v="84"/>
    <n v="2"/>
    <x v="0"/>
    <x v="2"/>
    <n v="1"/>
    <x v="0"/>
    <n v="2176"/>
    <n v="19737"/>
    <n v="4"/>
    <x v="1"/>
    <n v="13"/>
    <n v="3"/>
    <n v="4"/>
    <n v="0"/>
    <n v="9"/>
    <n v="5"/>
    <x v="1"/>
    <n v="6"/>
    <n v="2"/>
    <n v="0"/>
    <n v="4"/>
    <x v="2"/>
    <x v="0"/>
    <n v="0"/>
    <x v="1"/>
    <s v="Below College"/>
    <x v="3"/>
    <x v="1"/>
  </r>
  <r>
    <n v="46"/>
    <s v="No"/>
    <x v="0"/>
    <n v="488"/>
    <x v="0"/>
    <n v="2"/>
    <n v="3"/>
    <s v="Technical Degree"/>
    <n v="363"/>
    <n v="3"/>
    <x v="0"/>
    <n v="75"/>
    <n v="1"/>
    <x v="3"/>
    <x v="5"/>
    <n v="2"/>
    <x v="1"/>
    <n v="16872"/>
    <n v="14977"/>
    <n v="3"/>
    <x v="0"/>
    <n v="12"/>
    <n v="3"/>
    <n v="2"/>
    <n v="1"/>
    <n v="28"/>
    <n v="2"/>
    <x v="2"/>
    <n v="7"/>
    <n v="7"/>
    <n v="7"/>
    <n v="7"/>
    <x v="1"/>
    <x v="0"/>
    <n v="0"/>
    <x v="0"/>
    <s v="Bachelor"/>
    <x v="1"/>
    <x v="2"/>
  </r>
  <r>
    <n v="28"/>
    <s v="Yes"/>
    <x v="0"/>
    <n v="529"/>
    <x v="1"/>
    <n v="2"/>
    <n v="4"/>
    <s v="Life Sciences"/>
    <n v="364"/>
    <n v="1"/>
    <x v="1"/>
    <n v="79"/>
    <n v="3"/>
    <x v="1"/>
    <x v="2"/>
    <n v="3"/>
    <x v="0"/>
    <n v="3485"/>
    <n v="14935"/>
    <n v="2"/>
    <x v="1"/>
    <n v="11"/>
    <n v="3"/>
    <n v="3"/>
    <n v="0"/>
    <n v="5"/>
    <n v="5"/>
    <x v="0"/>
    <n v="0"/>
    <n v="0"/>
    <n v="0"/>
    <n v="0"/>
    <x v="2"/>
    <x v="0"/>
    <n v="1"/>
    <x v="0"/>
    <s v="Master"/>
    <x v="2"/>
    <x v="0"/>
  </r>
  <r>
    <n v="29"/>
    <s v="No"/>
    <x v="0"/>
    <n v="1210"/>
    <x v="0"/>
    <n v="2"/>
    <n v="3"/>
    <s v="Medical"/>
    <n v="366"/>
    <n v="1"/>
    <x v="1"/>
    <n v="78"/>
    <n v="2"/>
    <x v="0"/>
    <x v="0"/>
    <n v="2"/>
    <x v="1"/>
    <n v="6644"/>
    <n v="3687"/>
    <n v="2"/>
    <x v="1"/>
    <n v="19"/>
    <n v="3"/>
    <n v="2"/>
    <n v="2"/>
    <n v="10"/>
    <n v="2"/>
    <x v="1"/>
    <n v="0"/>
    <n v="0"/>
    <n v="0"/>
    <n v="0"/>
    <x v="2"/>
    <x v="3"/>
    <n v="0"/>
    <x v="2"/>
    <s v="Bachelor"/>
    <x v="1"/>
    <x v="1"/>
  </r>
  <r>
    <n v="31"/>
    <s v="No"/>
    <x v="0"/>
    <n v="1463"/>
    <x v="1"/>
    <n v="23"/>
    <n v="3"/>
    <s v="Medical"/>
    <n v="367"/>
    <n v="2"/>
    <x v="1"/>
    <n v="64"/>
    <n v="2"/>
    <x v="0"/>
    <x v="4"/>
    <n v="4"/>
    <x v="1"/>
    <n v="5582"/>
    <n v="14408"/>
    <n v="0"/>
    <x v="1"/>
    <n v="21"/>
    <n v="4"/>
    <n v="2"/>
    <n v="1"/>
    <n v="10"/>
    <n v="2"/>
    <x v="1"/>
    <n v="9"/>
    <n v="0"/>
    <n v="7"/>
    <n v="8"/>
    <x v="2"/>
    <x v="0"/>
    <n v="0"/>
    <x v="1"/>
    <s v="Bachelor"/>
    <x v="0"/>
    <x v="1"/>
  </r>
  <r>
    <n v="25"/>
    <s v="No"/>
    <x v="2"/>
    <n v="675"/>
    <x v="1"/>
    <n v="5"/>
    <n v="2"/>
    <s v="Life Sciences"/>
    <n v="369"/>
    <n v="2"/>
    <x v="1"/>
    <n v="85"/>
    <n v="4"/>
    <x v="0"/>
    <x v="4"/>
    <n v="1"/>
    <x v="2"/>
    <n v="4000"/>
    <n v="18384"/>
    <n v="1"/>
    <x v="1"/>
    <n v="12"/>
    <n v="3"/>
    <n v="4"/>
    <n v="2"/>
    <n v="6"/>
    <n v="2"/>
    <x v="1"/>
    <n v="6"/>
    <n v="3"/>
    <n v="1"/>
    <n v="5"/>
    <x v="3"/>
    <x v="0"/>
    <n v="0"/>
    <x v="1"/>
    <s v="College"/>
    <x v="3"/>
    <x v="1"/>
  </r>
  <r>
    <n v="45"/>
    <s v="No"/>
    <x v="0"/>
    <n v="1385"/>
    <x v="1"/>
    <n v="20"/>
    <n v="2"/>
    <s v="Medical"/>
    <n v="372"/>
    <n v="3"/>
    <x v="1"/>
    <n v="79"/>
    <n v="3"/>
    <x v="3"/>
    <x v="4"/>
    <n v="4"/>
    <x v="1"/>
    <n v="13496"/>
    <n v="7501"/>
    <n v="0"/>
    <x v="0"/>
    <n v="14"/>
    <n v="3"/>
    <n v="2"/>
    <n v="0"/>
    <n v="21"/>
    <n v="2"/>
    <x v="1"/>
    <n v="20"/>
    <n v="7"/>
    <n v="4"/>
    <n v="10"/>
    <x v="0"/>
    <x v="2"/>
    <n v="0"/>
    <x v="3"/>
    <s v="College"/>
    <x v="0"/>
    <x v="1"/>
  </r>
  <r>
    <n v="36"/>
    <s v="No"/>
    <x v="0"/>
    <n v="1403"/>
    <x v="1"/>
    <n v="6"/>
    <n v="3"/>
    <s v="Life Sciences"/>
    <n v="373"/>
    <n v="4"/>
    <x v="1"/>
    <n v="47"/>
    <n v="3"/>
    <x v="1"/>
    <x v="2"/>
    <n v="4"/>
    <x v="1"/>
    <n v="3210"/>
    <n v="20251"/>
    <n v="0"/>
    <x v="1"/>
    <n v="11"/>
    <n v="3"/>
    <n v="3"/>
    <n v="1"/>
    <n v="16"/>
    <n v="4"/>
    <x v="1"/>
    <n v="15"/>
    <n v="13"/>
    <n v="10"/>
    <n v="11"/>
    <x v="0"/>
    <x v="0"/>
    <n v="0"/>
    <x v="3"/>
    <s v="Bachelor"/>
    <x v="0"/>
    <x v="1"/>
  </r>
  <r>
    <n v="55"/>
    <s v="No"/>
    <x v="0"/>
    <n v="452"/>
    <x v="1"/>
    <n v="1"/>
    <n v="3"/>
    <s v="Medical"/>
    <n v="374"/>
    <n v="4"/>
    <x v="1"/>
    <n v="81"/>
    <n v="3"/>
    <x v="4"/>
    <x v="5"/>
    <n v="1"/>
    <x v="0"/>
    <n v="19045"/>
    <n v="18938"/>
    <n v="0"/>
    <x v="0"/>
    <n v="14"/>
    <n v="3"/>
    <n v="3"/>
    <n v="0"/>
    <n v="37"/>
    <n v="2"/>
    <x v="1"/>
    <n v="36"/>
    <n v="10"/>
    <n v="4"/>
    <n v="13"/>
    <x v="1"/>
    <x v="0"/>
    <n v="0"/>
    <x v="3"/>
    <s v="Bachelor"/>
    <x v="3"/>
    <x v="1"/>
  </r>
  <r>
    <n v="47"/>
    <s v="Yes"/>
    <x v="2"/>
    <n v="666"/>
    <x v="1"/>
    <n v="29"/>
    <n v="4"/>
    <s v="Life Sciences"/>
    <n v="376"/>
    <n v="1"/>
    <x v="1"/>
    <n v="88"/>
    <n v="3"/>
    <x v="2"/>
    <x v="5"/>
    <n v="2"/>
    <x v="1"/>
    <n v="11849"/>
    <n v="10268"/>
    <n v="1"/>
    <x v="0"/>
    <n v="12"/>
    <n v="3"/>
    <n v="4"/>
    <n v="1"/>
    <n v="10"/>
    <n v="2"/>
    <x v="2"/>
    <n v="10"/>
    <n v="7"/>
    <n v="9"/>
    <n v="9"/>
    <x v="1"/>
    <x v="0"/>
    <n v="1"/>
    <x v="0"/>
    <s v="Master"/>
    <x v="1"/>
    <x v="2"/>
  </r>
  <r>
    <n v="28"/>
    <s v="No"/>
    <x v="0"/>
    <n v="1158"/>
    <x v="1"/>
    <n v="9"/>
    <n v="3"/>
    <s v="Medical"/>
    <n v="377"/>
    <n v="4"/>
    <x v="1"/>
    <n v="94"/>
    <n v="3"/>
    <x v="1"/>
    <x v="1"/>
    <n v="4"/>
    <x v="1"/>
    <n v="2070"/>
    <n v="2613"/>
    <n v="1"/>
    <x v="1"/>
    <n v="23"/>
    <n v="4"/>
    <n v="4"/>
    <n v="1"/>
    <n v="5"/>
    <n v="3"/>
    <x v="2"/>
    <n v="5"/>
    <n v="2"/>
    <n v="0"/>
    <n v="4"/>
    <x v="2"/>
    <x v="1"/>
    <n v="0"/>
    <x v="0"/>
    <s v="Bachelor"/>
    <x v="0"/>
    <x v="2"/>
  </r>
  <r>
    <n v="37"/>
    <s v="No"/>
    <x v="0"/>
    <n v="228"/>
    <x v="0"/>
    <n v="6"/>
    <n v="4"/>
    <s v="Medical"/>
    <n v="378"/>
    <n v="3"/>
    <x v="1"/>
    <n v="98"/>
    <n v="3"/>
    <x v="0"/>
    <x v="0"/>
    <n v="4"/>
    <x v="1"/>
    <n v="6502"/>
    <n v="22825"/>
    <n v="4"/>
    <x v="1"/>
    <n v="14"/>
    <n v="3"/>
    <n v="2"/>
    <n v="1"/>
    <n v="7"/>
    <n v="5"/>
    <x v="3"/>
    <n v="5"/>
    <n v="4"/>
    <n v="0"/>
    <n v="1"/>
    <x v="0"/>
    <x v="0"/>
    <n v="0"/>
    <x v="2"/>
    <s v="Master"/>
    <x v="0"/>
    <x v="3"/>
  </r>
  <r>
    <n v="21"/>
    <s v="No"/>
    <x v="0"/>
    <n v="996"/>
    <x v="1"/>
    <n v="3"/>
    <n v="2"/>
    <s v="Medical"/>
    <n v="379"/>
    <n v="4"/>
    <x v="1"/>
    <n v="100"/>
    <n v="2"/>
    <x v="1"/>
    <x v="1"/>
    <n v="3"/>
    <x v="0"/>
    <n v="3230"/>
    <n v="10531"/>
    <n v="1"/>
    <x v="1"/>
    <n v="17"/>
    <n v="3"/>
    <n v="1"/>
    <n v="0"/>
    <n v="3"/>
    <n v="4"/>
    <x v="3"/>
    <n v="3"/>
    <n v="2"/>
    <n v="1"/>
    <n v="0"/>
    <x v="3"/>
    <x v="0"/>
    <n v="0"/>
    <x v="2"/>
    <s v="College"/>
    <x v="2"/>
    <x v="3"/>
  </r>
  <r>
    <n v="37"/>
    <s v="No"/>
    <x v="2"/>
    <n v="728"/>
    <x v="1"/>
    <n v="1"/>
    <n v="4"/>
    <s v="Medical"/>
    <n v="380"/>
    <n v="1"/>
    <x v="0"/>
    <n v="80"/>
    <n v="3"/>
    <x v="2"/>
    <x v="7"/>
    <n v="4"/>
    <x v="2"/>
    <n v="13603"/>
    <n v="11677"/>
    <n v="2"/>
    <x v="0"/>
    <n v="18"/>
    <n v="3"/>
    <n v="1"/>
    <n v="2"/>
    <n v="15"/>
    <n v="2"/>
    <x v="1"/>
    <n v="5"/>
    <n v="2"/>
    <n v="0"/>
    <n v="2"/>
    <x v="0"/>
    <x v="0"/>
    <n v="0"/>
    <x v="2"/>
    <s v="Master"/>
    <x v="0"/>
    <x v="1"/>
  </r>
  <r>
    <n v="35"/>
    <s v="No"/>
    <x v="0"/>
    <n v="1315"/>
    <x v="1"/>
    <n v="22"/>
    <n v="3"/>
    <s v="Life Sciences"/>
    <n v="381"/>
    <n v="2"/>
    <x v="0"/>
    <n v="71"/>
    <n v="4"/>
    <x v="2"/>
    <x v="5"/>
    <n v="2"/>
    <x v="2"/>
    <n v="11996"/>
    <n v="19100"/>
    <n v="7"/>
    <x v="1"/>
    <n v="18"/>
    <n v="3"/>
    <n v="2"/>
    <n v="1"/>
    <n v="10"/>
    <n v="6"/>
    <x v="2"/>
    <n v="7"/>
    <n v="7"/>
    <n v="6"/>
    <n v="2"/>
    <x v="2"/>
    <x v="0"/>
    <n v="0"/>
    <x v="0"/>
    <s v="Bachelor"/>
    <x v="1"/>
    <x v="2"/>
  </r>
  <r>
    <n v="38"/>
    <s v="No"/>
    <x v="0"/>
    <n v="322"/>
    <x v="0"/>
    <n v="7"/>
    <n v="2"/>
    <s v="Medical"/>
    <n v="382"/>
    <n v="1"/>
    <x v="0"/>
    <n v="44"/>
    <n v="4"/>
    <x v="0"/>
    <x v="0"/>
    <n v="1"/>
    <x v="2"/>
    <n v="5605"/>
    <n v="19191"/>
    <n v="1"/>
    <x v="0"/>
    <n v="24"/>
    <n v="4"/>
    <n v="3"/>
    <n v="1"/>
    <n v="8"/>
    <n v="3"/>
    <x v="1"/>
    <n v="8"/>
    <n v="0"/>
    <n v="7"/>
    <n v="7"/>
    <x v="0"/>
    <x v="0"/>
    <n v="0"/>
    <x v="1"/>
    <s v="College"/>
    <x v="3"/>
    <x v="1"/>
  </r>
  <r>
    <n v="26"/>
    <s v="No"/>
    <x v="1"/>
    <n v="1479"/>
    <x v="1"/>
    <n v="1"/>
    <n v="3"/>
    <s v="Life Sciences"/>
    <n v="384"/>
    <n v="3"/>
    <x v="0"/>
    <n v="84"/>
    <n v="3"/>
    <x v="0"/>
    <x v="3"/>
    <n v="2"/>
    <x v="2"/>
    <n v="6397"/>
    <n v="26767"/>
    <n v="1"/>
    <x v="1"/>
    <n v="20"/>
    <n v="4"/>
    <n v="1"/>
    <n v="1"/>
    <n v="6"/>
    <n v="6"/>
    <x v="0"/>
    <n v="6"/>
    <n v="5"/>
    <n v="1"/>
    <n v="4"/>
    <x v="2"/>
    <x v="0"/>
    <n v="0"/>
    <x v="0"/>
    <s v="Bachelor"/>
    <x v="1"/>
    <x v="0"/>
  </r>
  <r>
    <n v="50"/>
    <s v="No"/>
    <x v="0"/>
    <n v="797"/>
    <x v="1"/>
    <n v="4"/>
    <n v="1"/>
    <s v="Life Sciences"/>
    <n v="385"/>
    <n v="1"/>
    <x v="1"/>
    <n v="96"/>
    <n v="3"/>
    <x v="4"/>
    <x v="7"/>
    <n v="2"/>
    <x v="2"/>
    <n v="19144"/>
    <n v="15815"/>
    <n v="3"/>
    <x v="1"/>
    <n v="14"/>
    <n v="3"/>
    <n v="1"/>
    <n v="2"/>
    <n v="28"/>
    <n v="4"/>
    <x v="2"/>
    <n v="10"/>
    <n v="4"/>
    <n v="1"/>
    <n v="6"/>
    <x v="1"/>
    <x v="0"/>
    <n v="0"/>
    <x v="0"/>
    <s v="Below College"/>
    <x v="1"/>
    <x v="2"/>
  </r>
  <r>
    <n v="53"/>
    <s v="No"/>
    <x v="0"/>
    <n v="1070"/>
    <x v="1"/>
    <n v="3"/>
    <n v="4"/>
    <s v="Medical"/>
    <n v="386"/>
    <n v="3"/>
    <x v="1"/>
    <n v="45"/>
    <n v="3"/>
    <x v="3"/>
    <x v="7"/>
    <n v="3"/>
    <x v="1"/>
    <n v="17584"/>
    <n v="21016"/>
    <n v="3"/>
    <x v="0"/>
    <n v="16"/>
    <n v="3"/>
    <n v="4"/>
    <n v="3"/>
    <n v="21"/>
    <n v="5"/>
    <x v="2"/>
    <n v="5"/>
    <n v="3"/>
    <n v="1"/>
    <n v="3"/>
    <x v="1"/>
    <x v="0"/>
    <n v="0"/>
    <x v="0"/>
    <s v="Master"/>
    <x v="2"/>
    <x v="2"/>
  </r>
  <r>
    <n v="42"/>
    <s v="No"/>
    <x v="0"/>
    <n v="635"/>
    <x v="0"/>
    <n v="1"/>
    <n v="1"/>
    <s v="Life Sciences"/>
    <n v="387"/>
    <n v="2"/>
    <x v="1"/>
    <n v="99"/>
    <n v="3"/>
    <x v="0"/>
    <x v="0"/>
    <n v="3"/>
    <x v="1"/>
    <n v="4907"/>
    <n v="24532"/>
    <n v="1"/>
    <x v="1"/>
    <n v="25"/>
    <n v="4"/>
    <n v="3"/>
    <n v="0"/>
    <n v="20"/>
    <n v="3"/>
    <x v="1"/>
    <n v="20"/>
    <n v="16"/>
    <n v="11"/>
    <n v="6"/>
    <x v="0"/>
    <x v="0"/>
    <n v="0"/>
    <x v="3"/>
    <s v="Below College"/>
    <x v="2"/>
    <x v="1"/>
  </r>
  <r>
    <n v="29"/>
    <s v="No"/>
    <x v="1"/>
    <n v="442"/>
    <x v="0"/>
    <n v="2"/>
    <n v="2"/>
    <s v="Life Sciences"/>
    <n v="388"/>
    <n v="2"/>
    <x v="1"/>
    <n v="44"/>
    <n v="3"/>
    <x v="0"/>
    <x v="0"/>
    <n v="4"/>
    <x v="0"/>
    <n v="4554"/>
    <n v="20260"/>
    <n v="1"/>
    <x v="1"/>
    <n v="18"/>
    <n v="3"/>
    <n v="1"/>
    <n v="0"/>
    <n v="10"/>
    <n v="3"/>
    <x v="2"/>
    <n v="10"/>
    <n v="7"/>
    <n v="0"/>
    <n v="9"/>
    <x v="2"/>
    <x v="0"/>
    <n v="0"/>
    <x v="0"/>
    <s v="College"/>
    <x v="0"/>
    <x v="2"/>
  </r>
  <r>
    <n v="55"/>
    <s v="No"/>
    <x v="0"/>
    <n v="147"/>
    <x v="1"/>
    <n v="20"/>
    <n v="2"/>
    <s v="Technical Degree"/>
    <n v="389"/>
    <n v="2"/>
    <x v="1"/>
    <n v="37"/>
    <n v="3"/>
    <x v="0"/>
    <x v="2"/>
    <n v="4"/>
    <x v="1"/>
    <n v="5415"/>
    <n v="15972"/>
    <n v="3"/>
    <x v="0"/>
    <n v="19"/>
    <n v="3"/>
    <n v="4"/>
    <n v="1"/>
    <n v="12"/>
    <n v="4"/>
    <x v="1"/>
    <n v="10"/>
    <n v="7"/>
    <n v="0"/>
    <n v="8"/>
    <x v="1"/>
    <x v="0"/>
    <n v="0"/>
    <x v="1"/>
    <s v="College"/>
    <x v="0"/>
    <x v="1"/>
  </r>
  <r>
    <n v="26"/>
    <s v="No"/>
    <x v="1"/>
    <n v="496"/>
    <x v="1"/>
    <n v="11"/>
    <n v="2"/>
    <s v="Medical"/>
    <n v="390"/>
    <n v="1"/>
    <x v="1"/>
    <n v="60"/>
    <n v="3"/>
    <x v="0"/>
    <x v="4"/>
    <n v="1"/>
    <x v="1"/>
    <n v="4741"/>
    <n v="22722"/>
    <n v="1"/>
    <x v="0"/>
    <n v="13"/>
    <n v="3"/>
    <n v="3"/>
    <n v="1"/>
    <n v="5"/>
    <n v="3"/>
    <x v="1"/>
    <n v="5"/>
    <n v="3"/>
    <n v="3"/>
    <n v="3"/>
    <x v="2"/>
    <x v="0"/>
    <n v="0"/>
    <x v="2"/>
    <s v="College"/>
    <x v="3"/>
    <x v="1"/>
  </r>
  <r>
    <n v="37"/>
    <s v="No"/>
    <x v="0"/>
    <n v="1372"/>
    <x v="1"/>
    <n v="1"/>
    <n v="3"/>
    <s v="Life Sciences"/>
    <n v="391"/>
    <n v="4"/>
    <x v="0"/>
    <n v="42"/>
    <n v="3"/>
    <x v="1"/>
    <x v="1"/>
    <n v="4"/>
    <x v="0"/>
    <n v="2115"/>
    <n v="15881"/>
    <n v="1"/>
    <x v="1"/>
    <n v="12"/>
    <n v="3"/>
    <n v="2"/>
    <n v="0"/>
    <n v="17"/>
    <n v="3"/>
    <x v="1"/>
    <n v="17"/>
    <n v="12"/>
    <n v="5"/>
    <n v="7"/>
    <x v="0"/>
    <x v="0"/>
    <n v="0"/>
    <x v="3"/>
    <s v="Bachelor"/>
    <x v="0"/>
    <x v="1"/>
  </r>
  <r>
    <n v="44"/>
    <s v="Yes"/>
    <x v="1"/>
    <n v="920"/>
    <x v="1"/>
    <n v="24"/>
    <n v="3"/>
    <s v="Life Sciences"/>
    <n v="392"/>
    <n v="4"/>
    <x v="1"/>
    <n v="43"/>
    <n v="3"/>
    <x v="1"/>
    <x v="2"/>
    <n v="3"/>
    <x v="2"/>
    <n v="3161"/>
    <n v="19920"/>
    <n v="3"/>
    <x v="0"/>
    <n v="22"/>
    <n v="4"/>
    <n v="4"/>
    <n v="1"/>
    <n v="19"/>
    <n v="0"/>
    <x v="0"/>
    <n v="1"/>
    <n v="0"/>
    <n v="0"/>
    <n v="0"/>
    <x v="0"/>
    <x v="0"/>
    <n v="1"/>
    <x v="0"/>
    <s v="Bachelor"/>
    <x v="2"/>
    <x v="0"/>
  </r>
  <r>
    <n v="38"/>
    <s v="No"/>
    <x v="0"/>
    <n v="688"/>
    <x v="1"/>
    <n v="23"/>
    <n v="4"/>
    <s v="Life Sciences"/>
    <n v="393"/>
    <n v="4"/>
    <x v="1"/>
    <n v="82"/>
    <n v="3"/>
    <x v="0"/>
    <x v="4"/>
    <n v="4"/>
    <x v="2"/>
    <n v="5745"/>
    <n v="18899"/>
    <n v="9"/>
    <x v="1"/>
    <n v="14"/>
    <n v="3"/>
    <n v="2"/>
    <n v="1"/>
    <n v="10"/>
    <n v="2"/>
    <x v="1"/>
    <n v="2"/>
    <n v="2"/>
    <n v="1"/>
    <n v="2"/>
    <x v="0"/>
    <x v="0"/>
    <n v="0"/>
    <x v="2"/>
    <s v="Master"/>
    <x v="0"/>
    <x v="1"/>
  </r>
  <r>
    <n v="26"/>
    <s v="Yes"/>
    <x v="0"/>
    <n v="1449"/>
    <x v="1"/>
    <n v="16"/>
    <n v="4"/>
    <s v="Medical"/>
    <n v="394"/>
    <n v="1"/>
    <x v="1"/>
    <n v="45"/>
    <n v="3"/>
    <x v="1"/>
    <x v="2"/>
    <n v="2"/>
    <x v="2"/>
    <n v="2373"/>
    <n v="14180"/>
    <n v="2"/>
    <x v="0"/>
    <n v="13"/>
    <n v="3"/>
    <n v="4"/>
    <n v="1"/>
    <n v="5"/>
    <n v="2"/>
    <x v="1"/>
    <n v="3"/>
    <n v="2"/>
    <n v="0"/>
    <n v="2"/>
    <x v="2"/>
    <x v="0"/>
    <n v="1"/>
    <x v="2"/>
    <s v="Master"/>
    <x v="1"/>
    <x v="1"/>
  </r>
  <r>
    <n v="28"/>
    <s v="No"/>
    <x v="0"/>
    <n v="1117"/>
    <x v="1"/>
    <n v="8"/>
    <n v="2"/>
    <s v="Life Sciences"/>
    <n v="395"/>
    <n v="4"/>
    <x v="0"/>
    <n v="66"/>
    <n v="3"/>
    <x v="1"/>
    <x v="1"/>
    <n v="4"/>
    <x v="0"/>
    <n v="3310"/>
    <n v="4488"/>
    <n v="1"/>
    <x v="1"/>
    <n v="21"/>
    <n v="4"/>
    <n v="4"/>
    <n v="0"/>
    <n v="5"/>
    <n v="3"/>
    <x v="1"/>
    <n v="5"/>
    <n v="3"/>
    <n v="0"/>
    <n v="2"/>
    <x v="2"/>
    <x v="3"/>
    <n v="0"/>
    <x v="2"/>
    <s v="College"/>
    <x v="0"/>
    <x v="1"/>
  </r>
  <r>
    <n v="49"/>
    <s v="No"/>
    <x v="1"/>
    <n v="636"/>
    <x v="1"/>
    <n v="10"/>
    <n v="4"/>
    <s v="Life Sciences"/>
    <n v="396"/>
    <n v="3"/>
    <x v="0"/>
    <n v="35"/>
    <n v="3"/>
    <x v="4"/>
    <x v="7"/>
    <n v="1"/>
    <x v="0"/>
    <n v="18665"/>
    <n v="25594"/>
    <n v="9"/>
    <x v="0"/>
    <n v="11"/>
    <n v="3"/>
    <n v="4"/>
    <n v="0"/>
    <n v="22"/>
    <n v="4"/>
    <x v="1"/>
    <n v="3"/>
    <n v="2"/>
    <n v="1"/>
    <n v="2"/>
    <x v="1"/>
    <x v="0"/>
    <n v="0"/>
    <x v="2"/>
    <s v="Master"/>
    <x v="3"/>
    <x v="1"/>
  </r>
  <r>
    <n v="36"/>
    <s v="No"/>
    <x v="0"/>
    <n v="506"/>
    <x v="1"/>
    <n v="3"/>
    <n v="3"/>
    <s v="Technical Degree"/>
    <n v="397"/>
    <n v="3"/>
    <x v="1"/>
    <n v="30"/>
    <n v="3"/>
    <x v="0"/>
    <x v="1"/>
    <n v="2"/>
    <x v="0"/>
    <n v="4485"/>
    <n v="26285"/>
    <n v="4"/>
    <x v="1"/>
    <n v="12"/>
    <n v="3"/>
    <n v="4"/>
    <n v="0"/>
    <n v="10"/>
    <n v="2"/>
    <x v="1"/>
    <n v="8"/>
    <n v="0"/>
    <n v="7"/>
    <n v="7"/>
    <x v="0"/>
    <x v="0"/>
    <n v="0"/>
    <x v="1"/>
    <s v="Bachelor"/>
    <x v="1"/>
    <x v="1"/>
  </r>
  <r>
    <n v="31"/>
    <s v="No"/>
    <x v="1"/>
    <n v="444"/>
    <x v="0"/>
    <n v="5"/>
    <n v="3"/>
    <s v="Marketing"/>
    <n v="399"/>
    <n v="4"/>
    <x v="0"/>
    <n v="84"/>
    <n v="3"/>
    <x v="1"/>
    <x v="6"/>
    <n v="2"/>
    <x v="2"/>
    <n v="2789"/>
    <n v="3909"/>
    <n v="1"/>
    <x v="1"/>
    <n v="11"/>
    <n v="3"/>
    <n v="3"/>
    <n v="1"/>
    <n v="2"/>
    <n v="5"/>
    <x v="2"/>
    <n v="2"/>
    <n v="2"/>
    <n v="2"/>
    <n v="2"/>
    <x v="2"/>
    <x v="3"/>
    <n v="0"/>
    <x v="0"/>
    <s v="Bachelor"/>
    <x v="1"/>
    <x v="2"/>
  </r>
  <r>
    <n v="26"/>
    <s v="Yes"/>
    <x v="0"/>
    <n v="950"/>
    <x v="0"/>
    <n v="4"/>
    <n v="4"/>
    <s v="Marketing"/>
    <n v="401"/>
    <n v="4"/>
    <x v="1"/>
    <n v="48"/>
    <n v="2"/>
    <x v="0"/>
    <x v="0"/>
    <n v="4"/>
    <x v="0"/>
    <n v="5828"/>
    <n v="8450"/>
    <n v="1"/>
    <x v="0"/>
    <n v="12"/>
    <n v="3"/>
    <n v="2"/>
    <n v="0"/>
    <n v="8"/>
    <n v="0"/>
    <x v="1"/>
    <n v="8"/>
    <n v="7"/>
    <n v="7"/>
    <n v="4"/>
    <x v="2"/>
    <x v="2"/>
    <n v="1"/>
    <x v="1"/>
    <s v="Master"/>
    <x v="0"/>
    <x v="1"/>
  </r>
  <r>
    <n v="37"/>
    <s v="No"/>
    <x v="1"/>
    <n v="889"/>
    <x v="1"/>
    <n v="9"/>
    <n v="3"/>
    <s v="Medical"/>
    <n v="403"/>
    <n v="2"/>
    <x v="1"/>
    <n v="53"/>
    <n v="3"/>
    <x v="1"/>
    <x v="1"/>
    <n v="4"/>
    <x v="1"/>
    <n v="2326"/>
    <n v="11411"/>
    <n v="1"/>
    <x v="0"/>
    <n v="12"/>
    <n v="3"/>
    <n v="3"/>
    <n v="3"/>
    <n v="4"/>
    <n v="3"/>
    <x v="2"/>
    <n v="4"/>
    <n v="2"/>
    <n v="1"/>
    <n v="2"/>
    <x v="0"/>
    <x v="0"/>
    <n v="0"/>
    <x v="0"/>
    <s v="Bachelor"/>
    <x v="0"/>
    <x v="2"/>
  </r>
  <r>
    <n v="42"/>
    <s v="No"/>
    <x v="1"/>
    <n v="555"/>
    <x v="0"/>
    <n v="26"/>
    <n v="3"/>
    <s v="Marketing"/>
    <n v="404"/>
    <n v="3"/>
    <x v="0"/>
    <n v="77"/>
    <n v="3"/>
    <x v="3"/>
    <x v="0"/>
    <n v="2"/>
    <x v="1"/>
    <n v="13525"/>
    <n v="14864"/>
    <n v="5"/>
    <x v="1"/>
    <n v="14"/>
    <n v="3"/>
    <n v="4"/>
    <n v="1"/>
    <n v="23"/>
    <n v="2"/>
    <x v="3"/>
    <n v="20"/>
    <n v="4"/>
    <n v="4"/>
    <n v="8"/>
    <x v="0"/>
    <x v="0"/>
    <n v="0"/>
    <x v="3"/>
    <s v="Bachelor"/>
    <x v="1"/>
    <x v="3"/>
  </r>
  <r>
    <n v="18"/>
    <s v="Yes"/>
    <x v="0"/>
    <n v="230"/>
    <x v="1"/>
    <n v="3"/>
    <n v="3"/>
    <s v="Life Sciences"/>
    <n v="405"/>
    <n v="3"/>
    <x v="1"/>
    <n v="54"/>
    <n v="3"/>
    <x v="1"/>
    <x v="2"/>
    <n v="3"/>
    <x v="0"/>
    <n v="1420"/>
    <n v="25233"/>
    <n v="1"/>
    <x v="1"/>
    <n v="13"/>
    <n v="3"/>
    <n v="3"/>
    <n v="0"/>
    <n v="0"/>
    <n v="2"/>
    <x v="1"/>
    <n v="0"/>
    <n v="0"/>
    <n v="0"/>
    <n v="0"/>
    <x v="3"/>
    <x v="0"/>
    <n v="1"/>
    <x v="2"/>
    <s v="Bachelor"/>
    <x v="2"/>
    <x v="1"/>
  </r>
  <r>
    <n v="35"/>
    <s v="No"/>
    <x v="0"/>
    <n v="1232"/>
    <x v="0"/>
    <n v="16"/>
    <n v="3"/>
    <s v="Marketing"/>
    <n v="406"/>
    <n v="3"/>
    <x v="1"/>
    <n v="96"/>
    <n v="3"/>
    <x v="2"/>
    <x v="0"/>
    <n v="2"/>
    <x v="1"/>
    <n v="8020"/>
    <n v="5100"/>
    <n v="0"/>
    <x v="1"/>
    <n v="15"/>
    <n v="3"/>
    <n v="3"/>
    <n v="2"/>
    <n v="12"/>
    <n v="3"/>
    <x v="2"/>
    <n v="11"/>
    <n v="9"/>
    <n v="6"/>
    <n v="9"/>
    <x v="2"/>
    <x v="3"/>
    <n v="0"/>
    <x v="0"/>
    <s v="Bachelor"/>
    <x v="1"/>
    <x v="2"/>
  </r>
  <r>
    <n v="36"/>
    <s v="No"/>
    <x v="1"/>
    <n v="566"/>
    <x v="1"/>
    <n v="18"/>
    <n v="4"/>
    <s v="Life Sciences"/>
    <n v="407"/>
    <n v="3"/>
    <x v="1"/>
    <n v="81"/>
    <n v="4"/>
    <x v="1"/>
    <x v="2"/>
    <n v="4"/>
    <x v="1"/>
    <n v="3688"/>
    <n v="7122"/>
    <n v="4"/>
    <x v="1"/>
    <n v="18"/>
    <n v="3"/>
    <n v="4"/>
    <n v="2"/>
    <n v="4"/>
    <n v="2"/>
    <x v="1"/>
    <n v="1"/>
    <n v="0"/>
    <n v="0"/>
    <n v="0"/>
    <x v="0"/>
    <x v="2"/>
    <n v="0"/>
    <x v="2"/>
    <s v="Master"/>
    <x v="0"/>
    <x v="1"/>
  </r>
  <r>
    <n v="51"/>
    <s v="No"/>
    <x v="0"/>
    <n v="1302"/>
    <x v="1"/>
    <n v="2"/>
    <n v="3"/>
    <s v="Medical"/>
    <n v="408"/>
    <n v="4"/>
    <x v="1"/>
    <n v="84"/>
    <n v="1"/>
    <x v="0"/>
    <x v="3"/>
    <n v="2"/>
    <x v="2"/>
    <n v="5482"/>
    <n v="16321"/>
    <n v="5"/>
    <x v="1"/>
    <n v="18"/>
    <n v="3"/>
    <n v="4"/>
    <n v="1"/>
    <n v="13"/>
    <n v="3"/>
    <x v="1"/>
    <n v="4"/>
    <n v="1"/>
    <n v="1"/>
    <n v="2"/>
    <x v="1"/>
    <x v="0"/>
    <n v="0"/>
    <x v="2"/>
    <s v="Bachelor"/>
    <x v="1"/>
    <x v="1"/>
  </r>
  <r>
    <n v="41"/>
    <s v="No"/>
    <x v="0"/>
    <n v="334"/>
    <x v="0"/>
    <n v="2"/>
    <n v="4"/>
    <s v="Life Sciences"/>
    <n v="410"/>
    <n v="4"/>
    <x v="1"/>
    <n v="88"/>
    <n v="3"/>
    <x v="3"/>
    <x v="5"/>
    <n v="2"/>
    <x v="0"/>
    <n v="16015"/>
    <n v="15896"/>
    <n v="1"/>
    <x v="1"/>
    <n v="19"/>
    <n v="3"/>
    <n v="2"/>
    <n v="0"/>
    <n v="22"/>
    <n v="2"/>
    <x v="1"/>
    <n v="22"/>
    <n v="10"/>
    <n v="0"/>
    <n v="4"/>
    <x v="0"/>
    <x v="0"/>
    <n v="0"/>
    <x v="3"/>
    <s v="Master"/>
    <x v="1"/>
    <x v="1"/>
  </r>
  <r>
    <n v="18"/>
    <s v="No"/>
    <x v="0"/>
    <n v="812"/>
    <x v="0"/>
    <n v="10"/>
    <n v="3"/>
    <s v="Medical"/>
    <n v="411"/>
    <n v="4"/>
    <x v="0"/>
    <n v="69"/>
    <n v="2"/>
    <x v="1"/>
    <x v="6"/>
    <n v="3"/>
    <x v="0"/>
    <n v="1200"/>
    <n v="9724"/>
    <n v="1"/>
    <x v="1"/>
    <n v="12"/>
    <n v="3"/>
    <n v="1"/>
    <n v="0"/>
    <n v="0"/>
    <n v="2"/>
    <x v="1"/>
    <n v="0"/>
    <n v="0"/>
    <n v="0"/>
    <n v="0"/>
    <x v="3"/>
    <x v="2"/>
    <n v="0"/>
    <x v="2"/>
    <s v="Bachelor"/>
    <x v="2"/>
    <x v="1"/>
  </r>
  <r>
    <n v="28"/>
    <s v="No"/>
    <x v="0"/>
    <n v="1476"/>
    <x v="1"/>
    <n v="16"/>
    <n v="2"/>
    <s v="Medical"/>
    <n v="412"/>
    <n v="2"/>
    <x v="1"/>
    <n v="68"/>
    <n v="4"/>
    <x v="0"/>
    <x v="4"/>
    <n v="1"/>
    <x v="0"/>
    <n v="5661"/>
    <n v="4824"/>
    <n v="0"/>
    <x v="1"/>
    <n v="19"/>
    <n v="3"/>
    <n v="3"/>
    <n v="0"/>
    <n v="9"/>
    <n v="2"/>
    <x v="1"/>
    <n v="8"/>
    <n v="3"/>
    <n v="0"/>
    <n v="7"/>
    <x v="2"/>
    <x v="3"/>
    <n v="0"/>
    <x v="1"/>
    <s v="College"/>
    <x v="3"/>
    <x v="1"/>
  </r>
  <r>
    <n v="31"/>
    <s v="No"/>
    <x v="0"/>
    <n v="218"/>
    <x v="0"/>
    <n v="7"/>
    <n v="3"/>
    <s v="Technical Degree"/>
    <n v="416"/>
    <n v="2"/>
    <x v="1"/>
    <n v="100"/>
    <n v="4"/>
    <x v="0"/>
    <x v="0"/>
    <n v="4"/>
    <x v="1"/>
    <n v="6929"/>
    <n v="12241"/>
    <n v="4"/>
    <x v="1"/>
    <n v="11"/>
    <n v="3"/>
    <n v="2"/>
    <n v="1"/>
    <n v="10"/>
    <n v="3"/>
    <x v="2"/>
    <n v="8"/>
    <n v="7"/>
    <n v="7"/>
    <n v="7"/>
    <x v="2"/>
    <x v="0"/>
    <n v="0"/>
    <x v="0"/>
    <s v="Bachelor"/>
    <x v="0"/>
    <x v="2"/>
  </r>
  <r>
    <n v="39"/>
    <s v="No"/>
    <x v="0"/>
    <n v="1132"/>
    <x v="1"/>
    <n v="1"/>
    <n v="3"/>
    <s v="Medical"/>
    <n v="417"/>
    <n v="3"/>
    <x v="1"/>
    <n v="48"/>
    <n v="4"/>
    <x v="2"/>
    <x v="4"/>
    <n v="4"/>
    <x v="2"/>
    <n v="9613"/>
    <n v="10942"/>
    <n v="0"/>
    <x v="1"/>
    <n v="17"/>
    <n v="3"/>
    <n v="1"/>
    <n v="3"/>
    <n v="19"/>
    <n v="5"/>
    <x v="2"/>
    <n v="18"/>
    <n v="10"/>
    <n v="3"/>
    <n v="7"/>
    <x v="0"/>
    <x v="0"/>
    <n v="0"/>
    <x v="0"/>
    <s v="Bachelor"/>
    <x v="0"/>
    <x v="2"/>
  </r>
  <r>
    <n v="36"/>
    <s v="No"/>
    <x v="2"/>
    <n v="1105"/>
    <x v="1"/>
    <n v="24"/>
    <n v="4"/>
    <s v="Life Sciences"/>
    <n v="419"/>
    <n v="2"/>
    <x v="0"/>
    <n v="47"/>
    <n v="3"/>
    <x v="0"/>
    <x v="2"/>
    <n v="2"/>
    <x v="1"/>
    <n v="5674"/>
    <n v="6927"/>
    <n v="7"/>
    <x v="1"/>
    <n v="15"/>
    <n v="3"/>
    <n v="3"/>
    <n v="1"/>
    <n v="11"/>
    <n v="3"/>
    <x v="1"/>
    <n v="9"/>
    <n v="8"/>
    <n v="0"/>
    <n v="8"/>
    <x v="0"/>
    <x v="2"/>
    <n v="0"/>
    <x v="1"/>
    <s v="Master"/>
    <x v="1"/>
    <x v="1"/>
  </r>
  <r>
    <n v="32"/>
    <s v="No"/>
    <x v="0"/>
    <n v="906"/>
    <x v="0"/>
    <n v="7"/>
    <n v="3"/>
    <s v="Life Sciences"/>
    <n v="420"/>
    <n v="4"/>
    <x v="1"/>
    <n v="91"/>
    <n v="2"/>
    <x v="0"/>
    <x v="0"/>
    <n v="3"/>
    <x v="1"/>
    <n v="5484"/>
    <n v="16985"/>
    <n v="1"/>
    <x v="1"/>
    <n v="14"/>
    <n v="3"/>
    <n v="3"/>
    <n v="1"/>
    <n v="13"/>
    <n v="3"/>
    <x v="2"/>
    <n v="13"/>
    <n v="8"/>
    <n v="4"/>
    <n v="8"/>
    <x v="2"/>
    <x v="0"/>
    <n v="0"/>
    <x v="0"/>
    <s v="Bachelor"/>
    <x v="2"/>
    <x v="2"/>
  </r>
  <r>
    <n v="38"/>
    <s v="No"/>
    <x v="0"/>
    <n v="849"/>
    <x v="1"/>
    <n v="25"/>
    <n v="2"/>
    <s v="Life Sciences"/>
    <n v="421"/>
    <n v="1"/>
    <x v="0"/>
    <n v="81"/>
    <n v="2"/>
    <x v="2"/>
    <x v="7"/>
    <n v="2"/>
    <x v="1"/>
    <n v="12061"/>
    <n v="26707"/>
    <n v="3"/>
    <x v="1"/>
    <n v="17"/>
    <n v="3"/>
    <n v="3"/>
    <n v="1"/>
    <n v="19"/>
    <n v="2"/>
    <x v="1"/>
    <n v="10"/>
    <n v="8"/>
    <n v="0"/>
    <n v="1"/>
    <x v="0"/>
    <x v="0"/>
    <n v="0"/>
    <x v="1"/>
    <s v="College"/>
    <x v="1"/>
    <x v="1"/>
  </r>
  <r>
    <n v="58"/>
    <s v="No"/>
    <x v="2"/>
    <n v="390"/>
    <x v="1"/>
    <n v="1"/>
    <n v="4"/>
    <s v="Life Sciences"/>
    <n v="422"/>
    <n v="4"/>
    <x v="1"/>
    <n v="32"/>
    <n v="1"/>
    <x v="0"/>
    <x v="4"/>
    <n v="3"/>
    <x v="2"/>
    <n v="5660"/>
    <n v="17056"/>
    <n v="2"/>
    <x v="0"/>
    <n v="13"/>
    <n v="3"/>
    <n v="4"/>
    <n v="1"/>
    <n v="12"/>
    <n v="2"/>
    <x v="1"/>
    <n v="5"/>
    <n v="3"/>
    <n v="1"/>
    <n v="2"/>
    <x v="1"/>
    <x v="0"/>
    <n v="0"/>
    <x v="2"/>
    <s v="Master"/>
    <x v="2"/>
    <x v="1"/>
  </r>
  <r>
    <n v="31"/>
    <s v="No"/>
    <x v="0"/>
    <n v="691"/>
    <x v="1"/>
    <n v="5"/>
    <n v="4"/>
    <s v="Technical Degree"/>
    <n v="423"/>
    <n v="3"/>
    <x v="1"/>
    <n v="86"/>
    <n v="3"/>
    <x v="1"/>
    <x v="1"/>
    <n v="4"/>
    <x v="1"/>
    <n v="4821"/>
    <n v="10077"/>
    <n v="0"/>
    <x v="0"/>
    <n v="12"/>
    <n v="3"/>
    <n v="3"/>
    <n v="1"/>
    <n v="6"/>
    <n v="4"/>
    <x v="1"/>
    <n v="5"/>
    <n v="2"/>
    <n v="0"/>
    <n v="3"/>
    <x v="2"/>
    <x v="0"/>
    <n v="0"/>
    <x v="2"/>
    <s v="Master"/>
    <x v="0"/>
    <x v="1"/>
  </r>
  <r>
    <n v="31"/>
    <s v="No"/>
    <x v="0"/>
    <n v="106"/>
    <x v="2"/>
    <n v="2"/>
    <n v="3"/>
    <s v="Human Resources"/>
    <n v="424"/>
    <n v="1"/>
    <x v="1"/>
    <n v="62"/>
    <n v="2"/>
    <x v="0"/>
    <x v="8"/>
    <n v="1"/>
    <x v="1"/>
    <n v="6410"/>
    <n v="17822"/>
    <n v="3"/>
    <x v="1"/>
    <n v="12"/>
    <n v="3"/>
    <n v="4"/>
    <n v="0"/>
    <n v="9"/>
    <n v="1"/>
    <x v="1"/>
    <n v="2"/>
    <n v="2"/>
    <n v="1"/>
    <n v="0"/>
    <x v="2"/>
    <x v="0"/>
    <n v="0"/>
    <x v="2"/>
    <s v="Bachelor"/>
    <x v="3"/>
    <x v="1"/>
  </r>
  <r>
    <n v="45"/>
    <s v="No"/>
    <x v="1"/>
    <n v="1249"/>
    <x v="1"/>
    <n v="7"/>
    <n v="3"/>
    <s v="Life Sciences"/>
    <n v="425"/>
    <n v="1"/>
    <x v="1"/>
    <n v="97"/>
    <n v="3"/>
    <x v="2"/>
    <x v="2"/>
    <n v="1"/>
    <x v="2"/>
    <n v="5210"/>
    <n v="20308"/>
    <n v="1"/>
    <x v="1"/>
    <n v="18"/>
    <n v="3"/>
    <n v="1"/>
    <n v="1"/>
    <n v="24"/>
    <n v="2"/>
    <x v="1"/>
    <n v="24"/>
    <n v="9"/>
    <n v="9"/>
    <n v="11"/>
    <x v="0"/>
    <x v="0"/>
    <n v="0"/>
    <x v="3"/>
    <s v="Bachelor"/>
    <x v="3"/>
    <x v="1"/>
  </r>
  <r>
    <n v="31"/>
    <s v="No"/>
    <x v="0"/>
    <n v="192"/>
    <x v="1"/>
    <n v="2"/>
    <n v="4"/>
    <s v="Life Sciences"/>
    <n v="426"/>
    <n v="3"/>
    <x v="1"/>
    <n v="32"/>
    <n v="3"/>
    <x v="1"/>
    <x v="1"/>
    <n v="4"/>
    <x v="2"/>
    <n v="2695"/>
    <n v="7747"/>
    <n v="0"/>
    <x v="0"/>
    <n v="18"/>
    <n v="3"/>
    <n v="2"/>
    <n v="1"/>
    <n v="3"/>
    <n v="2"/>
    <x v="0"/>
    <n v="2"/>
    <n v="2"/>
    <n v="2"/>
    <n v="2"/>
    <x v="2"/>
    <x v="2"/>
    <n v="0"/>
    <x v="0"/>
    <s v="Master"/>
    <x v="0"/>
    <x v="0"/>
  </r>
  <r>
    <n v="33"/>
    <s v="No"/>
    <x v="1"/>
    <n v="553"/>
    <x v="1"/>
    <n v="5"/>
    <n v="4"/>
    <s v="Life Sciences"/>
    <n v="428"/>
    <n v="4"/>
    <x v="0"/>
    <n v="74"/>
    <n v="3"/>
    <x v="2"/>
    <x v="5"/>
    <n v="2"/>
    <x v="1"/>
    <n v="11878"/>
    <n v="23364"/>
    <n v="6"/>
    <x v="1"/>
    <n v="11"/>
    <n v="3"/>
    <n v="2"/>
    <n v="2"/>
    <n v="12"/>
    <n v="2"/>
    <x v="1"/>
    <n v="10"/>
    <n v="6"/>
    <n v="8"/>
    <n v="8"/>
    <x v="2"/>
    <x v="0"/>
    <n v="0"/>
    <x v="1"/>
    <s v="Master"/>
    <x v="1"/>
    <x v="1"/>
  </r>
  <r>
    <n v="39"/>
    <s v="No"/>
    <x v="0"/>
    <n v="117"/>
    <x v="1"/>
    <n v="10"/>
    <n v="1"/>
    <s v="Medical"/>
    <n v="429"/>
    <n v="3"/>
    <x v="1"/>
    <n v="99"/>
    <n v="3"/>
    <x v="3"/>
    <x v="5"/>
    <n v="1"/>
    <x v="1"/>
    <n v="17068"/>
    <n v="5355"/>
    <n v="1"/>
    <x v="0"/>
    <n v="14"/>
    <n v="3"/>
    <n v="4"/>
    <n v="0"/>
    <n v="21"/>
    <n v="3"/>
    <x v="1"/>
    <n v="21"/>
    <n v="9"/>
    <n v="11"/>
    <n v="10"/>
    <x v="0"/>
    <x v="3"/>
    <n v="0"/>
    <x v="3"/>
    <s v="Below College"/>
    <x v="3"/>
    <x v="1"/>
  </r>
  <r>
    <n v="43"/>
    <s v="No"/>
    <x v="1"/>
    <n v="185"/>
    <x v="1"/>
    <n v="10"/>
    <n v="4"/>
    <s v="Life Sciences"/>
    <n v="430"/>
    <n v="3"/>
    <x v="0"/>
    <n v="33"/>
    <n v="3"/>
    <x v="1"/>
    <x v="2"/>
    <n v="4"/>
    <x v="0"/>
    <n v="2455"/>
    <n v="10675"/>
    <n v="0"/>
    <x v="1"/>
    <n v="19"/>
    <n v="3"/>
    <n v="1"/>
    <n v="0"/>
    <n v="9"/>
    <n v="5"/>
    <x v="1"/>
    <n v="8"/>
    <n v="7"/>
    <n v="1"/>
    <n v="7"/>
    <x v="0"/>
    <x v="0"/>
    <n v="0"/>
    <x v="1"/>
    <s v="Master"/>
    <x v="0"/>
    <x v="1"/>
  </r>
  <r>
    <n v="49"/>
    <s v="No"/>
    <x v="0"/>
    <n v="1091"/>
    <x v="1"/>
    <n v="1"/>
    <n v="2"/>
    <s v="Technical Degree"/>
    <n v="431"/>
    <n v="3"/>
    <x v="0"/>
    <n v="90"/>
    <n v="2"/>
    <x v="3"/>
    <x v="4"/>
    <n v="3"/>
    <x v="0"/>
    <n v="13964"/>
    <n v="17810"/>
    <n v="7"/>
    <x v="0"/>
    <n v="12"/>
    <n v="3"/>
    <n v="4"/>
    <n v="0"/>
    <n v="25"/>
    <n v="2"/>
    <x v="1"/>
    <n v="7"/>
    <n v="1"/>
    <n v="0"/>
    <n v="7"/>
    <x v="1"/>
    <x v="0"/>
    <n v="0"/>
    <x v="1"/>
    <s v="College"/>
    <x v="2"/>
    <x v="1"/>
  </r>
  <r>
    <n v="52"/>
    <s v="Yes"/>
    <x v="0"/>
    <n v="723"/>
    <x v="1"/>
    <n v="8"/>
    <n v="4"/>
    <s v="Medical"/>
    <n v="433"/>
    <n v="3"/>
    <x v="1"/>
    <n v="85"/>
    <n v="2"/>
    <x v="0"/>
    <x v="1"/>
    <n v="2"/>
    <x v="1"/>
    <n v="4941"/>
    <n v="17747"/>
    <n v="2"/>
    <x v="1"/>
    <n v="15"/>
    <n v="3"/>
    <n v="1"/>
    <n v="0"/>
    <n v="11"/>
    <n v="3"/>
    <x v="2"/>
    <n v="8"/>
    <n v="2"/>
    <n v="7"/>
    <n v="7"/>
    <x v="1"/>
    <x v="0"/>
    <n v="1"/>
    <x v="0"/>
    <s v="Master"/>
    <x v="1"/>
    <x v="2"/>
  </r>
  <r>
    <n v="27"/>
    <s v="No"/>
    <x v="0"/>
    <n v="1220"/>
    <x v="1"/>
    <n v="5"/>
    <n v="3"/>
    <s v="Life Sciences"/>
    <n v="434"/>
    <n v="3"/>
    <x v="0"/>
    <n v="85"/>
    <n v="3"/>
    <x v="1"/>
    <x v="1"/>
    <n v="2"/>
    <x v="0"/>
    <n v="2478"/>
    <n v="20938"/>
    <n v="1"/>
    <x v="0"/>
    <n v="12"/>
    <n v="3"/>
    <n v="2"/>
    <n v="0"/>
    <n v="4"/>
    <n v="2"/>
    <x v="2"/>
    <n v="4"/>
    <n v="3"/>
    <n v="1"/>
    <n v="2"/>
    <x v="2"/>
    <x v="0"/>
    <n v="0"/>
    <x v="0"/>
    <s v="Bachelor"/>
    <x v="1"/>
    <x v="2"/>
  </r>
  <r>
    <n v="32"/>
    <s v="No"/>
    <x v="0"/>
    <n v="588"/>
    <x v="0"/>
    <n v="8"/>
    <n v="2"/>
    <s v="Technical Degree"/>
    <n v="436"/>
    <n v="3"/>
    <x v="0"/>
    <n v="65"/>
    <n v="2"/>
    <x v="0"/>
    <x v="0"/>
    <n v="2"/>
    <x v="1"/>
    <n v="5228"/>
    <n v="24624"/>
    <n v="1"/>
    <x v="0"/>
    <n v="11"/>
    <n v="3"/>
    <n v="4"/>
    <n v="0"/>
    <n v="13"/>
    <n v="2"/>
    <x v="1"/>
    <n v="13"/>
    <n v="12"/>
    <n v="11"/>
    <n v="9"/>
    <x v="2"/>
    <x v="0"/>
    <n v="0"/>
    <x v="3"/>
    <s v="College"/>
    <x v="1"/>
    <x v="1"/>
  </r>
  <r>
    <n v="27"/>
    <s v="No"/>
    <x v="0"/>
    <n v="1377"/>
    <x v="0"/>
    <n v="2"/>
    <n v="3"/>
    <s v="Life Sciences"/>
    <n v="437"/>
    <n v="4"/>
    <x v="1"/>
    <n v="74"/>
    <n v="3"/>
    <x v="0"/>
    <x v="0"/>
    <n v="3"/>
    <x v="0"/>
    <n v="4478"/>
    <n v="5242"/>
    <n v="1"/>
    <x v="0"/>
    <n v="11"/>
    <n v="3"/>
    <n v="1"/>
    <n v="0"/>
    <n v="5"/>
    <n v="3"/>
    <x v="1"/>
    <n v="5"/>
    <n v="4"/>
    <n v="0"/>
    <n v="4"/>
    <x v="2"/>
    <x v="3"/>
    <n v="0"/>
    <x v="2"/>
    <s v="Bachelor"/>
    <x v="2"/>
    <x v="1"/>
  </r>
  <r>
    <n v="31"/>
    <s v="No"/>
    <x v="0"/>
    <n v="691"/>
    <x v="0"/>
    <n v="7"/>
    <n v="3"/>
    <s v="Marketing"/>
    <n v="438"/>
    <n v="4"/>
    <x v="1"/>
    <n v="73"/>
    <n v="3"/>
    <x v="0"/>
    <x v="0"/>
    <n v="4"/>
    <x v="2"/>
    <n v="7547"/>
    <n v="7143"/>
    <n v="4"/>
    <x v="1"/>
    <n v="12"/>
    <n v="3"/>
    <n v="4"/>
    <n v="3"/>
    <n v="13"/>
    <n v="3"/>
    <x v="1"/>
    <n v="7"/>
    <n v="7"/>
    <n v="1"/>
    <n v="7"/>
    <x v="2"/>
    <x v="2"/>
    <n v="0"/>
    <x v="1"/>
    <s v="Bachelor"/>
    <x v="0"/>
    <x v="1"/>
  </r>
  <r>
    <n v="32"/>
    <s v="No"/>
    <x v="0"/>
    <n v="1018"/>
    <x v="1"/>
    <n v="2"/>
    <n v="4"/>
    <s v="Medical"/>
    <n v="439"/>
    <n v="1"/>
    <x v="0"/>
    <n v="74"/>
    <n v="4"/>
    <x v="0"/>
    <x v="1"/>
    <n v="4"/>
    <x v="0"/>
    <n v="5055"/>
    <n v="10557"/>
    <n v="7"/>
    <x v="1"/>
    <n v="16"/>
    <n v="3"/>
    <n v="3"/>
    <n v="0"/>
    <n v="10"/>
    <n v="0"/>
    <x v="2"/>
    <n v="7"/>
    <n v="7"/>
    <n v="0"/>
    <n v="7"/>
    <x v="2"/>
    <x v="0"/>
    <n v="0"/>
    <x v="0"/>
    <s v="Master"/>
    <x v="0"/>
    <x v="2"/>
  </r>
  <r>
    <n v="28"/>
    <s v="Yes"/>
    <x v="0"/>
    <n v="1157"/>
    <x v="1"/>
    <n v="2"/>
    <n v="4"/>
    <s v="Medical"/>
    <n v="440"/>
    <n v="1"/>
    <x v="1"/>
    <n v="84"/>
    <n v="1"/>
    <x v="1"/>
    <x v="1"/>
    <n v="4"/>
    <x v="1"/>
    <n v="3464"/>
    <n v="24737"/>
    <n v="5"/>
    <x v="0"/>
    <n v="13"/>
    <n v="3"/>
    <n v="4"/>
    <n v="0"/>
    <n v="5"/>
    <n v="4"/>
    <x v="2"/>
    <n v="3"/>
    <n v="2"/>
    <n v="2"/>
    <n v="2"/>
    <x v="2"/>
    <x v="0"/>
    <n v="1"/>
    <x v="0"/>
    <s v="Master"/>
    <x v="0"/>
    <x v="2"/>
  </r>
  <r>
    <n v="30"/>
    <s v="No"/>
    <x v="0"/>
    <n v="1275"/>
    <x v="1"/>
    <n v="28"/>
    <n v="2"/>
    <s v="Medical"/>
    <n v="441"/>
    <n v="4"/>
    <x v="0"/>
    <n v="64"/>
    <n v="3"/>
    <x v="0"/>
    <x v="1"/>
    <n v="4"/>
    <x v="1"/>
    <n v="5775"/>
    <n v="11934"/>
    <n v="1"/>
    <x v="1"/>
    <n v="13"/>
    <n v="3"/>
    <n v="4"/>
    <n v="2"/>
    <n v="11"/>
    <n v="2"/>
    <x v="1"/>
    <n v="10"/>
    <n v="8"/>
    <n v="1"/>
    <n v="9"/>
    <x v="2"/>
    <x v="0"/>
    <n v="0"/>
    <x v="1"/>
    <s v="College"/>
    <x v="0"/>
    <x v="1"/>
  </r>
  <r>
    <n v="31"/>
    <s v="No"/>
    <x v="1"/>
    <n v="798"/>
    <x v="1"/>
    <n v="7"/>
    <n v="2"/>
    <s v="Life Sciences"/>
    <n v="442"/>
    <n v="3"/>
    <x v="0"/>
    <n v="48"/>
    <n v="2"/>
    <x v="2"/>
    <x v="3"/>
    <n v="3"/>
    <x v="1"/>
    <n v="8943"/>
    <n v="14034"/>
    <n v="1"/>
    <x v="1"/>
    <n v="24"/>
    <n v="4"/>
    <n v="1"/>
    <n v="1"/>
    <n v="10"/>
    <n v="2"/>
    <x v="1"/>
    <n v="10"/>
    <n v="9"/>
    <n v="8"/>
    <n v="9"/>
    <x v="2"/>
    <x v="0"/>
    <n v="0"/>
    <x v="1"/>
    <s v="College"/>
    <x v="2"/>
    <x v="1"/>
  </r>
  <r>
    <n v="39"/>
    <s v="No"/>
    <x v="1"/>
    <n v="672"/>
    <x v="1"/>
    <n v="7"/>
    <n v="2"/>
    <s v="Medical"/>
    <n v="444"/>
    <n v="3"/>
    <x v="1"/>
    <n v="54"/>
    <n v="2"/>
    <x v="4"/>
    <x v="5"/>
    <n v="4"/>
    <x v="1"/>
    <n v="19272"/>
    <n v="21141"/>
    <n v="1"/>
    <x v="1"/>
    <n v="15"/>
    <n v="3"/>
    <n v="1"/>
    <n v="1"/>
    <n v="21"/>
    <n v="2"/>
    <x v="1"/>
    <n v="21"/>
    <n v="9"/>
    <n v="13"/>
    <n v="3"/>
    <x v="0"/>
    <x v="0"/>
    <n v="0"/>
    <x v="3"/>
    <s v="College"/>
    <x v="0"/>
    <x v="1"/>
  </r>
  <r>
    <n v="39"/>
    <s v="Yes"/>
    <x v="0"/>
    <n v="1162"/>
    <x v="0"/>
    <n v="3"/>
    <n v="2"/>
    <s v="Medical"/>
    <n v="445"/>
    <n v="4"/>
    <x v="0"/>
    <n v="41"/>
    <n v="3"/>
    <x v="0"/>
    <x v="0"/>
    <n v="3"/>
    <x v="1"/>
    <n v="5238"/>
    <n v="17778"/>
    <n v="4"/>
    <x v="0"/>
    <n v="18"/>
    <n v="3"/>
    <n v="1"/>
    <n v="0"/>
    <n v="12"/>
    <n v="3"/>
    <x v="2"/>
    <n v="1"/>
    <n v="0"/>
    <n v="0"/>
    <n v="0"/>
    <x v="0"/>
    <x v="0"/>
    <n v="1"/>
    <x v="0"/>
    <s v="College"/>
    <x v="2"/>
    <x v="2"/>
  </r>
  <r>
    <n v="33"/>
    <s v="No"/>
    <x v="1"/>
    <n v="508"/>
    <x v="0"/>
    <n v="10"/>
    <n v="3"/>
    <s v="Marketing"/>
    <n v="446"/>
    <n v="2"/>
    <x v="1"/>
    <n v="46"/>
    <n v="2"/>
    <x v="0"/>
    <x v="0"/>
    <n v="4"/>
    <x v="0"/>
    <n v="4682"/>
    <n v="4317"/>
    <n v="3"/>
    <x v="1"/>
    <n v="14"/>
    <n v="3"/>
    <n v="3"/>
    <n v="0"/>
    <n v="9"/>
    <n v="6"/>
    <x v="2"/>
    <n v="7"/>
    <n v="7"/>
    <n v="0"/>
    <n v="1"/>
    <x v="2"/>
    <x v="3"/>
    <n v="0"/>
    <x v="0"/>
    <s v="Bachelor"/>
    <x v="0"/>
    <x v="2"/>
  </r>
  <r>
    <n v="47"/>
    <s v="No"/>
    <x v="0"/>
    <n v="1482"/>
    <x v="1"/>
    <n v="5"/>
    <n v="5"/>
    <s v="Life Sciences"/>
    <n v="447"/>
    <n v="4"/>
    <x v="1"/>
    <n v="42"/>
    <n v="3"/>
    <x v="4"/>
    <x v="7"/>
    <n v="3"/>
    <x v="1"/>
    <n v="18300"/>
    <n v="16375"/>
    <n v="4"/>
    <x v="1"/>
    <n v="11"/>
    <n v="3"/>
    <n v="2"/>
    <n v="1"/>
    <n v="21"/>
    <n v="2"/>
    <x v="1"/>
    <n v="3"/>
    <n v="2"/>
    <n v="1"/>
    <n v="1"/>
    <x v="1"/>
    <x v="0"/>
    <n v="0"/>
    <x v="2"/>
    <s v="Doctor"/>
    <x v="2"/>
    <x v="1"/>
  </r>
  <r>
    <n v="43"/>
    <s v="No"/>
    <x v="1"/>
    <n v="559"/>
    <x v="1"/>
    <n v="10"/>
    <n v="4"/>
    <s v="Life Sciences"/>
    <n v="448"/>
    <n v="3"/>
    <x v="0"/>
    <n v="82"/>
    <n v="2"/>
    <x v="0"/>
    <x v="2"/>
    <n v="3"/>
    <x v="2"/>
    <n v="5257"/>
    <n v="6227"/>
    <n v="1"/>
    <x v="1"/>
    <n v="11"/>
    <n v="3"/>
    <n v="2"/>
    <n v="1"/>
    <n v="9"/>
    <n v="3"/>
    <x v="3"/>
    <n v="9"/>
    <n v="7"/>
    <n v="0"/>
    <n v="0"/>
    <x v="0"/>
    <x v="2"/>
    <n v="0"/>
    <x v="1"/>
    <s v="Master"/>
    <x v="2"/>
    <x v="3"/>
  </r>
  <r>
    <n v="27"/>
    <s v="No"/>
    <x v="2"/>
    <n v="210"/>
    <x v="0"/>
    <n v="1"/>
    <n v="1"/>
    <s v="Marketing"/>
    <n v="449"/>
    <n v="3"/>
    <x v="1"/>
    <n v="73"/>
    <n v="3"/>
    <x v="0"/>
    <x v="0"/>
    <n v="2"/>
    <x v="1"/>
    <n v="6349"/>
    <n v="22107"/>
    <n v="0"/>
    <x v="0"/>
    <n v="13"/>
    <n v="3"/>
    <n v="4"/>
    <n v="1"/>
    <n v="6"/>
    <n v="0"/>
    <x v="1"/>
    <n v="5"/>
    <n v="4"/>
    <n v="1"/>
    <n v="4"/>
    <x v="2"/>
    <x v="0"/>
    <n v="0"/>
    <x v="2"/>
    <s v="Below College"/>
    <x v="1"/>
    <x v="1"/>
  </r>
  <r>
    <n v="54"/>
    <s v="No"/>
    <x v="1"/>
    <n v="928"/>
    <x v="1"/>
    <n v="20"/>
    <n v="4"/>
    <s v="Life Sciences"/>
    <n v="450"/>
    <n v="4"/>
    <x v="0"/>
    <n v="31"/>
    <n v="3"/>
    <x v="0"/>
    <x v="1"/>
    <n v="3"/>
    <x v="0"/>
    <n v="4869"/>
    <n v="16885"/>
    <n v="3"/>
    <x v="1"/>
    <n v="12"/>
    <n v="3"/>
    <n v="4"/>
    <n v="0"/>
    <n v="20"/>
    <n v="4"/>
    <x v="2"/>
    <n v="4"/>
    <n v="3"/>
    <n v="0"/>
    <n v="3"/>
    <x v="1"/>
    <x v="0"/>
    <n v="0"/>
    <x v="0"/>
    <s v="Master"/>
    <x v="2"/>
    <x v="2"/>
  </r>
  <r>
    <n v="43"/>
    <s v="No"/>
    <x v="0"/>
    <n v="1001"/>
    <x v="1"/>
    <n v="7"/>
    <n v="3"/>
    <s v="Life Sciences"/>
    <n v="451"/>
    <n v="3"/>
    <x v="0"/>
    <n v="43"/>
    <n v="3"/>
    <x v="2"/>
    <x v="4"/>
    <n v="1"/>
    <x v="1"/>
    <n v="9985"/>
    <n v="9262"/>
    <n v="8"/>
    <x v="1"/>
    <n v="16"/>
    <n v="3"/>
    <n v="1"/>
    <n v="1"/>
    <n v="10"/>
    <n v="1"/>
    <x v="2"/>
    <n v="1"/>
    <n v="0"/>
    <n v="0"/>
    <n v="0"/>
    <x v="0"/>
    <x v="2"/>
    <n v="0"/>
    <x v="0"/>
    <s v="Bachelor"/>
    <x v="3"/>
    <x v="2"/>
  </r>
  <r>
    <n v="45"/>
    <s v="No"/>
    <x v="0"/>
    <n v="549"/>
    <x v="1"/>
    <n v="8"/>
    <n v="4"/>
    <s v="Other"/>
    <n v="452"/>
    <n v="4"/>
    <x v="1"/>
    <n v="75"/>
    <n v="3"/>
    <x v="0"/>
    <x v="1"/>
    <n v="4"/>
    <x v="1"/>
    <n v="3697"/>
    <n v="9278"/>
    <n v="9"/>
    <x v="1"/>
    <n v="14"/>
    <n v="3"/>
    <n v="1"/>
    <n v="2"/>
    <n v="12"/>
    <n v="3"/>
    <x v="1"/>
    <n v="10"/>
    <n v="9"/>
    <n v="9"/>
    <n v="8"/>
    <x v="0"/>
    <x v="2"/>
    <n v="0"/>
    <x v="1"/>
    <s v="Master"/>
    <x v="0"/>
    <x v="1"/>
  </r>
  <r>
    <n v="40"/>
    <s v="No"/>
    <x v="0"/>
    <n v="1124"/>
    <x v="0"/>
    <n v="1"/>
    <n v="2"/>
    <s v="Medical"/>
    <n v="453"/>
    <n v="2"/>
    <x v="1"/>
    <n v="57"/>
    <n v="1"/>
    <x v="0"/>
    <x v="0"/>
    <n v="4"/>
    <x v="1"/>
    <n v="7457"/>
    <n v="13273"/>
    <n v="2"/>
    <x v="0"/>
    <n v="22"/>
    <n v="4"/>
    <n v="3"/>
    <n v="3"/>
    <n v="6"/>
    <n v="2"/>
    <x v="2"/>
    <n v="4"/>
    <n v="3"/>
    <n v="0"/>
    <n v="2"/>
    <x v="0"/>
    <x v="0"/>
    <n v="0"/>
    <x v="0"/>
    <s v="College"/>
    <x v="0"/>
    <x v="2"/>
  </r>
  <r>
    <n v="29"/>
    <s v="Yes"/>
    <x v="0"/>
    <n v="318"/>
    <x v="1"/>
    <n v="8"/>
    <n v="4"/>
    <s v="Other"/>
    <n v="454"/>
    <n v="2"/>
    <x v="1"/>
    <n v="77"/>
    <n v="1"/>
    <x v="1"/>
    <x v="2"/>
    <n v="1"/>
    <x v="1"/>
    <n v="2119"/>
    <n v="4759"/>
    <n v="1"/>
    <x v="0"/>
    <n v="11"/>
    <n v="3"/>
    <n v="4"/>
    <n v="0"/>
    <n v="7"/>
    <n v="4"/>
    <x v="2"/>
    <n v="7"/>
    <n v="7"/>
    <n v="0"/>
    <n v="7"/>
    <x v="2"/>
    <x v="3"/>
    <n v="1"/>
    <x v="0"/>
    <s v="Master"/>
    <x v="3"/>
    <x v="2"/>
  </r>
  <r>
    <n v="29"/>
    <s v="No"/>
    <x v="0"/>
    <n v="738"/>
    <x v="1"/>
    <n v="9"/>
    <n v="5"/>
    <s v="Other"/>
    <n v="455"/>
    <n v="2"/>
    <x v="1"/>
    <n v="30"/>
    <n v="2"/>
    <x v="1"/>
    <x v="2"/>
    <n v="4"/>
    <x v="0"/>
    <n v="3983"/>
    <n v="7621"/>
    <n v="0"/>
    <x v="1"/>
    <n v="17"/>
    <n v="3"/>
    <n v="3"/>
    <n v="0"/>
    <n v="4"/>
    <n v="2"/>
    <x v="1"/>
    <n v="3"/>
    <n v="2"/>
    <n v="2"/>
    <n v="2"/>
    <x v="2"/>
    <x v="2"/>
    <n v="0"/>
    <x v="2"/>
    <s v="Doctor"/>
    <x v="0"/>
    <x v="1"/>
  </r>
  <r>
    <n v="30"/>
    <s v="No"/>
    <x v="0"/>
    <n v="570"/>
    <x v="0"/>
    <n v="5"/>
    <n v="3"/>
    <s v="Marketing"/>
    <n v="456"/>
    <n v="4"/>
    <x v="0"/>
    <n v="30"/>
    <n v="2"/>
    <x v="0"/>
    <x v="0"/>
    <n v="3"/>
    <x v="2"/>
    <n v="6118"/>
    <n v="5431"/>
    <n v="1"/>
    <x v="1"/>
    <n v="13"/>
    <n v="3"/>
    <n v="3"/>
    <n v="3"/>
    <n v="10"/>
    <n v="2"/>
    <x v="1"/>
    <n v="10"/>
    <n v="9"/>
    <n v="1"/>
    <n v="2"/>
    <x v="2"/>
    <x v="3"/>
    <n v="0"/>
    <x v="1"/>
    <s v="Bachelor"/>
    <x v="2"/>
    <x v="1"/>
  </r>
  <r>
    <n v="27"/>
    <s v="No"/>
    <x v="0"/>
    <n v="1130"/>
    <x v="0"/>
    <n v="8"/>
    <n v="4"/>
    <s v="Marketing"/>
    <n v="458"/>
    <n v="2"/>
    <x v="0"/>
    <n v="56"/>
    <n v="3"/>
    <x v="0"/>
    <x v="0"/>
    <n v="2"/>
    <x v="1"/>
    <n v="6214"/>
    <n v="3415"/>
    <n v="1"/>
    <x v="1"/>
    <n v="18"/>
    <n v="3"/>
    <n v="1"/>
    <n v="1"/>
    <n v="8"/>
    <n v="3"/>
    <x v="1"/>
    <n v="8"/>
    <n v="7"/>
    <n v="0"/>
    <n v="7"/>
    <x v="2"/>
    <x v="3"/>
    <n v="0"/>
    <x v="1"/>
    <s v="Master"/>
    <x v="1"/>
    <x v="1"/>
  </r>
  <r>
    <n v="37"/>
    <s v="No"/>
    <x v="0"/>
    <n v="1192"/>
    <x v="1"/>
    <n v="5"/>
    <n v="2"/>
    <s v="Medical"/>
    <n v="460"/>
    <n v="4"/>
    <x v="1"/>
    <n v="61"/>
    <n v="3"/>
    <x v="0"/>
    <x v="3"/>
    <n v="4"/>
    <x v="2"/>
    <n v="6347"/>
    <n v="23177"/>
    <n v="7"/>
    <x v="1"/>
    <n v="16"/>
    <n v="3"/>
    <n v="3"/>
    <n v="2"/>
    <n v="8"/>
    <n v="2"/>
    <x v="2"/>
    <n v="6"/>
    <n v="2"/>
    <n v="0"/>
    <n v="4"/>
    <x v="0"/>
    <x v="0"/>
    <n v="0"/>
    <x v="0"/>
    <s v="College"/>
    <x v="0"/>
    <x v="2"/>
  </r>
  <r>
    <n v="38"/>
    <s v="No"/>
    <x v="0"/>
    <n v="343"/>
    <x v="1"/>
    <n v="15"/>
    <n v="2"/>
    <s v="Life Sciences"/>
    <n v="461"/>
    <n v="3"/>
    <x v="1"/>
    <n v="92"/>
    <n v="2"/>
    <x v="2"/>
    <x v="7"/>
    <n v="4"/>
    <x v="2"/>
    <n v="11510"/>
    <n v="15682"/>
    <n v="0"/>
    <x v="0"/>
    <n v="14"/>
    <n v="3"/>
    <n v="2"/>
    <n v="1"/>
    <n v="12"/>
    <n v="3"/>
    <x v="1"/>
    <n v="11"/>
    <n v="10"/>
    <n v="2"/>
    <n v="9"/>
    <x v="0"/>
    <x v="0"/>
    <n v="0"/>
    <x v="3"/>
    <s v="College"/>
    <x v="0"/>
    <x v="1"/>
  </r>
  <r>
    <n v="31"/>
    <s v="No"/>
    <x v="0"/>
    <n v="1232"/>
    <x v="1"/>
    <n v="7"/>
    <n v="4"/>
    <s v="Medical"/>
    <n v="462"/>
    <n v="3"/>
    <x v="0"/>
    <n v="39"/>
    <n v="3"/>
    <x v="2"/>
    <x v="3"/>
    <n v="4"/>
    <x v="0"/>
    <n v="7143"/>
    <n v="25713"/>
    <n v="1"/>
    <x v="0"/>
    <n v="14"/>
    <n v="3"/>
    <n v="3"/>
    <n v="0"/>
    <n v="11"/>
    <n v="2"/>
    <x v="2"/>
    <n v="11"/>
    <n v="9"/>
    <n v="4"/>
    <n v="10"/>
    <x v="2"/>
    <x v="0"/>
    <n v="0"/>
    <x v="0"/>
    <s v="Master"/>
    <x v="0"/>
    <x v="2"/>
  </r>
  <r>
    <n v="29"/>
    <s v="No"/>
    <x v="0"/>
    <n v="144"/>
    <x v="0"/>
    <n v="10"/>
    <n v="1"/>
    <s v="Marketing"/>
    <n v="463"/>
    <n v="4"/>
    <x v="0"/>
    <n v="39"/>
    <n v="2"/>
    <x v="0"/>
    <x v="0"/>
    <n v="2"/>
    <x v="2"/>
    <n v="8268"/>
    <n v="11866"/>
    <n v="1"/>
    <x v="0"/>
    <n v="14"/>
    <n v="3"/>
    <n v="1"/>
    <n v="2"/>
    <n v="7"/>
    <n v="2"/>
    <x v="1"/>
    <n v="7"/>
    <n v="7"/>
    <n v="1"/>
    <n v="7"/>
    <x v="2"/>
    <x v="0"/>
    <n v="0"/>
    <x v="1"/>
    <s v="Below College"/>
    <x v="1"/>
    <x v="1"/>
  </r>
  <r>
    <n v="35"/>
    <s v="No"/>
    <x v="0"/>
    <n v="1296"/>
    <x v="1"/>
    <n v="5"/>
    <n v="4"/>
    <s v="Technical Degree"/>
    <n v="464"/>
    <n v="3"/>
    <x v="1"/>
    <n v="62"/>
    <n v="3"/>
    <x v="2"/>
    <x v="3"/>
    <n v="2"/>
    <x v="0"/>
    <n v="8095"/>
    <n v="18264"/>
    <n v="0"/>
    <x v="1"/>
    <n v="13"/>
    <n v="3"/>
    <n v="4"/>
    <n v="0"/>
    <n v="17"/>
    <n v="5"/>
    <x v="1"/>
    <n v="16"/>
    <n v="6"/>
    <n v="0"/>
    <n v="13"/>
    <x v="2"/>
    <x v="0"/>
    <n v="0"/>
    <x v="3"/>
    <s v="Master"/>
    <x v="1"/>
    <x v="1"/>
  </r>
  <r>
    <n v="23"/>
    <s v="No"/>
    <x v="0"/>
    <n v="1309"/>
    <x v="1"/>
    <n v="26"/>
    <n v="1"/>
    <s v="Life Sciences"/>
    <n v="465"/>
    <n v="3"/>
    <x v="1"/>
    <n v="83"/>
    <n v="3"/>
    <x v="1"/>
    <x v="1"/>
    <n v="4"/>
    <x v="2"/>
    <n v="2904"/>
    <n v="16092"/>
    <n v="1"/>
    <x v="1"/>
    <n v="12"/>
    <n v="3"/>
    <n v="3"/>
    <n v="2"/>
    <n v="4"/>
    <n v="2"/>
    <x v="2"/>
    <n v="4"/>
    <n v="2"/>
    <n v="0"/>
    <n v="2"/>
    <x v="3"/>
    <x v="0"/>
    <n v="0"/>
    <x v="0"/>
    <s v="Below College"/>
    <x v="0"/>
    <x v="2"/>
  </r>
  <r>
    <n v="41"/>
    <s v="No"/>
    <x v="0"/>
    <n v="483"/>
    <x v="1"/>
    <n v="6"/>
    <n v="3"/>
    <s v="Medical"/>
    <n v="466"/>
    <n v="4"/>
    <x v="1"/>
    <n v="95"/>
    <n v="2"/>
    <x v="0"/>
    <x v="3"/>
    <n v="2"/>
    <x v="0"/>
    <n v="6032"/>
    <n v="10110"/>
    <n v="6"/>
    <x v="0"/>
    <n v="15"/>
    <n v="3"/>
    <n v="4"/>
    <n v="0"/>
    <n v="8"/>
    <n v="3"/>
    <x v="1"/>
    <n v="5"/>
    <n v="4"/>
    <n v="1"/>
    <n v="2"/>
    <x v="0"/>
    <x v="0"/>
    <n v="0"/>
    <x v="2"/>
    <s v="Bachelor"/>
    <x v="1"/>
    <x v="1"/>
  </r>
  <r>
    <n v="47"/>
    <s v="No"/>
    <x v="1"/>
    <n v="1309"/>
    <x v="0"/>
    <n v="4"/>
    <n v="1"/>
    <s v="Medical"/>
    <n v="467"/>
    <n v="2"/>
    <x v="1"/>
    <n v="99"/>
    <n v="3"/>
    <x v="0"/>
    <x v="6"/>
    <n v="3"/>
    <x v="0"/>
    <n v="2976"/>
    <n v="25751"/>
    <n v="3"/>
    <x v="1"/>
    <n v="19"/>
    <n v="3"/>
    <n v="1"/>
    <n v="0"/>
    <n v="5"/>
    <n v="3"/>
    <x v="1"/>
    <n v="0"/>
    <n v="0"/>
    <n v="0"/>
    <n v="0"/>
    <x v="1"/>
    <x v="0"/>
    <n v="0"/>
    <x v="2"/>
    <s v="Below College"/>
    <x v="2"/>
    <x v="1"/>
  </r>
  <r>
    <n v="42"/>
    <s v="No"/>
    <x v="0"/>
    <n v="810"/>
    <x v="1"/>
    <n v="23"/>
    <n v="5"/>
    <s v="Life Sciences"/>
    <n v="468"/>
    <n v="1"/>
    <x v="0"/>
    <n v="44"/>
    <n v="3"/>
    <x v="3"/>
    <x v="7"/>
    <n v="4"/>
    <x v="0"/>
    <n v="15992"/>
    <n v="15901"/>
    <n v="2"/>
    <x v="1"/>
    <n v="14"/>
    <n v="3"/>
    <n v="2"/>
    <n v="0"/>
    <n v="16"/>
    <n v="2"/>
    <x v="1"/>
    <n v="1"/>
    <n v="0"/>
    <n v="0"/>
    <n v="0"/>
    <x v="0"/>
    <x v="0"/>
    <n v="0"/>
    <x v="2"/>
    <s v="Doctor"/>
    <x v="0"/>
    <x v="1"/>
  </r>
  <r>
    <n v="29"/>
    <s v="No"/>
    <x v="2"/>
    <n v="746"/>
    <x v="0"/>
    <n v="2"/>
    <n v="3"/>
    <s v="Life Sciences"/>
    <n v="469"/>
    <n v="4"/>
    <x v="1"/>
    <n v="61"/>
    <n v="3"/>
    <x v="0"/>
    <x v="0"/>
    <n v="3"/>
    <x v="1"/>
    <n v="4649"/>
    <n v="16928"/>
    <n v="1"/>
    <x v="1"/>
    <n v="14"/>
    <n v="3"/>
    <n v="1"/>
    <n v="1"/>
    <n v="4"/>
    <n v="3"/>
    <x v="2"/>
    <n v="4"/>
    <n v="3"/>
    <n v="0"/>
    <n v="2"/>
    <x v="2"/>
    <x v="0"/>
    <n v="0"/>
    <x v="0"/>
    <s v="Bachelor"/>
    <x v="2"/>
    <x v="2"/>
  </r>
  <r>
    <n v="42"/>
    <s v="No"/>
    <x v="0"/>
    <n v="544"/>
    <x v="2"/>
    <n v="2"/>
    <n v="1"/>
    <s v="Technical Degree"/>
    <n v="470"/>
    <n v="3"/>
    <x v="1"/>
    <n v="52"/>
    <n v="3"/>
    <x v="1"/>
    <x v="8"/>
    <n v="3"/>
    <x v="2"/>
    <n v="2696"/>
    <n v="24017"/>
    <n v="0"/>
    <x v="0"/>
    <n v="11"/>
    <n v="3"/>
    <n v="3"/>
    <n v="1"/>
    <n v="4"/>
    <n v="5"/>
    <x v="1"/>
    <n v="3"/>
    <n v="2"/>
    <n v="1"/>
    <n v="0"/>
    <x v="0"/>
    <x v="0"/>
    <n v="0"/>
    <x v="2"/>
    <s v="Below College"/>
    <x v="2"/>
    <x v="1"/>
  </r>
  <r>
    <n v="32"/>
    <s v="No"/>
    <x v="0"/>
    <n v="1062"/>
    <x v="1"/>
    <n v="2"/>
    <n v="3"/>
    <s v="Medical"/>
    <n v="471"/>
    <n v="3"/>
    <x v="0"/>
    <n v="75"/>
    <n v="3"/>
    <x v="1"/>
    <x v="2"/>
    <n v="2"/>
    <x v="1"/>
    <n v="2370"/>
    <n v="3956"/>
    <n v="1"/>
    <x v="1"/>
    <n v="13"/>
    <n v="3"/>
    <n v="3"/>
    <n v="1"/>
    <n v="8"/>
    <n v="4"/>
    <x v="1"/>
    <n v="8"/>
    <n v="0"/>
    <n v="0"/>
    <n v="7"/>
    <x v="2"/>
    <x v="3"/>
    <n v="0"/>
    <x v="1"/>
    <s v="Bachelor"/>
    <x v="1"/>
    <x v="1"/>
  </r>
  <r>
    <n v="48"/>
    <s v="No"/>
    <x v="0"/>
    <n v="530"/>
    <x v="0"/>
    <n v="29"/>
    <n v="1"/>
    <s v="Medical"/>
    <n v="473"/>
    <n v="1"/>
    <x v="0"/>
    <n v="91"/>
    <n v="3"/>
    <x v="2"/>
    <x v="5"/>
    <n v="3"/>
    <x v="1"/>
    <n v="12504"/>
    <n v="23978"/>
    <n v="3"/>
    <x v="1"/>
    <n v="21"/>
    <n v="4"/>
    <n v="2"/>
    <n v="1"/>
    <n v="15"/>
    <n v="3"/>
    <x v="0"/>
    <n v="0"/>
    <n v="0"/>
    <n v="0"/>
    <n v="0"/>
    <x v="1"/>
    <x v="0"/>
    <n v="0"/>
    <x v="0"/>
    <s v="Below College"/>
    <x v="2"/>
    <x v="0"/>
  </r>
  <r>
    <n v="37"/>
    <s v="No"/>
    <x v="0"/>
    <n v="1319"/>
    <x v="1"/>
    <n v="6"/>
    <n v="3"/>
    <s v="Medical"/>
    <n v="474"/>
    <n v="3"/>
    <x v="1"/>
    <n v="51"/>
    <n v="4"/>
    <x v="0"/>
    <x v="1"/>
    <n v="1"/>
    <x v="2"/>
    <n v="5974"/>
    <n v="17001"/>
    <n v="4"/>
    <x v="0"/>
    <n v="13"/>
    <n v="3"/>
    <n v="1"/>
    <n v="2"/>
    <n v="13"/>
    <n v="2"/>
    <x v="1"/>
    <n v="7"/>
    <n v="7"/>
    <n v="6"/>
    <n v="7"/>
    <x v="0"/>
    <x v="0"/>
    <n v="0"/>
    <x v="1"/>
    <s v="Bachelor"/>
    <x v="3"/>
    <x v="1"/>
  </r>
  <r>
    <n v="30"/>
    <s v="No"/>
    <x v="2"/>
    <n v="641"/>
    <x v="0"/>
    <n v="25"/>
    <n v="2"/>
    <s v="Technical Degree"/>
    <n v="475"/>
    <n v="4"/>
    <x v="0"/>
    <n v="85"/>
    <n v="3"/>
    <x v="0"/>
    <x v="0"/>
    <n v="3"/>
    <x v="1"/>
    <n v="4736"/>
    <n v="6069"/>
    <n v="7"/>
    <x v="0"/>
    <n v="12"/>
    <n v="3"/>
    <n v="2"/>
    <n v="1"/>
    <n v="4"/>
    <n v="2"/>
    <x v="3"/>
    <n v="2"/>
    <n v="2"/>
    <n v="2"/>
    <n v="2"/>
    <x v="2"/>
    <x v="2"/>
    <n v="0"/>
    <x v="2"/>
    <s v="College"/>
    <x v="2"/>
    <x v="3"/>
  </r>
  <r>
    <n v="26"/>
    <s v="No"/>
    <x v="0"/>
    <n v="933"/>
    <x v="0"/>
    <n v="1"/>
    <n v="3"/>
    <s v="Life Sciences"/>
    <n v="476"/>
    <n v="3"/>
    <x v="1"/>
    <n v="57"/>
    <n v="3"/>
    <x v="0"/>
    <x v="0"/>
    <n v="3"/>
    <x v="1"/>
    <n v="5296"/>
    <n v="20156"/>
    <n v="1"/>
    <x v="1"/>
    <n v="17"/>
    <n v="3"/>
    <n v="2"/>
    <n v="1"/>
    <n v="8"/>
    <n v="3"/>
    <x v="1"/>
    <n v="8"/>
    <n v="7"/>
    <n v="7"/>
    <n v="7"/>
    <x v="2"/>
    <x v="0"/>
    <n v="0"/>
    <x v="1"/>
    <s v="Bachelor"/>
    <x v="2"/>
    <x v="1"/>
  </r>
  <r>
    <n v="42"/>
    <s v="No"/>
    <x v="0"/>
    <n v="1332"/>
    <x v="1"/>
    <n v="2"/>
    <n v="4"/>
    <s v="Other"/>
    <n v="477"/>
    <n v="1"/>
    <x v="1"/>
    <n v="98"/>
    <n v="2"/>
    <x v="0"/>
    <x v="4"/>
    <n v="4"/>
    <x v="0"/>
    <n v="6781"/>
    <n v="17078"/>
    <n v="3"/>
    <x v="1"/>
    <n v="23"/>
    <n v="4"/>
    <n v="2"/>
    <n v="0"/>
    <n v="14"/>
    <n v="6"/>
    <x v="1"/>
    <n v="1"/>
    <n v="0"/>
    <n v="0"/>
    <n v="0"/>
    <x v="0"/>
    <x v="0"/>
    <n v="0"/>
    <x v="2"/>
    <s v="Master"/>
    <x v="0"/>
    <x v="1"/>
  </r>
  <r>
    <n v="21"/>
    <s v="Yes"/>
    <x v="1"/>
    <n v="756"/>
    <x v="0"/>
    <n v="1"/>
    <n v="1"/>
    <s v="Technical Degree"/>
    <n v="478"/>
    <n v="1"/>
    <x v="0"/>
    <n v="99"/>
    <n v="2"/>
    <x v="1"/>
    <x v="6"/>
    <n v="2"/>
    <x v="0"/>
    <n v="2174"/>
    <n v="9150"/>
    <n v="1"/>
    <x v="0"/>
    <n v="11"/>
    <n v="3"/>
    <n v="3"/>
    <n v="0"/>
    <n v="3"/>
    <n v="3"/>
    <x v="1"/>
    <n v="3"/>
    <n v="2"/>
    <n v="1"/>
    <n v="2"/>
    <x v="3"/>
    <x v="2"/>
    <n v="1"/>
    <x v="2"/>
    <s v="Below College"/>
    <x v="1"/>
    <x v="1"/>
  </r>
  <r>
    <n v="36"/>
    <s v="No"/>
    <x v="2"/>
    <n v="845"/>
    <x v="0"/>
    <n v="1"/>
    <n v="5"/>
    <s v="Medical"/>
    <n v="479"/>
    <n v="4"/>
    <x v="0"/>
    <n v="45"/>
    <n v="3"/>
    <x v="0"/>
    <x v="0"/>
    <n v="4"/>
    <x v="0"/>
    <n v="6653"/>
    <n v="15276"/>
    <n v="4"/>
    <x v="1"/>
    <n v="15"/>
    <n v="3"/>
    <n v="2"/>
    <n v="0"/>
    <n v="7"/>
    <n v="6"/>
    <x v="1"/>
    <n v="1"/>
    <n v="0"/>
    <n v="0"/>
    <n v="0"/>
    <x v="0"/>
    <x v="0"/>
    <n v="0"/>
    <x v="2"/>
    <s v="Doctor"/>
    <x v="0"/>
    <x v="1"/>
  </r>
  <r>
    <n v="36"/>
    <s v="No"/>
    <x v="1"/>
    <n v="541"/>
    <x v="0"/>
    <n v="3"/>
    <n v="4"/>
    <s v="Medical"/>
    <n v="481"/>
    <n v="1"/>
    <x v="1"/>
    <n v="48"/>
    <n v="2"/>
    <x v="2"/>
    <x v="0"/>
    <n v="4"/>
    <x v="1"/>
    <n v="9699"/>
    <n v="7246"/>
    <n v="4"/>
    <x v="1"/>
    <n v="11"/>
    <n v="3"/>
    <n v="1"/>
    <n v="1"/>
    <n v="16"/>
    <n v="2"/>
    <x v="1"/>
    <n v="13"/>
    <n v="9"/>
    <n v="1"/>
    <n v="12"/>
    <x v="0"/>
    <x v="2"/>
    <n v="0"/>
    <x v="3"/>
    <s v="Master"/>
    <x v="0"/>
    <x v="1"/>
  </r>
  <r>
    <n v="57"/>
    <s v="No"/>
    <x v="0"/>
    <n v="593"/>
    <x v="1"/>
    <n v="1"/>
    <n v="4"/>
    <s v="Medical"/>
    <n v="482"/>
    <n v="4"/>
    <x v="1"/>
    <n v="88"/>
    <n v="3"/>
    <x v="0"/>
    <x v="4"/>
    <n v="3"/>
    <x v="1"/>
    <n v="6755"/>
    <n v="2967"/>
    <n v="2"/>
    <x v="1"/>
    <n v="11"/>
    <n v="3"/>
    <n v="3"/>
    <n v="0"/>
    <n v="15"/>
    <n v="2"/>
    <x v="1"/>
    <n v="3"/>
    <n v="2"/>
    <n v="1"/>
    <n v="2"/>
    <x v="1"/>
    <x v="1"/>
    <n v="0"/>
    <x v="2"/>
    <s v="Master"/>
    <x v="2"/>
    <x v="1"/>
  </r>
  <r>
    <n v="40"/>
    <s v="No"/>
    <x v="0"/>
    <n v="1171"/>
    <x v="1"/>
    <n v="10"/>
    <n v="4"/>
    <s v="Life Sciences"/>
    <n v="483"/>
    <n v="4"/>
    <x v="0"/>
    <n v="46"/>
    <n v="4"/>
    <x v="1"/>
    <x v="2"/>
    <n v="3"/>
    <x v="1"/>
    <n v="2213"/>
    <n v="22495"/>
    <n v="3"/>
    <x v="0"/>
    <n v="13"/>
    <n v="3"/>
    <n v="3"/>
    <n v="1"/>
    <n v="10"/>
    <n v="3"/>
    <x v="1"/>
    <n v="7"/>
    <n v="7"/>
    <n v="1"/>
    <n v="7"/>
    <x v="0"/>
    <x v="0"/>
    <n v="0"/>
    <x v="1"/>
    <s v="Master"/>
    <x v="2"/>
    <x v="1"/>
  </r>
  <r>
    <n v="21"/>
    <s v="No"/>
    <x v="2"/>
    <n v="895"/>
    <x v="0"/>
    <n v="9"/>
    <n v="2"/>
    <s v="Medical"/>
    <n v="484"/>
    <n v="1"/>
    <x v="1"/>
    <n v="39"/>
    <n v="3"/>
    <x v="1"/>
    <x v="6"/>
    <n v="4"/>
    <x v="0"/>
    <n v="2610"/>
    <n v="2851"/>
    <n v="1"/>
    <x v="1"/>
    <n v="24"/>
    <n v="4"/>
    <n v="3"/>
    <n v="0"/>
    <n v="3"/>
    <n v="3"/>
    <x v="2"/>
    <n v="3"/>
    <n v="2"/>
    <n v="2"/>
    <n v="2"/>
    <x v="3"/>
    <x v="1"/>
    <n v="0"/>
    <x v="0"/>
    <s v="College"/>
    <x v="0"/>
    <x v="2"/>
  </r>
  <r>
    <n v="33"/>
    <s v="Yes"/>
    <x v="0"/>
    <n v="350"/>
    <x v="0"/>
    <n v="5"/>
    <n v="3"/>
    <s v="Marketing"/>
    <n v="485"/>
    <n v="4"/>
    <x v="0"/>
    <n v="34"/>
    <n v="3"/>
    <x v="1"/>
    <x v="6"/>
    <n v="3"/>
    <x v="0"/>
    <n v="2851"/>
    <n v="9150"/>
    <n v="1"/>
    <x v="0"/>
    <n v="13"/>
    <n v="3"/>
    <n v="2"/>
    <n v="0"/>
    <n v="1"/>
    <n v="2"/>
    <x v="1"/>
    <n v="1"/>
    <n v="0"/>
    <n v="0"/>
    <n v="0"/>
    <x v="2"/>
    <x v="2"/>
    <n v="1"/>
    <x v="2"/>
    <s v="Bachelor"/>
    <x v="2"/>
    <x v="1"/>
  </r>
  <r>
    <n v="37"/>
    <s v="No"/>
    <x v="0"/>
    <n v="921"/>
    <x v="1"/>
    <n v="10"/>
    <n v="3"/>
    <s v="Medical"/>
    <n v="486"/>
    <n v="3"/>
    <x v="0"/>
    <n v="98"/>
    <n v="3"/>
    <x v="1"/>
    <x v="2"/>
    <n v="1"/>
    <x v="1"/>
    <n v="3452"/>
    <n v="17663"/>
    <n v="6"/>
    <x v="1"/>
    <n v="20"/>
    <n v="4"/>
    <n v="2"/>
    <n v="1"/>
    <n v="17"/>
    <n v="3"/>
    <x v="1"/>
    <n v="5"/>
    <n v="4"/>
    <n v="0"/>
    <n v="3"/>
    <x v="0"/>
    <x v="0"/>
    <n v="0"/>
    <x v="2"/>
    <s v="Bachelor"/>
    <x v="3"/>
    <x v="1"/>
  </r>
  <r>
    <n v="46"/>
    <s v="No"/>
    <x v="2"/>
    <n v="1144"/>
    <x v="1"/>
    <n v="7"/>
    <n v="4"/>
    <s v="Medical"/>
    <n v="487"/>
    <n v="3"/>
    <x v="0"/>
    <n v="30"/>
    <n v="3"/>
    <x v="0"/>
    <x v="3"/>
    <n v="3"/>
    <x v="1"/>
    <n v="5258"/>
    <n v="16044"/>
    <n v="2"/>
    <x v="1"/>
    <n v="14"/>
    <n v="3"/>
    <n v="3"/>
    <n v="0"/>
    <n v="7"/>
    <n v="2"/>
    <x v="3"/>
    <n v="1"/>
    <n v="0"/>
    <n v="0"/>
    <n v="0"/>
    <x v="1"/>
    <x v="0"/>
    <n v="0"/>
    <x v="2"/>
    <s v="Master"/>
    <x v="2"/>
    <x v="3"/>
  </r>
  <r>
    <n v="41"/>
    <s v="Yes"/>
    <x v="1"/>
    <n v="143"/>
    <x v="0"/>
    <n v="4"/>
    <n v="3"/>
    <s v="Marketing"/>
    <n v="488"/>
    <n v="1"/>
    <x v="1"/>
    <n v="56"/>
    <n v="3"/>
    <x v="0"/>
    <x v="0"/>
    <n v="2"/>
    <x v="0"/>
    <n v="9355"/>
    <n v="9558"/>
    <n v="1"/>
    <x v="1"/>
    <n v="18"/>
    <n v="3"/>
    <n v="3"/>
    <n v="0"/>
    <n v="8"/>
    <n v="5"/>
    <x v="1"/>
    <n v="8"/>
    <n v="7"/>
    <n v="7"/>
    <n v="7"/>
    <x v="0"/>
    <x v="2"/>
    <n v="1"/>
    <x v="1"/>
    <s v="Bachelor"/>
    <x v="1"/>
    <x v="1"/>
  </r>
  <r>
    <n v="50"/>
    <s v="No"/>
    <x v="0"/>
    <n v="1046"/>
    <x v="1"/>
    <n v="10"/>
    <n v="3"/>
    <s v="Technical Degree"/>
    <n v="491"/>
    <n v="4"/>
    <x v="1"/>
    <n v="100"/>
    <n v="2"/>
    <x v="2"/>
    <x v="4"/>
    <n v="4"/>
    <x v="0"/>
    <n v="10496"/>
    <n v="2755"/>
    <n v="6"/>
    <x v="1"/>
    <n v="15"/>
    <n v="3"/>
    <n v="4"/>
    <n v="0"/>
    <n v="20"/>
    <n v="2"/>
    <x v="1"/>
    <n v="4"/>
    <n v="3"/>
    <n v="1"/>
    <n v="3"/>
    <x v="1"/>
    <x v="1"/>
    <n v="0"/>
    <x v="2"/>
    <s v="Bachelor"/>
    <x v="0"/>
    <x v="1"/>
  </r>
  <r>
    <n v="40"/>
    <s v="Yes"/>
    <x v="0"/>
    <n v="575"/>
    <x v="0"/>
    <n v="22"/>
    <n v="2"/>
    <s v="Marketing"/>
    <n v="492"/>
    <n v="3"/>
    <x v="1"/>
    <n v="68"/>
    <n v="2"/>
    <x v="0"/>
    <x v="0"/>
    <n v="3"/>
    <x v="1"/>
    <n v="6380"/>
    <n v="6110"/>
    <n v="2"/>
    <x v="0"/>
    <n v="12"/>
    <n v="3"/>
    <n v="1"/>
    <n v="2"/>
    <n v="8"/>
    <n v="6"/>
    <x v="1"/>
    <n v="6"/>
    <n v="4"/>
    <n v="1"/>
    <n v="0"/>
    <x v="0"/>
    <x v="2"/>
    <n v="1"/>
    <x v="1"/>
    <s v="College"/>
    <x v="2"/>
    <x v="1"/>
  </r>
  <r>
    <n v="31"/>
    <s v="No"/>
    <x v="0"/>
    <n v="408"/>
    <x v="1"/>
    <n v="9"/>
    <n v="4"/>
    <s v="Life Sciences"/>
    <n v="493"/>
    <n v="3"/>
    <x v="1"/>
    <n v="42"/>
    <n v="2"/>
    <x v="1"/>
    <x v="1"/>
    <n v="2"/>
    <x v="0"/>
    <n v="2657"/>
    <n v="7551"/>
    <n v="0"/>
    <x v="0"/>
    <n v="16"/>
    <n v="3"/>
    <n v="4"/>
    <n v="0"/>
    <n v="3"/>
    <n v="5"/>
    <x v="1"/>
    <n v="2"/>
    <n v="2"/>
    <n v="2"/>
    <n v="2"/>
    <x v="2"/>
    <x v="2"/>
    <n v="0"/>
    <x v="2"/>
    <s v="Master"/>
    <x v="1"/>
    <x v="1"/>
  </r>
  <r>
    <n v="21"/>
    <s v="Yes"/>
    <x v="0"/>
    <n v="156"/>
    <x v="0"/>
    <n v="12"/>
    <n v="3"/>
    <s v="Life Sciences"/>
    <n v="494"/>
    <n v="3"/>
    <x v="0"/>
    <n v="90"/>
    <n v="4"/>
    <x v="1"/>
    <x v="6"/>
    <n v="2"/>
    <x v="0"/>
    <n v="2716"/>
    <n v="25422"/>
    <n v="1"/>
    <x v="1"/>
    <n v="15"/>
    <n v="3"/>
    <n v="4"/>
    <n v="0"/>
    <n v="1"/>
    <n v="0"/>
    <x v="1"/>
    <n v="1"/>
    <n v="0"/>
    <n v="0"/>
    <n v="0"/>
    <x v="3"/>
    <x v="0"/>
    <n v="1"/>
    <x v="2"/>
    <s v="Bachelor"/>
    <x v="1"/>
    <x v="1"/>
  </r>
  <r>
    <n v="29"/>
    <s v="No"/>
    <x v="0"/>
    <n v="1283"/>
    <x v="1"/>
    <n v="23"/>
    <n v="3"/>
    <s v="Life Sciences"/>
    <n v="495"/>
    <n v="4"/>
    <x v="1"/>
    <n v="54"/>
    <n v="3"/>
    <x v="1"/>
    <x v="1"/>
    <n v="4"/>
    <x v="0"/>
    <n v="2201"/>
    <n v="18168"/>
    <n v="9"/>
    <x v="1"/>
    <n v="16"/>
    <n v="3"/>
    <n v="4"/>
    <n v="0"/>
    <n v="6"/>
    <n v="4"/>
    <x v="1"/>
    <n v="3"/>
    <n v="2"/>
    <n v="1"/>
    <n v="2"/>
    <x v="2"/>
    <x v="0"/>
    <n v="0"/>
    <x v="2"/>
    <s v="Bachelor"/>
    <x v="0"/>
    <x v="1"/>
  </r>
  <r>
    <n v="35"/>
    <s v="No"/>
    <x v="0"/>
    <n v="755"/>
    <x v="1"/>
    <n v="9"/>
    <n v="4"/>
    <s v="Life Sciences"/>
    <n v="496"/>
    <n v="3"/>
    <x v="1"/>
    <n v="97"/>
    <n v="2"/>
    <x v="0"/>
    <x v="4"/>
    <n v="2"/>
    <x v="0"/>
    <n v="6540"/>
    <n v="19394"/>
    <n v="9"/>
    <x v="1"/>
    <n v="19"/>
    <n v="3"/>
    <n v="3"/>
    <n v="0"/>
    <n v="10"/>
    <n v="5"/>
    <x v="1"/>
    <n v="1"/>
    <n v="1"/>
    <n v="0"/>
    <n v="0"/>
    <x v="2"/>
    <x v="0"/>
    <n v="0"/>
    <x v="2"/>
    <s v="Master"/>
    <x v="1"/>
    <x v="1"/>
  </r>
  <r>
    <n v="27"/>
    <s v="No"/>
    <x v="0"/>
    <n v="1469"/>
    <x v="1"/>
    <n v="1"/>
    <n v="2"/>
    <s v="Medical"/>
    <n v="497"/>
    <n v="4"/>
    <x v="1"/>
    <n v="82"/>
    <n v="3"/>
    <x v="1"/>
    <x v="2"/>
    <n v="2"/>
    <x v="2"/>
    <n v="3816"/>
    <n v="17881"/>
    <n v="1"/>
    <x v="1"/>
    <n v="11"/>
    <n v="3"/>
    <n v="2"/>
    <n v="1"/>
    <n v="5"/>
    <n v="2"/>
    <x v="1"/>
    <n v="5"/>
    <n v="2"/>
    <n v="0"/>
    <n v="4"/>
    <x v="2"/>
    <x v="0"/>
    <n v="0"/>
    <x v="2"/>
    <s v="College"/>
    <x v="1"/>
    <x v="1"/>
  </r>
  <r>
    <n v="28"/>
    <s v="No"/>
    <x v="0"/>
    <n v="304"/>
    <x v="0"/>
    <n v="9"/>
    <n v="4"/>
    <s v="Life Sciences"/>
    <n v="498"/>
    <n v="2"/>
    <x v="1"/>
    <n v="92"/>
    <n v="3"/>
    <x v="0"/>
    <x v="0"/>
    <n v="4"/>
    <x v="0"/>
    <n v="5253"/>
    <n v="20750"/>
    <n v="1"/>
    <x v="1"/>
    <n v="16"/>
    <n v="3"/>
    <n v="4"/>
    <n v="0"/>
    <n v="7"/>
    <n v="1"/>
    <x v="1"/>
    <n v="7"/>
    <n v="5"/>
    <n v="0"/>
    <n v="7"/>
    <x v="2"/>
    <x v="0"/>
    <n v="0"/>
    <x v="1"/>
    <s v="Master"/>
    <x v="0"/>
    <x v="1"/>
  </r>
  <r>
    <n v="49"/>
    <s v="No"/>
    <x v="0"/>
    <n v="1261"/>
    <x v="1"/>
    <n v="7"/>
    <n v="3"/>
    <s v="Other"/>
    <n v="499"/>
    <n v="2"/>
    <x v="1"/>
    <n v="31"/>
    <n v="2"/>
    <x v="2"/>
    <x v="4"/>
    <n v="3"/>
    <x v="0"/>
    <n v="10965"/>
    <n v="12066"/>
    <n v="8"/>
    <x v="1"/>
    <n v="24"/>
    <n v="4"/>
    <n v="3"/>
    <n v="0"/>
    <n v="26"/>
    <n v="2"/>
    <x v="1"/>
    <n v="5"/>
    <n v="2"/>
    <n v="0"/>
    <n v="0"/>
    <x v="1"/>
    <x v="0"/>
    <n v="0"/>
    <x v="2"/>
    <s v="Bachelor"/>
    <x v="2"/>
    <x v="1"/>
  </r>
  <r>
    <n v="51"/>
    <s v="No"/>
    <x v="0"/>
    <n v="1178"/>
    <x v="0"/>
    <n v="14"/>
    <n v="2"/>
    <s v="Life Sciences"/>
    <n v="500"/>
    <n v="3"/>
    <x v="0"/>
    <n v="87"/>
    <n v="3"/>
    <x v="0"/>
    <x v="0"/>
    <n v="4"/>
    <x v="1"/>
    <n v="4936"/>
    <n v="14862"/>
    <n v="4"/>
    <x v="1"/>
    <n v="11"/>
    <n v="3"/>
    <n v="3"/>
    <n v="1"/>
    <n v="18"/>
    <n v="2"/>
    <x v="2"/>
    <n v="7"/>
    <n v="7"/>
    <n v="0"/>
    <n v="7"/>
    <x v="1"/>
    <x v="0"/>
    <n v="0"/>
    <x v="0"/>
    <s v="College"/>
    <x v="0"/>
    <x v="2"/>
  </r>
  <r>
    <n v="36"/>
    <s v="No"/>
    <x v="0"/>
    <n v="329"/>
    <x v="1"/>
    <n v="2"/>
    <n v="3"/>
    <s v="Life Sciences"/>
    <n v="501"/>
    <n v="4"/>
    <x v="0"/>
    <n v="96"/>
    <n v="3"/>
    <x v="1"/>
    <x v="1"/>
    <n v="3"/>
    <x v="1"/>
    <n v="2543"/>
    <n v="11868"/>
    <n v="4"/>
    <x v="1"/>
    <n v="13"/>
    <n v="3"/>
    <n v="2"/>
    <n v="1"/>
    <n v="6"/>
    <n v="3"/>
    <x v="1"/>
    <n v="2"/>
    <n v="2"/>
    <n v="2"/>
    <n v="2"/>
    <x v="0"/>
    <x v="0"/>
    <n v="0"/>
    <x v="2"/>
    <s v="Bachelor"/>
    <x v="2"/>
    <x v="1"/>
  </r>
  <r>
    <n v="34"/>
    <s v="Yes"/>
    <x v="2"/>
    <n v="1362"/>
    <x v="0"/>
    <n v="19"/>
    <n v="3"/>
    <s v="Marketing"/>
    <n v="502"/>
    <n v="1"/>
    <x v="1"/>
    <n v="67"/>
    <n v="4"/>
    <x v="0"/>
    <x v="0"/>
    <n v="4"/>
    <x v="0"/>
    <n v="5304"/>
    <n v="4652"/>
    <n v="8"/>
    <x v="0"/>
    <n v="13"/>
    <n v="3"/>
    <n v="2"/>
    <n v="0"/>
    <n v="9"/>
    <n v="3"/>
    <x v="2"/>
    <n v="5"/>
    <n v="2"/>
    <n v="0"/>
    <n v="4"/>
    <x v="2"/>
    <x v="3"/>
    <n v="1"/>
    <x v="0"/>
    <s v="Bachelor"/>
    <x v="0"/>
    <x v="2"/>
  </r>
  <r>
    <n v="55"/>
    <s v="No"/>
    <x v="0"/>
    <n v="1311"/>
    <x v="1"/>
    <n v="2"/>
    <n v="3"/>
    <s v="Life Sciences"/>
    <n v="505"/>
    <n v="3"/>
    <x v="0"/>
    <n v="97"/>
    <n v="3"/>
    <x v="3"/>
    <x v="5"/>
    <n v="4"/>
    <x v="0"/>
    <n v="16659"/>
    <n v="23258"/>
    <n v="2"/>
    <x v="0"/>
    <n v="13"/>
    <n v="3"/>
    <n v="3"/>
    <n v="0"/>
    <n v="30"/>
    <n v="2"/>
    <x v="1"/>
    <n v="5"/>
    <n v="4"/>
    <n v="1"/>
    <n v="2"/>
    <x v="1"/>
    <x v="0"/>
    <n v="0"/>
    <x v="2"/>
    <s v="Bachelor"/>
    <x v="0"/>
    <x v="1"/>
  </r>
  <r>
    <n v="24"/>
    <s v="No"/>
    <x v="0"/>
    <n v="1371"/>
    <x v="0"/>
    <n v="10"/>
    <n v="4"/>
    <s v="Marketing"/>
    <n v="507"/>
    <n v="4"/>
    <x v="0"/>
    <n v="77"/>
    <n v="3"/>
    <x v="0"/>
    <x v="0"/>
    <n v="3"/>
    <x v="2"/>
    <n v="4260"/>
    <n v="5915"/>
    <n v="1"/>
    <x v="0"/>
    <n v="12"/>
    <n v="3"/>
    <n v="4"/>
    <n v="1"/>
    <n v="5"/>
    <n v="2"/>
    <x v="3"/>
    <n v="5"/>
    <n v="2"/>
    <n v="0"/>
    <n v="3"/>
    <x v="3"/>
    <x v="3"/>
    <n v="0"/>
    <x v="2"/>
    <s v="Master"/>
    <x v="2"/>
    <x v="3"/>
  </r>
  <r>
    <n v="30"/>
    <s v="No"/>
    <x v="0"/>
    <n v="202"/>
    <x v="0"/>
    <n v="2"/>
    <n v="1"/>
    <s v="Technical Degree"/>
    <n v="508"/>
    <n v="3"/>
    <x v="1"/>
    <n v="72"/>
    <n v="3"/>
    <x v="1"/>
    <x v="6"/>
    <n v="2"/>
    <x v="1"/>
    <n v="2476"/>
    <n v="17434"/>
    <n v="1"/>
    <x v="1"/>
    <n v="18"/>
    <n v="3"/>
    <n v="1"/>
    <n v="1"/>
    <n v="1"/>
    <n v="3"/>
    <x v="1"/>
    <n v="1"/>
    <n v="0"/>
    <n v="0"/>
    <n v="0"/>
    <x v="2"/>
    <x v="0"/>
    <n v="0"/>
    <x v="2"/>
    <s v="Below College"/>
    <x v="1"/>
    <x v="1"/>
  </r>
  <r>
    <n v="26"/>
    <s v="Yes"/>
    <x v="1"/>
    <n v="575"/>
    <x v="1"/>
    <n v="3"/>
    <n v="1"/>
    <s v="Technical Degree"/>
    <n v="510"/>
    <n v="3"/>
    <x v="1"/>
    <n v="73"/>
    <n v="3"/>
    <x v="1"/>
    <x v="1"/>
    <n v="1"/>
    <x v="0"/>
    <n v="3102"/>
    <n v="6582"/>
    <n v="0"/>
    <x v="1"/>
    <n v="22"/>
    <n v="4"/>
    <n v="3"/>
    <n v="0"/>
    <n v="7"/>
    <n v="2"/>
    <x v="1"/>
    <n v="6"/>
    <n v="4"/>
    <n v="0"/>
    <n v="4"/>
    <x v="2"/>
    <x v="2"/>
    <n v="1"/>
    <x v="1"/>
    <s v="Below College"/>
    <x v="3"/>
    <x v="1"/>
  </r>
  <r>
    <n v="22"/>
    <s v="No"/>
    <x v="0"/>
    <n v="253"/>
    <x v="1"/>
    <n v="11"/>
    <n v="3"/>
    <s v="Medical"/>
    <n v="511"/>
    <n v="1"/>
    <x v="0"/>
    <n v="43"/>
    <n v="3"/>
    <x v="1"/>
    <x v="1"/>
    <n v="2"/>
    <x v="1"/>
    <n v="2244"/>
    <n v="24440"/>
    <n v="1"/>
    <x v="1"/>
    <n v="13"/>
    <n v="3"/>
    <n v="4"/>
    <n v="1"/>
    <n v="2"/>
    <n v="1"/>
    <x v="1"/>
    <n v="2"/>
    <n v="1"/>
    <n v="1"/>
    <n v="2"/>
    <x v="3"/>
    <x v="0"/>
    <n v="0"/>
    <x v="2"/>
    <s v="Bachelor"/>
    <x v="1"/>
    <x v="1"/>
  </r>
  <r>
    <n v="36"/>
    <s v="No"/>
    <x v="0"/>
    <n v="164"/>
    <x v="0"/>
    <n v="2"/>
    <n v="2"/>
    <s v="Medical"/>
    <n v="513"/>
    <n v="2"/>
    <x v="1"/>
    <n v="61"/>
    <n v="2"/>
    <x v="2"/>
    <x v="0"/>
    <n v="3"/>
    <x v="1"/>
    <n v="7596"/>
    <n v="3809"/>
    <n v="1"/>
    <x v="1"/>
    <n v="13"/>
    <n v="3"/>
    <n v="2"/>
    <n v="2"/>
    <n v="10"/>
    <n v="2"/>
    <x v="1"/>
    <n v="10"/>
    <n v="9"/>
    <n v="9"/>
    <n v="0"/>
    <x v="0"/>
    <x v="3"/>
    <n v="0"/>
    <x v="1"/>
    <s v="College"/>
    <x v="2"/>
    <x v="1"/>
  </r>
  <r>
    <n v="30"/>
    <s v="Yes"/>
    <x v="1"/>
    <n v="464"/>
    <x v="1"/>
    <n v="4"/>
    <n v="3"/>
    <s v="Technical Degree"/>
    <n v="514"/>
    <n v="3"/>
    <x v="1"/>
    <n v="40"/>
    <n v="3"/>
    <x v="1"/>
    <x v="1"/>
    <n v="4"/>
    <x v="0"/>
    <n v="2285"/>
    <n v="3427"/>
    <n v="9"/>
    <x v="0"/>
    <n v="23"/>
    <n v="4"/>
    <n v="3"/>
    <n v="0"/>
    <n v="3"/>
    <n v="4"/>
    <x v="1"/>
    <n v="1"/>
    <n v="0"/>
    <n v="0"/>
    <n v="0"/>
    <x v="2"/>
    <x v="3"/>
    <n v="1"/>
    <x v="2"/>
    <s v="Bachelor"/>
    <x v="0"/>
    <x v="1"/>
  </r>
  <r>
    <n v="37"/>
    <s v="No"/>
    <x v="0"/>
    <n v="1107"/>
    <x v="1"/>
    <n v="14"/>
    <n v="3"/>
    <s v="Life Sciences"/>
    <n v="515"/>
    <n v="4"/>
    <x v="0"/>
    <n v="95"/>
    <n v="3"/>
    <x v="1"/>
    <x v="2"/>
    <n v="1"/>
    <x v="2"/>
    <n v="3034"/>
    <n v="26914"/>
    <n v="1"/>
    <x v="1"/>
    <n v="12"/>
    <n v="3"/>
    <n v="3"/>
    <n v="1"/>
    <n v="18"/>
    <n v="2"/>
    <x v="2"/>
    <n v="18"/>
    <n v="7"/>
    <n v="12"/>
    <n v="17"/>
    <x v="0"/>
    <x v="0"/>
    <n v="0"/>
    <x v="0"/>
    <s v="Bachelor"/>
    <x v="3"/>
    <x v="2"/>
  </r>
  <r>
    <n v="40"/>
    <s v="No"/>
    <x v="0"/>
    <n v="759"/>
    <x v="0"/>
    <n v="2"/>
    <n v="2"/>
    <s v="Marketing"/>
    <n v="516"/>
    <n v="4"/>
    <x v="0"/>
    <n v="46"/>
    <n v="3"/>
    <x v="0"/>
    <x v="0"/>
    <n v="2"/>
    <x v="2"/>
    <n v="5715"/>
    <n v="22553"/>
    <n v="7"/>
    <x v="1"/>
    <n v="12"/>
    <n v="3"/>
    <n v="3"/>
    <n v="2"/>
    <n v="8"/>
    <n v="5"/>
    <x v="1"/>
    <n v="5"/>
    <n v="4"/>
    <n v="1"/>
    <n v="3"/>
    <x v="0"/>
    <x v="0"/>
    <n v="0"/>
    <x v="2"/>
    <s v="College"/>
    <x v="1"/>
    <x v="1"/>
  </r>
  <r>
    <n v="42"/>
    <s v="No"/>
    <x v="0"/>
    <n v="201"/>
    <x v="1"/>
    <n v="1"/>
    <n v="4"/>
    <s v="Life Sciences"/>
    <n v="517"/>
    <n v="2"/>
    <x v="0"/>
    <n v="95"/>
    <n v="3"/>
    <x v="1"/>
    <x v="2"/>
    <n v="1"/>
    <x v="2"/>
    <n v="2576"/>
    <n v="20490"/>
    <n v="3"/>
    <x v="1"/>
    <n v="16"/>
    <n v="3"/>
    <n v="2"/>
    <n v="1"/>
    <n v="8"/>
    <n v="5"/>
    <x v="1"/>
    <n v="5"/>
    <n v="2"/>
    <n v="1"/>
    <n v="2"/>
    <x v="0"/>
    <x v="0"/>
    <n v="0"/>
    <x v="2"/>
    <s v="Master"/>
    <x v="3"/>
    <x v="1"/>
  </r>
  <r>
    <n v="37"/>
    <s v="No"/>
    <x v="0"/>
    <n v="1305"/>
    <x v="1"/>
    <n v="10"/>
    <n v="4"/>
    <s v="Life Sciences"/>
    <n v="518"/>
    <n v="3"/>
    <x v="1"/>
    <n v="49"/>
    <n v="3"/>
    <x v="0"/>
    <x v="3"/>
    <n v="2"/>
    <x v="0"/>
    <n v="4197"/>
    <n v="21123"/>
    <n v="2"/>
    <x v="0"/>
    <n v="12"/>
    <n v="3"/>
    <n v="4"/>
    <n v="0"/>
    <n v="18"/>
    <n v="2"/>
    <x v="2"/>
    <n v="1"/>
    <n v="0"/>
    <n v="0"/>
    <n v="1"/>
    <x v="0"/>
    <x v="0"/>
    <n v="0"/>
    <x v="0"/>
    <s v="Master"/>
    <x v="1"/>
    <x v="2"/>
  </r>
  <r>
    <n v="43"/>
    <s v="No"/>
    <x v="0"/>
    <n v="982"/>
    <x v="1"/>
    <n v="12"/>
    <n v="3"/>
    <s v="Life Sciences"/>
    <n v="520"/>
    <n v="1"/>
    <x v="1"/>
    <n v="59"/>
    <n v="2"/>
    <x v="3"/>
    <x v="7"/>
    <n v="2"/>
    <x v="2"/>
    <n v="14336"/>
    <n v="4345"/>
    <n v="1"/>
    <x v="1"/>
    <n v="11"/>
    <n v="3"/>
    <n v="3"/>
    <n v="1"/>
    <n v="25"/>
    <n v="3"/>
    <x v="1"/>
    <n v="25"/>
    <n v="10"/>
    <n v="3"/>
    <n v="9"/>
    <x v="0"/>
    <x v="3"/>
    <n v="0"/>
    <x v="3"/>
    <s v="Bachelor"/>
    <x v="1"/>
    <x v="1"/>
  </r>
  <r>
    <n v="40"/>
    <s v="No"/>
    <x v="0"/>
    <n v="555"/>
    <x v="1"/>
    <n v="2"/>
    <n v="3"/>
    <s v="Medical"/>
    <n v="521"/>
    <n v="2"/>
    <x v="0"/>
    <n v="78"/>
    <n v="2"/>
    <x v="0"/>
    <x v="2"/>
    <n v="3"/>
    <x v="1"/>
    <n v="3448"/>
    <n v="13436"/>
    <n v="6"/>
    <x v="1"/>
    <n v="22"/>
    <n v="4"/>
    <n v="2"/>
    <n v="1"/>
    <n v="20"/>
    <n v="3"/>
    <x v="1"/>
    <n v="1"/>
    <n v="0"/>
    <n v="0"/>
    <n v="0"/>
    <x v="0"/>
    <x v="0"/>
    <n v="0"/>
    <x v="2"/>
    <s v="Bachelor"/>
    <x v="2"/>
    <x v="1"/>
  </r>
  <r>
    <n v="54"/>
    <s v="No"/>
    <x v="0"/>
    <n v="821"/>
    <x v="1"/>
    <n v="5"/>
    <n v="2"/>
    <s v="Medical"/>
    <n v="522"/>
    <n v="1"/>
    <x v="1"/>
    <n v="86"/>
    <n v="3"/>
    <x v="4"/>
    <x v="7"/>
    <n v="1"/>
    <x v="1"/>
    <n v="19406"/>
    <n v="8509"/>
    <n v="4"/>
    <x v="1"/>
    <n v="11"/>
    <n v="3"/>
    <n v="3"/>
    <n v="1"/>
    <n v="24"/>
    <n v="4"/>
    <x v="2"/>
    <n v="4"/>
    <n v="2"/>
    <n v="1"/>
    <n v="2"/>
    <x v="1"/>
    <x v="2"/>
    <n v="0"/>
    <x v="0"/>
    <s v="College"/>
    <x v="3"/>
    <x v="2"/>
  </r>
  <r>
    <n v="34"/>
    <s v="No"/>
    <x v="2"/>
    <n v="1381"/>
    <x v="0"/>
    <n v="4"/>
    <n v="4"/>
    <s v="Marketing"/>
    <n v="523"/>
    <n v="3"/>
    <x v="0"/>
    <n v="72"/>
    <n v="3"/>
    <x v="0"/>
    <x v="0"/>
    <n v="3"/>
    <x v="1"/>
    <n v="6538"/>
    <n v="12740"/>
    <n v="9"/>
    <x v="1"/>
    <n v="15"/>
    <n v="3"/>
    <n v="1"/>
    <n v="1"/>
    <n v="6"/>
    <n v="3"/>
    <x v="1"/>
    <n v="3"/>
    <n v="2"/>
    <n v="1"/>
    <n v="2"/>
    <x v="2"/>
    <x v="0"/>
    <n v="0"/>
    <x v="2"/>
    <s v="Master"/>
    <x v="2"/>
    <x v="1"/>
  </r>
  <r>
    <n v="31"/>
    <s v="No"/>
    <x v="0"/>
    <n v="480"/>
    <x v="1"/>
    <n v="7"/>
    <n v="2"/>
    <s v="Medical"/>
    <n v="524"/>
    <n v="2"/>
    <x v="0"/>
    <n v="31"/>
    <n v="3"/>
    <x v="0"/>
    <x v="3"/>
    <n v="1"/>
    <x v="1"/>
    <n v="4306"/>
    <n v="4156"/>
    <n v="1"/>
    <x v="1"/>
    <n v="12"/>
    <n v="3"/>
    <n v="2"/>
    <n v="1"/>
    <n v="13"/>
    <n v="5"/>
    <x v="0"/>
    <n v="13"/>
    <n v="10"/>
    <n v="3"/>
    <n v="12"/>
    <x v="2"/>
    <x v="3"/>
    <n v="0"/>
    <x v="0"/>
    <s v="College"/>
    <x v="3"/>
    <x v="0"/>
  </r>
  <r>
    <n v="43"/>
    <s v="No"/>
    <x v="1"/>
    <n v="313"/>
    <x v="1"/>
    <n v="21"/>
    <n v="3"/>
    <s v="Medical"/>
    <n v="525"/>
    <n v="4"/>
    <x v="1"/>
    <n v="61"/>
    <n v="3"/>
    <x v="1"/>
    <x v="2"/>
    <n v="4"/>
    <x v="1"/>
    <n v="2258"/>
    <n v="15238"/>
    <n v="7"/>
    <x v="1"/>
    <n v="20"/>
    <n v="4"/>
    <n v="1"/>
    <n v="1"/>
    <n v="8"/>
    <n v="1"/>
    <x v="1"/>
    <n v="3"/>
    <n v="2"/>
    <n v="1"/>
    <n v="2"/>
    <x v="0"/>
    <x v="0"/>
    <n v="0"/>
    <x v="2"/>
    <s v="Bachelor"/>
    <x v="0"/>
    <x v="1"/>
  </r>
  <r>
    <n v="43"/>
    <s v="No"/>
    <x v="0"/>
    <n v="1473"/>
    <x v="1"/>
    <n v="8"/>
    <n v="4"/>
    <s v="Other"/>
    <n v="526"/>
    <n v="3"/>
    <x v="0"/>
    <n v="74"/>
    <n v="3"/>
    <x v="0"/>
    <x v="4"/>
    <n v="3"/>
    <x v="2"/>
    <n v="4522"/>
    <n v="2227"/>
    <n v="4"/>
    <x v="0"/>
    <n v="14"/>
    <n v="3"/>
    <n v="4"/>
    <n v="0"/>
    <n v="8"/>
    <n v="3"/>
    <x v="1"/>
    <n v="5"/>
    <n v="2"/>
    <n v="0"/>
    <n v="2"/>
    <x v="0"/>
    <x v="1"/>
    <n v="0"/>
    <x v="2"/>
    <s v="Master"/>
    <x v="2"/>
    <x v="1"/>
  </r>
  <r>
    <n v="25"/>
    <s v="No"/>
    <x v="0"/>
    <n v="891"/>
    <x v="0"/>
    <n v="4"/>
    <n v="2"/>
    <s v="Life Sciences"/>
    <n v="527"/>
    <n v="2"/>
    <x v="0"/>
    <n v="99"/>
    <n v="2"/>
    <x v="0"/>
    <x v="0"/>
    <n v="4"/>
    <x v="0"/>
    <n v="4487"/>
    <n v="12090"/>
    <n v="1"/>
    <x v="0"/>
    <n v="11"/>
    <n v="3"/>
    <n v="2"/>
    <n v="0"/>
    <n v="5"/>
    <n v="3"/>
    <x v="1"/>
    <n v="5"/>
    <n v="4"/>
    <n v="1"/>
    <n v="3"/>
    <x v="3"/>
    <x v="0"/>
    <n v="0"/>
    <x v="2"/>
    <s v="College"/>
    <x v="0"/>
    <x v="1"/>
  </r>
  <r>
    <n v="37"/>
    <s v="No"/>
    <x v="2"/>
    <n v="1063"/>
    <x v="1"/>
    <n v="25"/>
    <n v="5"/>
    <s v="Medical"/>
    <n v="529"/>
    <n v="2"/>
    <x v="0"/>
    <n v="72"/>
    <n v="3"/>
    <x v="0"/>
    <x v="1"/>
    <n v="3"/>
    <x v="1"/>
    <n v="4449"/>
    <n v="23866"/>
    <n v="3"/>
    <x v="0"/>
    <n v="15"/>
    <n v="3"/>
    <n v="1"/>
    <n v="2"/>
    <n v="15"/>
    <n v="2"/>
    <x v="1"/>
    <n v="13"/>
    <n v="11"/>
    <n v="10"/>
    <n v="7"/>
    <x v="0"/>
    <x v="0"/>
    <n v="0"/>
    <x v="3"/>
    <s v="Doctor"/>
    <x v="2"/>
    <x v="1"/>
  </r>
  <r>
    <n v="31"/>
    <s v="No"/>
    <x v="0"/>
    <n v="329"/>
    <x v="1"/>
    <n v="1"/>
    <n v="2"/>
    <s v="Life Sciences"/>
    <n v="530"/>
    <n v="4"/>
    <x v="1"/>
    <n v="98"/>
    <n v="2"/>
    <x v="1"/>
    <x v="2"/>
    <n v="1"/>
    <x v="1"/>
    <n v="2218"/>
    <n v="16193"/>
    <n v="1"/>
    <x v="1"/>
    <n v="12"/>
    <n v="3"/>
    <n v="3"/>
    <n v="1"/>
    <n v="4"/>
    <n v="3"/>
    <x v="1"/>
    <n v="4"/>
    <n v="2"/>
    <n v="3"/>
    <n v="2"/>
    <x v="2"/>
    <x v="0"/>
    <n v="0"/>
    <x v="2"/>
    <s v="College"/>
    <x v="3"/>
    <x v="1"/>
  </r>
  <r>
    <n v="39"/>
    <s v="No"/>
    <x v="1"/>
    <n v="1218"/>
    <x v="1"/>
    <n v="1"/>
    <n v="1"/>
    <s v="Life Sciences"/>
    <n v="531"/>
    <n v="2"/>
    <x v="1"/>
    <n v="52"/>
    <n v="3"/>
    <x v="4"/>
    <x v="5"/>
    <n v="3"/>
    <x v="2"/>
    <n v="19197"/>
    <n v="8213"/>
    <n v="1"/>
    <x v="0"/>
    <n v="14"/>
    <n v="3"/>
    <n v="3"/>
    <n v="1"/>
    <n v="21"/>
    <n v="3"/>
    <x v="1"/>
    <n v="21"/>
    <n v="8"/>
    <n v="1"/>
    <n v="6"/>
    <x v="0"/>
    <x v="2"/>
    <n v="0"/>
    <x v="3"/>
    <s v="Below College"/>
    <x v="2"/>
    <x v="1"/>
  </r>
  <r>
    <n v="56"/>
    <s v="No"/>
    <x v="1"/>
    <n v="906"/>
    <x v="0"/>
    <n v="6"/>
    <n v="3"/>
    <s v="Life Sciences"/>
    <n v="532"/>
    <n v="3"/>
    <x v="0"/>
    <n v="86"/>
    <n v="4"/>
    <x v="3"/>
    <x v="0"/>
    <n v="1"/>
    <x v="1"/>
    <n v="13212"/>
    <n v="18256"/>
    <n v="9"/>
    <x v="1"/>
    <n v="11"/>
    <n v="3"/>
    <n v="4"/>
    <n v="3"/>
    <n v="36"/>
    <n v="0"/>
    <x v="2"/>
    <n v="7"/>
    <n v="7"/>
    <n v="7"/>
    <n v="7"/>
    <x v="1"/>
    <x v="0"/>
    <n v="0"/>
    <x v="0"/>
    <s v="Bachelor"/>
    <x v="3"/>
    <x v="2"/>
  </r>
  <r>
    <n v="30"/>
    <s v="No"/>
    <x v="0"/>
    <n v="1082"/>
    <x v="0"/>
    <n v="12"/>
    <n v="3"/>
    <s v="Technical Degree"/>
    <n v="533"/>
    <n v="2"/>
    <x v="0"/>
    <n v="83"/>
    <n v="3"/>
    <x v="0"/>
    <x v="0"/>
    <n v="3"/>
    <x v="0"/>
    <n v="6577"/>
    <n v="19558"/>
    <n v="0"/>
    <x v="1"/>
    <n v="11"/>
    <n v="3"/>
    <n v="2"/>
    <n v="0"/>
    <n v="6"/>
    <n v="6"/>
    <x v="1"/>
    <n v="5"/>
    <n v="4"/>
    <n v="4"/>
    <n v="4"/>
    <x v="2"/>
    <x v="0"/>
    <n v="0"/>
    <x v="2"/>
    <s v="Bachelor"/>
    <x v="2"/>
    <x v="1"/>
  </r>
  <r>
    <n v="41"/>
    <s v="No"/>
    <x v="0"/>
    <n v="645"/>
    <x v="0"/>
    <n v="1"/>
    <n v="3"/>
    <s v="Marketing"/>
    <n v="534"/>
    <n v="2"/>
    <x v="1"/>
    <n v="49"/>
    <n v="4"/>
    <x v="2"/>
    <x v="0"/>
    <n v="1"/>
    <x v="1"/>
    <n v="8392"/>
    <n v="19566"/>
    <n v="1"/>
    <x v="1"/>
    <n v="16"/>
    <n v="3"/>
    <n v="3"/>
    <n v="1"/>
    <n v="10"/>
    <n v="2"/>
    <x v="1"/>
    <n v="10"/>
    <n v="7"/>
    <n v="0"/>
    <n v="7"/>
    <x v="0"/>
    <x v="0"/>
    <n v="0"/>
    <x v="1"/>
    <s v="Bachelor"/>
    <x v="3"/>
    <x v="1"/>
  </r>
  <r>
    <n v="28"/>
    <s v="No"/>
    <x v="0"/>
    <n v="1300"/>
    <x v="1"/>
    <n v="17"/>
    <n v="2"/>
    <s v="Medical"/>
    <n v="536"/>
    <n v="3"/>
    <x v="1"/>
    <n v="79"/>
    <n v="3"/>
    <x v="0"/>
    <x v="2"/>
    <n v="1"/>
    <x v="2"/>
    <n v="4558"/>
    <n v="13535"/>
    <n v="1"/>
    <x v="1"/>
    <n v="12"/>
    <n v="3"/>
    <n v="4"/>
    <n v="1"/>
    <n v="10"/>
    <n v="2"/>
    <x v="1"/>
    <n v="10"/>
    <n v="0"/>
    <n v="1"/>
    <n v="8"/>
    <x v="2"/>
    <x v="0"/>
    <n v="0"/>
    <x v="1"/>
    <s v="College"/>
    <x v="3"/>
    <x v="1"/>
  </r>
  <r>
    <n v="25"/>
    <s v="Yes"/>
    <x v="0"/>
    <n v="688"/>
    <x v="1"/>
    <n v="3"/>
    <n v="3"/>
    <s v="Medical"/>
    <n v="538"/>
    <n v="1"/>
    <x v="1"/>
    <n v="91"/>
    <n v="3"/>
    <x v="1"/>
    <x v="2"/>
    <n v="1"/>
    <x v="1"/>
    <n v="4031"/>
    <n v="9396"/>
    <n v="5"/>
    <x v="1"/>
    <n v="13"/>
    <n v="3"/>
    <n v="3"/>
    <n v="1"/>
    <n v="6"/>
    <n v="5"/>
    <x v="1"/>
    <n v="2"/>
    <n v="2"/>
    <n v="0"/>
    <n v="2"/>
    <x v="3"/>
    <x v="2"/>
    <n v="1"/>
    <x v="2"/>
    <s v="Bachelor"/>
    <x v="3"/>
    <x v="1"/>
  </r>
  <r>
    <n v="52"/>
    <s v="No"/>
    <x v="0"/>
    <n v="319"/>
    <x v="1"/>
    <n v="3"/>
    <n v="3"/>
    <s v="Medical"/>
    <n v="543"/>
    <n v="4"/>
    <x v="1"/>
    <n v="39"/>
    <n v="2"/>
    <x v="2"/>
    <x v="3"/>
    <n v="3"/>
    <x v="1"/>
    <n v="7969"/>
    <n v="19609"/>
    <n v="2"/>
    <x v="0"/>
    <n v="14"/>
    <n v="3"/>
    <n v="3"/>
    <n v="0"/>
    <n v="28"/>
    <n v="4"/>
    <x v="1"/>
    <n v="5"/>
    <n v="4"/>
    <n v="0"/>
    <n v="4"/>
    <x v="1"/>
    <x v="0"/>
    <n v="0"/>
    <x v="2"/>
    <s v="Bachelor"/>
    <x v="2"/>
    <x v="1"/>
  </r>
  <r>
    <n v="45"/>
    <s v="No"/>
    <x v="0"/>
    <n v="192"/>
    <x v="1"/>
    <n v="10"/>
    <n v="2"/>
    <s v="Life Sciences"/>
    <n v="544"/>
    <n v="1"/>
    <x v="1"/>
    <n v="69"/>
    <n v="3"/>
    <x v="1"/>
    <x v="1"/>
    <n v="4"/>
    <x v="1"/>
    <n v="2654"/>
    <n v="9655"/>
    <n v="3"/>
    <x v="1"/>
    <n v="21"/>
    <n v="4"/>
    <n v="4"/>
    <n v="2"/>
    <n v="8"/>
    <n v="3"/>
    <x v="2"/>
    <n v="2"/>
    <n v="2"/>
    <n v="0"/>
    <n v="2"/>
    <x v="0"/>
    <x v="2"/>
    <n v="0"/>
    <x v="0"/>
    <s v="College"/>
    <x v="0"/>
    <x v="2"/>
  </r>
  <r>
    <n v="52"/>
    <s v="No"/>
    <x v="0"/>
    <n v="1490"/>
    <x v="1"/>
    <n v="4"/>
    <n v="2"/>
    <s v="Life Sciences"/>
    <n v="546"/>
    <n v="4"/>
    <x v="0"/>
    <n v="30"/>
    <n v="3"/>
    <x v="3"/>
    <x v="5"/>
    <n v="4"/>
    <x v="1"/>
    <n v="16555"/>
    <n v="10310"/>
    <n v="2"/>
    <x v="1"/>
    <n v="13"/>
    <n v="3"/>
    <n v="4"/>
    <n v="0"/>
    <n v="31"/>
    <n v="2"/>
    <x v="0"/>
    <n v="5"/>
    <n v="2"/>
    <n v="1"/>
    <n v="4"/>
    <x v="1"/>
    <x v="0"/>
    <n v="0"/>
    <x v="0"/>
    <s v="College"/>
    <x v="0"/>
    <x v="0"/>
  </r>
  <r>
    <n v="42"/>
    <s v="No"/>
    <x v="1"/>
    <n v="532"/>
    <x v="1"/>
    <n v="29"/>
    <n v="2"/>
    <s v="Life Sciences"/>
    <n v="547"/>
    <n v="1"/>
    <x v="0"/>
    <n v="92"/>
    <n v="3"/>
    <x v="0"/>
    <x v="1"/>
    <n v="3"/>
    <x v="2"/>
    <n v="4556"/>
    <n v="12932"/>
    <n v="2"/>
    <x v="1"/>
    <n v="11"/>
    <n v="3"/>
    <n v="2"/>
    <n v="1"/>
    <n v="19"/>
    <n v="3"/>
    <x v="1"/>
    <n v="5"/>
    <n v="4"/>
    <n v="0"/>
    <n v="2"/>
    <x v="0"/>
    <x v="0"/>
    <n v="0"/>
    <x v="2"/>
    <s v="College"/>
    <x v="2"/>
    <x v="1"/>
  </r>
  <r>
    <n v="30"/>
    <s v="No"/>
    <x v="0"/>
    <n v="317"/>
    <x v="1"/>
    <n v="2"/>
    <n v="3"/>
    <s v="Life Sciences"/>
    <n v="548"/>
    <n v="3"/>
    <x v="0"/>
    <n v="43"/>
    <n v="1"/>
    <x v="0"/>
    <x v="3"/>
    <n v="4"/>
    <x v="0"/>
    <n v="6091"/>
    <n v="24793"/>
    <n v="2"/>
    <x v="1"/>
    <n v="20"/>
    <n v="4"/>
    <n v="3"/>
    <n v="0"/>
    <n v="11"/>
    <n v="2"/>
    <x v="1"/>
    <n v="5"/>
    <n v="4"/>
    <n v="0"/>
    <n v="2"/>
    <x v="2"/>
    <x v="0"/>
    <n v="0"/>
    <x v="2"/>
    <s v="Bachelor"/>
    <x v="0"/>
    <x v="1"/>
  </r>
  <r>
    <n v="60"/>
    <s v="No"/>
    <x v="0"/>
    <n v="422"/>
    <x v="1"/>
    <n v="7"/>
    <n v="3"/>
    <s v="Life Sciences"/>
    <n v="549"/>
    <n v="1"/>
    <x v="0"/>
    <n v="41"/>
    <n v="3"/>
    <x v="4"/>
    <x v="5"/>
    <n v="1"/>
    <x v="1"/>
    <n v="19566"/>
    <n v="3854"/>
    <n v="5"/>
    <x v="1"/>
    <n v="11"/>
    <n v="3"/>
    <n v="4"/>
    <n v="0"/>
    <n v="33"/>
    <n v="5"/>
    <x v="0"/>
    <n v="29"/>
    <n v="8"/>
    <n v="11"/>
    <n v="10"/>
    <x v="1"/>
    <x v="3"/>
    <n v="0"/>
    <x v="0"/>
    <s v="Bachelor"/>
    <x v="3"/>
    <x v="0"/>
  </r>
  <r>
    <n v="46"/>
    <s v="No"/>
    <x v="0"/>
    <n v="1485"/>
    <x v="1"/>
    <n v="18"/>
    <n v="3"/>
    <s v="Medical"/>
    <n v="550"/>
    <n v="3"/>
    <x v="0"/>
    <n v="87"/>
    <n v="3"/>
    <x v="0"/>
    <x v="3"/>
    <n v="3"/>
    <x v="2"/>
    <n v="4810"/>
    <n v="26314"/>
    <n v="2"/>
    <x v="1"/>
    <n v="14"/>
    <n v="3"/>
    <n v="3"/>
    <n v="1"/>
    <n v="19"/>
    <n v="5"/>
    <x v="2"/>
    <n v="10"/>
    <n v="7"/>
    <n v="0"/>
    <n v="8"/>
    <x v="1"/>
    <x v="0"/>
    <n v="0"/>
    <x v="0"/>
    <s v="Bachelor"/>
    <x v="2"/>
    <x v="2"/>
  </r>
  <r>
    <n v="42"/>
    <s v="No"/>
    <x v="1"/>
    <n v="1368"/>
    <x v="1"/>
    <n v="28"/>
    <n v="4"/>
    <s v="Technical Degree"/>
    <n v="551"/>
    <n v="4"/>
    <x v="0"/>
    <n v="88"/>
    <n v="2"/>
    <x v="0"/>
    <x v="4"/>
    <n v="4"/>
    <x v="1"/>
    <n v="4523"/>
    <n v="4386"/>
    <n v="0"/>
    <x v="1"/>
    <n v="11"/>
    <n v="3"/>
    <n v="4"/>
    <n v="3"/>
    <n v="7"/>
    <n v="4"/>
    <x v="3"/>
    <n v="6"/>
    <n v="5"/>
    <n v="0"/>
    <n v="4"/>
    <x v="0"/>
    <x v="3"/>
    <n v="0"/>
    <x v="1"/>
    <s v="Master"/>
    <x v="0"/>
    <x v="3"/>
  </r>
  <r>
    <n v="24"/>
    <s v="Yes"/>
    <x v="0"/>
    <n v="1448"/>
    <x v="0"/>
    <n v="1"/>
    <n v="1"/>
    <s v="Technical Degree"/>
    <n v="554"/>
    <n v="1"/>
    <x v="0"/>
    <n v="62"/>
    <n v="3"/>
    <x v="1"/>
    <x v="6"/>
    <n v="2"/>
    <x v="0"/>
    <n v="3202"/>
    <n v="21972"/>
    <n v="1"/>
    <x v="0"/>
    <n v="16"/>
    <n v="3"/>
    <n v="2"/>
    <n v="0"/>
    <n v="6"/>
    <n v="4"/>
    <x v="1"/>
    <n v="5"/>
    <n v="3"/>
    <n v="1"/>
    <n v="4"/>
    <x v="3"/>
    <x v="0"/>
    <n v="1"/>
    <x v="2"/>
    <s v="Below College"/>
    <x v="1"/>
    <x v="1"/>
  </r>
  <r>
    <n v="34"/>
    <s v="Yes"/>
    <x v="1"/>
    <n v="296"/>
    <x v="0"/>
    <n v="6"/>
    <n v="2"/>
    <s v="Marketing"/>
    <n v="555"/>
    <n v="4"/>
    <x v="0"/>
    <n v="33"/>
    <n v="1"/>
    <x v="1"/>
    <x v="6"/>
    <n v="3"/>
    <x v="2"/>
    <n v="2351"/>
    <n v="12253"/>
    <n v="0"/>
    <x v="1"/>
    <n v="16"/>
    <n v="3"/>
    <n v="4"/>
    <n v="1"/>
    <n v="3"/>
    <n v="3"/>
    <x v="2"/>
    <n v="2"/>
    <n v="2"/>
    <n v="1"/>
    <n v="0"/>
    <x v="2"/>
    <x v="0"/>
    <n v="1"/>
    <x v="0"/>
    <s v="College"/>
    <x v="2"/>
    <x v="2"/>
  </r>
  <r>
    <n v="38"/>
    <s v="No"/>
    <x v="1"/>
    <n v="1490"/>
    <x v="1"/>
    <n v="2"/>
    <n v="2"/>
    <s v="Life Sciences"/>
    <n v="556"/>
    <n v="4"/>
    <x v="1"/>
    <n v="42"/>
    <n v="3"/>
    <x v="1"/>
    <x v="2"/>
    <n v="4"/>
    <x v="1"/>
    <n v="1702"/>
    <n v="12106"/>
    <n v="1"/>
    <x v="0"/>
    <n v="23"/>
    <n v="4"/>
    <n v="3"/>
    <n v="1"/>
    <n v="1"/>
    <n v="3"/>
    <x v="1"/>
    <n v="1"/>
    <n v="0"/>
    <n v="0"/>
    <n v="0"/>
    <x v="0"/>
    <x v="0"/>
    <n v="0"/>
    <x v="2"/>
    <s v="College"/>
    <x v="0"/>
    <x v="1"/>
  </r>
  <r>
    <n v="40"/>
    <s v="No"/>
    <x v="0"/>
    <n v="1398"/>
    <x v="0"/>
    <n v="2"/>
    <n v="4"/>
    <s v="Life Sciences"/>
    <n v="558"/>
    <n v="3"/>
    <x v="0"/>
    <n v="79"/>
    <n v="3"/>
    <x v="4"/>
    <x v="5"/>
    <n v="3"/>
    <x v="1"/>
    <n v="18041"/>
    <n v="13022"/>
    <n v="0"/>
    <x v="1"/>
    <n v="14"/>
    <n v="3"/>
    <n v="4"/>
    <n v="0"/>
    <n v="21"/>
    <n v="2"/>
    <x v="1"/>
    <n v="20"/>
    <n v="15"/>
    <n v="1"/>
    <n v="12"/>
    <x v="0"/>
    <x v="0"/>
    <n v="0"/>
    <x v="3"/>
    <s v="Master"/>
    <x v="2"/>
    <x v="1"/>
  </r>
  <r>
    <n v="26"/>
    <s v="No"/>
    <x v="0"/>
    <n v="1349"/>
    <x v="1"/>
    <n v="23"/>
    <n v="3"/>
    <s v="Life Sciences"/>
    <n v="560"/>
    <n v="1"/>
    <x v="0"/>
    <n v="90"/>
    <n v="3"/>
    <x v="1"/>
    <x v="1"/>
    <n v="4"/>
    <x v="2"/>
    <n v="2886"/>
    <n v="3032"/>
    <n v="1"/>
    <x v="1"/>
    <n v="22"/>
    <n v="4"/>
    <n v="2"/>
    <n v="2"/>
    <n v="3"/>
    <n v="3"/>
    <x v="0"/>
    <n v="3"/>
    <n v="2"/>
    <n v="0"/>
    <n v="2"/>
    <x v="2"/>
    <x v="3"/>
    <n v="0"/>
    <x v="0"/>
    <s v="Bachelor"/>
    <x v="0"/>
    <x v="0"/>
  </r>
  <r>
    <n v="30"/>
    <s v="No"/>
    <x v="2"/>
    <n v="1400"/>
    <x v="1"/>
    <n v="3"/>
    <n v="3"/>
    <s v="Life Sciences"/>
    <n v="562"/>
    <n v="3"/>
    <x v="1"/>
    <n v="53"/>
    <n v="3"/>
    <x v="1"/>
    <x v="2"/>
    <n v="4"/>
    <x v="1"/>
    <n v="2097"/>
    <n v="16734"/>
    <n v="4"/>
    <x v="1"/>
    <n v="15"/>
    <n v="3"/>
    <n v="3"/>
    <n v="1"/>
    <n v="9"/>
    <n v="3"/>
    <x v="0"/>
    <n v="5"/>
    <n v="3"/>
    <n v="1"/>
    <n v="4"/>
    <x v="2"/>
    <x v="0"/>
    <n v="0"/>
    <x v="0"/>
    <s v="Bachelor"/>
    <x v="0"/>
    <x v="0"/>
  </r>
  <r>
    <n v="29"/>
    <s v="No"/>
    <x v="0"/>
    <n v="986"/>
    <x v="1"/>
    <n v="3"/>
    <n v="4"/>
    <s v="Medical"/>
    <n v="564"/>
    <n v="2"/>
    <x v="1"/>
    <n v="93"/>
    <n v="2"/>
    <x v="2"/>
    <x v="7"/>
    <n v="3"/>
    <x v="1"/>
    <n v="11935"/>
    <n v="21526"/>
    <n v="1"/>
    <x v="1"/>
    <n v="18"/>
    <n v="3"/>
    <n v="3"/>
    <n v="0"/>
    <n v="10"/>
    <n v="2"/>
    <x v="1"/>
    <n v="10"/>
    <n v="2"/>
    <n v="0"/>
    <n v="7"/>
    <x v="2"/>
    <x v="0"/>
    <n v="0"/>
    <x v="1"/>
    <s v="Master"/>
    <x v="2"/>
    <x v="1"/>
  </r>
  <r>
    <n v="29"/>
    <s v="Yes"/>
    <x v="0"/>
    <n v="408"/>
    <x v="1"/>
    <n v="25"/>
    <n v="5"/>
    <s v="Technical Degree"/>
    <n v="565"/>
    <n v="3"/>
    <x v="0"/>
    <n v="71"/>
    <n v="2"/>
    <x v="1"/>
    <x v="1"/>
    <n v="2"/>
    <x v="1"/>
    <n v="2546"/>
    <n v="18300"/>
    <n v="5"/>
    <x v="1"/>
    <n v="16"/>
    <n v="3"/>
    <n v="2"/>
    <n v="0"/>
    <n v="6"/>
    <n v="2"/>
    <x v="3"/>
    <n v="2"/>
    <n v="2"/>
    <n v="1"/>
    <n v="1"/>
    <x v="2"/>
    <x v="0"/>
    <n v="1"/>
    <x v="2"/>
    <s v="Doctor"/>
    <x v="1"/>
    <x v="3"/>
  </r>
  <r>
    <n v="19"/>
    <s v="Yes"/>
    <x v="0"/>
    <n v="489"/>
    <x v="2"/>
    <n v="2"/>
    <n v="2"/>
    <s v="Technical Degree"/>
    <n v="566"/>
    <n v="1"/>
    <x v="1"/>
    <n v="52"/>
    <n v="2"/>
    <x v="1"/>
    <x v="8"/>
    <n v="4"/>
    <x v="0"/>
    <n v="2564"/>
    <n v="18437"/>
    <n v="1"/>
    <x v="1"/>
    <n v="12"/>
    <n v="3"/>
    <n v="3"/>
    <n v="0"/>
    <n v="1"/>
    <n v="3"/>
    <x v="3"/>
    <n v="1"/>
    <n v="0"/>
    <n v="0"/>
    <n v="0"/>
    <x v="3"/>
    <x v="0"/>
    <n v="1"/>
    <x v="2"/>
    <s v="College"/>
    <x v="0"/>
    <x v="3"/>
  </r>
  <r>
    <n v="30"/>
    <s v="No"/>
    <x v="2"/>
    <n v="1398"/>
    <x v="0"/>
    <n v="22"/>
    <n v="4"/>
    <s v="Other"/>
    <n v="567"/>
    <n v="3"/>
    <x v="0"/>
    <n v="69"/>
    <n v="3"/>
    <x v="2"/>
    <x v="0"/>
    <n v="1"/>
    <x v="1"/>
    <n v="8412"/>
    <n v="2890"/>
    <n v="0"/>
    <x v="1"/>
    <n v="11"/>
    <n v="3"/>
    <n v="3"/>
    <n v="0"/>
    <n v="10"/>
    <n v="3"/>
    <x v="1"/>
    <n v="9"/>
    <n v="8"/>
    <n v="7"/>
    <n v="8"/>
    <x v="2"/>
    <x v="1"/>
    <n v="0"/>
    <x v="1"/>
    <s v="Master"/>
    <x v="3"/>
    <x v="1"/>
  </r>
  <r>
    <n v="57"/>
    <s v="No"/>
    <x v="0"/>
    <n v="210"/>
    <x v="0"/>
    <n v="29"/>
    <n v="3"/>
    <s v="Marketing"/>
    <n v="568"/>
    <n v="1"/>
    <x v="1"/>
    <n v="56"/>
    <n v="2"/>
    <x v="3"/>
    <x v="5"/>
    <n v="4"/>
    <x v="2"/>
    <n v="14118"/>
    <n v="22102"/>
    <n v="3"/>
    <x v="1"/>
    <n v="12"/>
    <n v="3"/>
    <n v="3"/>
    <n v="1"/>
    <n v="32"/>
    <n v="3"/>
    <x v="2"/>
    <n v="1"/>
    <n v="0"/>
    <n v="0"/>
    <n v="0"/>
    <x v="1"/>
    <x v="0"/>
    <n v="0"/>
    <x v="0"/>
    <s v="Bachelor"/>
    <x v="0"/>
    <x v="2"/>
  </r>
  <r>
    <n v="50"/>
    <s v="No"/>
    <x v="0"/>
    <n v="1099"/>
    <x v="1"/>
    <n v="29"/>
    <n v="4"/>
    <s v="Life Sciences"/>
    <n v="569"/>
    <n v="2"/>
    <x v="1"/>
    <n v="88"/>
    <n v="2"/>
    <x v="3"/>
    <x v="5"/>
    <n v="3"/>
    <x v="1"/>
    <n v="17046"/>
    <n v="9314"/>
    <n v="0"/>
    <x v="1"/>
    <n v="15"/>
    <n v="3"/>
    <n v="2"/>
    <n v="1"/>
    <n v="28"/>
    <n v="2"/>
    <x v="1"/>
    <n v="27"/>
    <n v="10"/>
    <n v="15"/>
    <n v="7"/>
    <x v="1"/>
    <x v="2"/>
    <n v="0"/>
    <x v="3"/>
    <s v="Master"/>
    <x v="2"/>
    <x v="1"/>
  </r>
  <r>
    <n v="30"/>
    <s v="No"/>
    <x v="2"/>
    <n v="1116"/>
    <x v="1"/>
    <n v="2"/>
    <n v="3"/>
    <s v="Medical"/>
    <n v="571"/>
    <n v="3"/>
    <x v="0"/>
    <n v="49"/>
    <n v="3"/>
    <x v="1"/>
    <x v="2"/>
    <n v="4"/>
    <x v="0"/>
    <n v="2564"/>
    <n v="7181"/>
    <n v="0"/>
    <x v="1"/>
    <n v="14"/>
    <n v="3"/>
    <n v="3"/>
    <n v="0"/>
    <n v="12"/>
    <n v="2"/>
    <x v="2"/>
    <n v="11"/>
    <n v="7"/>
    <n v="6"/>
    <n v="7"/>
    <x v="2"/>
    <x v="2"/>
    <n v="0"/>
    <x v="0"/>
    <s v="Bachelor"/>
    <x v="0"/>
    <x v="2"/>
  </r>
  <r>
    <n v="60"/>
    <s v="No"/>
    <x v="1"/>
    <n v="1499"/>
    <x v="0"/>
    <n v="28"/>
    <n v="3"/>
    <s v="Marketing"/>
    <n v="573"/>
    <n v="3"/>
    <x v="0"/>
    <n v="80"/>
    <n v="2"/>
    <x v="2"/>
    <x v="0"/>
    <n v="1"/>
    <x v="1"/>
    <n v="10266"/>
    <n v="2845"/>
    <n v="4"/>
    <x v="1"/>
    <n v="19"/>
    <n v="3"/>
    <n v="4"/>
    <n v="0"/>
    <n v="22"/>
    <n v="5"/>
    <x v="3"/>
    <n v="18"/>
    <n v="13"/>
    <n v="13"/>
    <n v="11"/>
    <x v="1"/>
    <x v="1"/>
    <n v="0"/>
    <x v="3"/>
    <s v="Bachelor"/>
    <x v="3"/>
    <x v="3"/>
  </r>
  <r>
    <n v="47"/>
    <s v="No"/>
    <x v="0"/>
    <n v="983"/>
    <x v="1"/>
    <n v="2"/>
    <n v="2"/>
    <s v="Medical"/>
    <n v="574"/>
    <n v="1"/>
    <x v="0"/>
    <n v="65"/>
    <n v="3"/>
    <x v="0"/>
    <x v="3"/>
    <n v="4"/>
    <x v="2"/>
    <n v="5070"/>
    <n v="7389"/>
    <n v="5"/>
    <x v="1"/>
    <n v="13"/>
    <n v="3"/>
    <n v="3"/>
    <n v="3"/>
    <n v="20"/>
    <n v="2"/>
    <x v="1"/>
    <n v="5"/>
    <n v="0"/>
    <n v="0"/>
    <n v="4"/>
    <x v="1"/>
    <x v="2"/>
    <n v="0"/>
    <x v="2"/>
    <s v="College"/>
    <x v="0"/>
    <x v="1"/>
  </r>
  <r>
    <n v="46"/>
    <s v="No"/>
    <x v="0"/>
    <n v="1009"/>
    <x v="1"/>
    <n v="2"/>
    <n v="3"/>
    <s v="Life Sciences"/>
    <n v="575"/>
    <n v="1"/>
    <x v="1"/>
    <n v="51"/>
    <n v="3"/>
    <x v="3"/>
    <x v="7"/>
    <n v="3"/>
    <x v="1"/>
    <n v="17861"/>
    <n v="2288"/>
    <n v="6"/>
    <x v="1"/>
    <n v="13"/>
    <n v="3"/>
    <n v="3"/>
    <n v="0"/>
    <n v="26"/>
    <n v="2"/>
    <x v="0"/>
    <n v="3"/>
    <n v="2"/>
    <n v="0"/>
    <n v="1"/>
    <x v="1"/>
    <x v="1"/>
    <n v="0"/>
    <x v="0"/>
    <s v="Bachelor"/>
    <x v="2"/>
    <x v="0"/>
  </r>
  <r>
    <n v="35"/>
    <s v="No"/>
    <x v="0"/>
    <n v="144"/>
    <x v="1"/>
    <n v="22"/>
    <n v="3"/>
    <s v="Life Sciences"/>
    <n v="577"/>
    <n v="4"/>
    <x v="1"/>
    <n v="46"/>
    <n v="1"/>
    <x v="1"/>
    <x v="2"/>
    <n v="3"/>
    <x v="0"/>
    <n v="4230"/>
    <n v="19225"/>
    <n v="0"/>
    <x v="1"/>
    <n v="15"/>
    <n v="3"/>
    <n v="3"/>
    <n v="0"/>
    <n v="6"/>
    <n v="2"/>
    <x v="1"/>
    <n v="5"/>
    <n v="4"/>
    <n v="4"/>
    <n v="3"/>
    <x v="2"/>
    <x v="0"/>
    <n v="0"/>
    <x v="2"/>
    <s v="Bachelor"/>
    <x v="2"/>
    <x v="1"/>
  </r>
  <r>
    <n v="54"/>
    <s v="No"/>
    <x v="0"/>
    <n v="548"/>
    <x v="1"/>
    <n v="8"/>
    <n v="4"/>
    <s v="Life Sciences"/>
    <n v="578"/>
    <n v="3"/>
    <x v="0"/>
    <n v="42"/>
    <n v="3"/>
    <x v="0"/>
    <x v="2"/>
    <n v="3"/>
    <x v="0"/>
    <n v="3780"/>
    <n v="23428"/>
    <n v="7"/>
    <x v="1"/>
    <n v="11"/>
    <n v="3"/>
    <n v="3"/>
    <n v="0"/>
    <n v="19"/>
    <n v="3"/>
    <x v="1"/>
    <n v="1"/>
    <n v="0"/>
    <n v="0"/>
    <n v="0"/>
    <x v="1"/>
    <x v="0"/>
    <n v="0"/>
    <x v="2"/>
    <s v="Master"/>
    <x v="2"/>
    <x v="1"/>
  </r>
  <r>
    <n v="34"/>
    <s v="No"/>
    <x v="0"/>
    <n v="1303"/>
    <x v="1"/>
    <n v="2"/>
    <n v="4"/>
    <s v="Life Sciences"/>
    <n v="579"/>
    <n v="4"/>
    <x v="1"/>
    <n v="62"/>
    <n v="2"/>
    <x v="1"/>
    <x v="1"/>
    <n v="3"/>
    <x v="2"/>
    <n v="2768"/>
    <n v="8416"/>
    <n v="3"/>
    <x v="1"/>
    <n v="12"/>
    <n v="3"/>
    <n v="3"/>
    <n v="1"/>
    <n v="14"/>
    <n v="3"/>
    <x v="1"/>
    <n v="7"/>
    <n v="3"/>
    <n v="5"/>
    <n v="7"/>
    <x v="2"/>
    <x v="2"/>
    <n v="0"/>
    <x v="1"/>
    <s v="Master"/>
    <x v="2"/>
    <x v="1"/>
  </r>
  <r>
    <n v="46"/>
    <s v="No"/>
    <x v="0"/>
    <n v="1125"/>
    <x v="0"/>
    <n v="10"/>
    <n v="3"/>
    <s v="Marketing"/>
    <n v="580"/>
    <n v="3"/>
    <x v="0"/>
    <n v="94"/>
    <n v="2"/>
    <x v="2"/>
    <x v="0"/>
    <n v="4"/>
    <x v="1"/>
    <n v="9071"/>
    <n v="11563"/>
    <n v="2"/>
    <x v="0"/>
    <n v="19"/>
    <n v="3"/>
    <n v="3"/>
    <n v="1"/>
    <n v="15"/>
    <n v="3"/>
    <x v="1"/>
    <n v="3"/>
    <n v="2"/>
    <n v="1"/>
    <n v="2"/>
    <x v="1"/>
    <x v="0"/>
    <n v="0"/>
    <x v="2"/>
    <s v="Bachelor"/>
    <x v="0"/>
    <x v="1"/>
  </r>
  <r>
    <n v="31"/>
    <s v="No"/>
    <x v="0"/>
    <n v="1274"/>
    <x v="1"/>
    <n v="9"/>
    <n v="1"/>
    <s v="Life Sciences"/>
    <n v="581"/>
    <n v="3"/>
    <x v="1"/>
    <n v="33"/>
    <n v="3"/>
    <x v="2"/>
    <x v="3"/>
    <n v="2"/>
    <x v="2"/>
    <n v="10648"/>
    <n v="14394"/>
    <n v="1"/>
    <x v="1"/>
    <n v="25"/>
    <n v="4"/>
    <n v="4"/>
    <n v="1"/>
    <n v="13"/>
    <n v="6"/>
    <x v="3"/>
    <n v="13"/>
    <n v="8"/>
    <n v="0"/>
    <n v="8"/>
    <x v="2"/>
    <x v="0"/>
    <n v="0"/>
    <x v="3"/>
    <s v="Below College"/>
    <x v="1"/>
    <x v="3"/>
  </r>
  <r>
    <n v="33"/>
    <s v="Yes"/>
    <x v="0"/>
    <n v="1277"/>
    <x v="1"/>
    <n v="15"/>
    <n v="1"/>
    <s v="Medical"/>
    <n v="582"/>
    <n v="2"/>
    <x v="1"/>
    <n v="56"/>
    <n v="3"/>
    <x v="2"/>
    <x v="5"/>
    <n v="3"/>
    <x v="1"/>
    <n v="13610"/>
    <n v="24619"/>
    <n v="7"/>
    <x v="0"/>
    <n v="12"/>
    <n v="3"/>
    <n v="4"/>
    <n v="0"/>
    <n v="15"/>
    <n v="2"/>
    <x v="3"/>
    <n v="7"/>
    <n v="6"/>
    <n v="7"/>
    <n v="7"/>
    <x v="2"/>
    <x v="0"/>
    <n v="1"/>
    <x v="1"/>
    <s v="Below College"/>
    <x v="2"/>
    <x v="3"/>
  </r>
  <r>
    <n v="33"/>
    <s v="Yes"/>
    <x v="0"/>
    <n v="587"/>
    <x v="1"/>
    <n v="10"/>
    <n v="1"/>
    <s v="Medical"/>
    <n v="584"/>
    <n v="1"/>
    <x v="1"/>
    <n v="38"/>
    <n v="1"/>
    <x v="1"/>
    <x v="2"/>
    <n v="4"/>
    <x v="2"/>
    <n v="3408"/>
    <n v="6705"/>
    <n v="7"/>
    <x v="1"/>
    <n v="13"/>
    <n v="3"/>
    <n v="1"/>
    <n v="3"/>
    <n v="8"/>
    <n v="2"/>
    <x v="1"/>
    <n v="4"/>
    <n v="3"/>
    <n v="1"/>
    <n v="3"/>
    <x v="2"/>
    <x v="2"/>
    <n v="1"/>
    <x v="2"/>
    <s v="Below College"/>
    <x v="0"/>
    <x v="1"/>
  </r>
  <r>
    <n v="30"/>
    <s v="No"/>
    <x v="0"/>
    <n v="413"/>
    <x v="0"/>
    <n v="7"/>
    <n v="1"/>
    <s v="Marketing"/>
    <n v="585"/>
    <n v="4"/>
    <x v="1"/>
    <n v="57"/>
    <n v="3"/>
    <x v="1"/>
    <x v="6"/>
    <n v="2"/>
    <x v="0"/>
    <n v="2983"/>
    <n v="18398"/>
    <n v="0"/>
    <x v="1"/>
    <n v="14"/>
    <n v="3"/>
    <n v="1"/>
    <n v="0"/>
    <n v="4"/>
    <n v="3"/>
    <x v="1"/>
    <n v="3"/>
    <n v="2"/>
    <n v="1"/>
    <n v="2"/>
    <x v="2"/>
    <x v="0"/>
    <n v="0"/>
    <x v="2"/>
    <s v="Below College"/>
    <x v="1"/>
    <x v="1"/>
  </r>
  <r>
    <n v="35"/>
    <s v="No"/>
    <x v="0"/>
    <n v="1276"/>
    <x v="1"/>
    <n v="16"/>
    <n v="3"/>
    <s v="Life Sciences"/>
    <n v="586"/>
    <n v="4"/>
    <x v="1"/>
    <n v="72"/>
    <n v="3"/>
    <x v="2"/>
    <x v="4"/>
    <n v="3"/>
    <x v="1"/>
    <n v="7632"/>
    <n v="14295"/>
    <n v="4"/>
    <x v="0"/>
    <n v="12"/>
    <n v="3"/>
    <n v="3"/>
    <n v="0"/>
    <n v="10"/>
    <n v="2"/>
    <x v="1"/>
    <n v="8"/>
    <n v="7"/>
    <n v="0"/>
    <n v="0"/>
    <x v="2"/>
    <x v="0"/>
    <n v="0"/>
    <x v="1"/>
    <s v="Bachelor"/>
    <x v="2"/>
    <x v="1"/>
  </r>
  <r>
    <n v="31"/>
    <s v="Yes"/>
    <x v="1"/>
    <n v="534"/>
    <x v="1"/>
    <n v="20"/>
    <n v="3"/>
    <s v="Life Sciences"/>
    <n v="587"/>
    <n v="1"/>
    <x v="1"/>
    <n v="66"/>
    <n v="3"/>
    <x v="2"/>
    <x v="4"/>
    <n v="3"/>
    <x v="1"/>
    <n v="9824"/>
    <n v="22908"/>
    <n v="3"/>
    <x v="1"/>
    <n v="12"/>
    <n v="3"/>
    <n v="1"/>
    <n v="0"/>
    <n v="12"/>
    <n v="2"/>
    <x v="1"/>
    <n v="1"/>
    <n v="0"/>
    <n v="0"/>
    <n v="0"/>
    <x v="2"/>
    <x v="0"/>
    <n v="1"/>
    <x v="2"/>
    <s v="Bachelor"/>
    <x v="2"/>
    <x v="1"/>
  </r>
  <r>
    <n v="34"/>
    <s v="Yes"/>
    <x v="1"/>
    <n v="988"/>
    <x v="2"/>
    <n v="23"/>
    <n v="3"/>
    <s v="Human Resources"/>
    <n v="590"/>
    <n v="2"/>
    <x v="0"/>
    <n v="43"/>
    <n v="3"/>
    <x v="2"/>
    <x v="8"/>
    <n v="1"/>
    <x v="2"/>
    <n v="9950"/>
    <n v="11533"/>
    <n v="9"/>
    <x v="0"/>
    <n v="15"/>
    <n v="3"/>
    <n v="3"/>
    <n v="3"/>
    <n v="11"/>
    <n v="2"/>
    <x v="1"/>
    <n v="3"/>
    <n v="2"/>
    <n v="0"/>
    <n v="2"/>
    <x v="2"/>
    <x v="0"/>
    <n v="1"/>
    <x v="2"/>
    <s v="Bachelor"/>
    <x v="3"/>
    <x v="1"/>
  </r>
  <r>
    <n v="42"/>
    <s v="No"/>
    <x v="1"/>
    <n v="1474"/>
    <x v="1"/>
    <n v="5"/>
    <n v="2"/>
    <s v="Other"/>
    <n v="591"/>
    <n v="2"/>
    <x v="1"/>
    <n v="97"/>
    <n v="3"/>
    <x v="1"/>
    <x v="2"/>
    <n v="3"/>
    <x v="1"/>
    <n v="2093"/>
    <n v="9260"/>
    <n v="4"/>
    <x v="1"/>
    <n v="17"/>
    <n v="3"/>
    <n v="4"/>
    <n v="1"/>
    <n v="8"/>
    <n v="4"/>
    <x v="1"/>
    <n v="2"/>
    <n v="2"/>
    <n v="2"/>
    <n v="0"/>
    <x v="0"/>
    <x v="2"/>
    <n v="0"/>
    <x v="2"/>
    <s v="College"/>
    <x v="2"/>
    <x v="1"/>
  </r>
  <r>
    <n v="36"/>
    <s v="No"/>
    <x v="2"/>
    <n v="635"/>
    <x v="0"/>
    <n v="10"/>
    <n v="4"/>
    <s v="Medical"/>
    <n v="592"/>
    <n v="2"/>
    <x v="1"/>
    <n v="32"/>
    <n v="3"/>
    <x v="2"/>
    <x v="0"/>
    <n v="4"/>
    <x v="0"/>
    <n v="9980"/>
    <n v="15318"/>
    <n v="1"/>
    <x v="1"/>
    <n v="14"/>
    <n v="3"/>
    <n v="4"/>
    <n v="0"/>
    <n v="10"/>
    <n v="3"/>
    <x v="2"/>
    <n v="10"/>
    <n v="3"/>
    <n v="9"/>
    <n v="7"/>
    <x v="0"/>
    <x v="0"/>
    <n v="0"/>
    <x v="0"/>
    <s v="Master"/>
    <x v="0"/>
    <x v="2"/>
  </r>
  <r>
    <n v="22"/>
    <s v="Yes"/>
    <x v="1"/>
    <n v="1368"/>
    <x v="1"/>
    <n v="4"/>
    <n v="1"/>
    <s v="Technical Degree"/>
    <n v="593"/>
    <n v="3"/>
    <x v="1"/>
    <n v="99"/>
    <n v="2"/>
    <x v="1"/>
    <x v="2"/>
    <n v="3"/>
    <x v="0"/>
    <n v="3894"/>
    <n v="9129"/>
    <n v="5"/>
    <x v="1"/>
    <n v="16"/>
    <n v="3"/>
    <n v="3"/>
    <n v="0"/>
    <n v="4"/>
    <n v="3"/>
    <x v="1"/>
    <n v="2"/>
    <n v="2"/>
    <n v="1"/>
    <n v="2"/>
    <x v="3"/>
    <x v="2"/>
    <n v="1"/>
    <x v="2"/>
    <s v="Below College"/>
    <x v="2"/>
    <x v="1"/>
  </r>
  <r>
    <n v="48"/>
    <s v="No"/>
    <x v="0"/>
    <n v="163"/>
    <x v="0"/>
    <n v="2"/>
    <n v="5"/>
    <s v="Marketing"/>
    <n v="595"/>
    <n v="2"/>
    <x v="0"/>
    <n v="37"/>
    <n v="3"/>
    <x v="0"/>
    <x v="0"/>
    <n v="4"/>
    <x v="1"/>
    <n v="4051"/>
    <n v="19658"/>
    <n v="2"/>
    <x v="1"/>
    <n v="14"/>
    <n v="3"/>
    <n v="1"/>
    <n v="1"/>
    <n v="14"/>
    <n v="2"/>
    <x v="1"/>
    <n v="9"/>
    <n v="7"/>
    <n v="6"/>
    <n v="7"/>
    <x v="1"/>
    <x v="0"/>
    <n v="0"/>
    <x v="1"/>
    <s v="Doctor"/>
    <x v="0"/>
    <x v="1"/>
  </r>
  <r>
    <n v="55"/>
    <s v="No"/>
    <x v="0"/>
    <n v="1117"/>
    <x v="0"/>
    <n v="18"/>
    <n v="5"/>
    <s v="Life Sciences"/>
    <n v="597"/>
    <n v="1"/>
    <x v="0"/>
    <n v="83"/>
    <n v="3"/>
    <x v="3"/>
    <x v="5"/>
    <n v="2"/>
    <x v="0"/>
    <n v="16835"/>
    <n v="9873"/>
    <n v="3"/>
    <x v="1"/>
    <n v="23"/>
    <n v="4"/>
    <n v="4"/>
    <n v="0"/>
    <n v="37"/>
    <n v="2"/>
    <x v="1"/>
    <n v="10"/>
    <n v="9"/>
    <n v="7"/>
    <n v="7"/>
    <x v="1"/>
    <x v="2"/>
    <n v="0"/>
    <x v="1"/>
    <s v="Doctor"/>
    <x v="1"/>
    <x v="1"/>
  </r>
  <r>
    <n v="41"/>
    <s v="No"/>
    <x v="2"/>
    <n v="267"/>
    <x v="0"/>
    <n v="10"/>
    <n v="2"/>
    <s v="Life Sciences"/>
    <n v="599"/>
    <n v="4"/>
    <x v="1"/>
    <n v="56"/>
    <n v="3"/>
    <x v="0"/>
    <x v="0"/>
    <n v="4"/>
    <x v="0"/>
    <n v="6230"/>
    <n v="13430"/>
    <n v="7"/>
    <x v="1"/>
    <n v="14"/>
    <n v="3"/>
    <n v="4"/>
    <n v="0"/>
    <n v="16"/>
    <n v="3"/>
    <x v="1"/>
    <n v="14"/>
    <n v="3"/>
    <n v="1"/>
    <n v="10"/>
    <x v="0"/>
    <x v="0"/>
    <n v="0"/>
    <x v="3"/>
    <s v="College"/>
    <x v="0"/>
    <x v="1"/>
  </r>
  <r>
    <n v="35"/>
    <s v="No"/>
    <x v="0"/>
    <n v="619"/>
    <x v="0"/>
    <n v="1"/>
    <n v="3"/>
    <s v="Marketing"/>
    <n v="600"/>
    <n v="2"/>
    <x v="1"/>
    <n v="85"/>
    <n v="3"/>
    <x v="0"/>
    <x v="0"/>
    <n v="3"/>
    <x v="1"/>
    <n v="4717"/>
    <n v="18659"/>
    <n v="9"/>
    <x v="1"/>
    <n v="11"/>
    <n v="3"/>
    <n v="3"/>
    <n v="0"/>
    <n v="15"/>
    <n v="2"/>
    <x v="1"/>
    <n v="11"/>
    <n v="9"/>
    <n v="6"/>
    <n v="9"/>
    <x v="2"/>
    <x v="0"/>
    <n v="0"/>
    <x v="3"/>
    <s v="Bachelor"/>
    <x v="2"/>
    <x v="1"/>
  </r>
  <r>
    <n v="40"/>
    <s v="No"/>
    <x v="0"/>
    <n v="302"/>
    <x v="1"/>
    <n v="6"/>
    <n v="3"/>
    <s v="Life Sciences"/>
    <n v="601"/>
    <n v="2"/>
    <x v="0"/>
    <n v="75"/>
    <n v="3"/>
    <x v="3"/>
    <x v="3"/>
    <n v="3"/>
    <x v="0"/>
    <n v="13237"/>
    <n v="20364"/>
    <n v="7"/>
    <x v="1"/>
    <n v="15"/>
    <n v="3"/>
    <n v="3"/>
    <n v="0"/>
    <n v="22"/>
    <n v="3"/>
    <x v="1"/>
    <n v="20"/>
    <n v="6"/>
    <n v="5"/>
    <n v="13"/>
    <x v="0"/>
    <x v="0"/>
    <n v="0"/>
    <x v="3"/>
    <s v="Bachelor"/>
    <x v="2"/>
    <x v="1"/>
  </r>
  <r>
    <n v="39"/>
    <s v="No"/>
    <x v="1"/>
    <n v="443"/>
    <x v="1"/>
    <n v="8"/>
    <n v="1"/>
    <s v="Life Sciences"/>
    <n v="602"/>
    <n v="3"/>
    <x v="0"/>
    <n v="48"/>
    <n v="3"/>
    <x v="1"/>
    <x v="2"/>
    <n v="3"/>
    <x v="1"/>
    <n v="3755"/>
    <n v="17872"/>
    <n v="1"/>
    <x v="1"/>
    <n v="11"/>
    <n v="3"/>
    <n v="1"/>
    <n v="1"/>
    <n v="8"/>
    <n v="3"/>
    <x v="1"/>
    <n v="8"/>
    <n v="3"/>
    <n v="0"/>
    <n v="7"/>
    <x v="0"/>
    <x v="0"/>
    <n v="0"/>
    <x v="1"/>
    <s v="Below College"/>
    <x v="2"/>
    <x v="1"/>
  </r>
  <r>
    <n v="31"/>
    <s v="No"/>
    <x v="0"/>
    <n v="828"/>
    <x v="0"/>
    <n v="2"/>
    <n v="1"/>
    <s v="Life Sciences"/>
    <n v="604"/>
    <n v="2"/>
    <x v="1"/>
    <n v="77"/>
    <n v="3"/>
    <x v="0"/>
    <x v="0"/>
    <n v="4"/>
    <x v="0"/>
    <n v="6582"/>
    <n v="8346"/>
    <n v="4"/>
    <x v="0"/>
    <n v="13"/>
    <n v="3"/>
    <n v="3"/>
    <n v="0"/>
    <n v="10"/>
    <n v="2"/>
    <x v="3"/>
    <n v="6"/>
    <n v="5"/>
    <n v="0"/>
    <n v="5"/>
    <x v="2"/>
    <x v="2"/>
    <n v="0"/>
    <x v="1"/>
    <s v="Below College"/>
    <x v="0"/>
    <x v="3"/>
  </r>
  <r>
    <n v="42"/>
    <s v="No"/>
    <x v="0"/>
    <n v="319"/>
    <x v="1"/>
    <n v="24"/>
    <n v="3"/>
    <s v="Medical"/>
    <n v="605"/>
    <n v="4"/>
    <x v="1"/>
    <n v="56"/>
    <n v="3"/>
    <x v="2"/>
    <x v="3"/>
    <n v="1"/>
    <x v="1"/>
    <n v="7406"/>
    <n v="6950"/>
    <n v="1"/>
    <x v="0"/>
    <n v="21"/>
    <n v="4"/>
    <n v="4"/>
    <n v="1"/>
    <n v="10"/>
    <n v="5"/>
    <x v="2"/>
    <n v="10"/>
    <n v="9"/>
    <n v="5"/>
    <n v="8"/>
    <x v="0"/>
    <x v="2"/>
    <n v="0"/>
    <x v="0"/>
    <s v="Bachelor"/>
    <x v="3"/>
    <x v="2"/>
  </r>
  <r>
    <n v="45"/>
    <s v="No"/>
    <x v="0"/>
    <n v="561"/>
    <x v="0"/>
    <n v="2"/>
    <n v="3"/>
    <s v="Other"/>
    <n v="606"/>
    <n v="4"/>
    <x v="1"/>
    <n v="61"/>
    <n v="3"/>
    <x v="0"/>
    <x v="0"/>
    <n v="2"/>
    <x v="1"/>
    <n v="4805"/>
    <n v="16177"/>
    <n v="0"/>
    <x v="1"/>
    <n v="19"/>
    <n v="3"/>
    <n v="2"/>
    <n v="1"/>
    <n v="9"/>
    <n v="3"/>
    <x v="3"/>
    <n v="8"/>
    <n v="7"/>
    <n v="3"/>
    <n v="7"/>
    <x v="0"/>
    <x v="0"/>
    <n v="0"/>
    <x v="1"/>
    <s v="Bachelor"/>
    <x v="1"/>
    <x v="3"/>
  </r>
  <r>
    <n v="26"/>
    <s v="Yes"/>
    <x v="1"/>
    <n v="426"/>
    <x v="2"/>
    <n v="17"/>
    <n v="4"/>
    <s v="Life Sciences"/>
    <n v="608"/>
    <n v="2"/>
    <x v="0"/>
    <n v="58"/>
    <n v="3"/>
    <x v="1"/>
    <x v="8"/>
    <n v="3"/>
    <x v="2"/>
    <n v="2741"/>
    <n v="22808"/>
    <n v="0"/>
    <x v="0"/>
    <n v="11"/>
    <n v="3"/>
    <n v="2"/>
    <n v="1"/>
    <n v="8"/>
    <n v="2"/>
    <x v="2"/>
    <n v="7"/>
    <n v="7"/>
    <n v="1"/>
    <n v="0"/>
    <x v="2"/>
    <x v="0"/>
    <n v="1"/>
    <x v="0"/>
    <s v="Master"/>
    <x v="2"/>
    <x v="2"/>
  </r>
  <r>
    <n v="29"/>
    <s v="No"/>
    <x v="0"/>
    <n v="232"/>
    <x v="1"/>
    <n v="19"/>
    <n v="3"/>
    <s v="Technical Degree"/>
    <n v="611"/>
    <n v="4"/>
    <x v="1"/>
    <n v="34"/>
    <n v="3"/>
    <x v="0"/>
    <x v="3"/>
    <n v="4"/>
    <x v="2"/>
    <n v="4262"/>
    <n v="22645"/>
    <n v="4"/>
    <x v="1"/>
    <n v="12"/>
    <n v="3"/>
    <n v="2"/>
    <n v="2"/>
    <n v="8"/>
    <n v="2"/>
    <x v="3"/>
    <n v="3"/>
    <n v="2"/>
    <n v="1"/>
    <n v="2"/>
    <x v="2"/>
    <x v="0"/>
    <n v="0"/>
    <x v="2"/>
    <s v="Bachelor"/>
    <x v="0"/>
    <x v="3"/>
  </r>
  <r>
    <n v="33"/>
    <s v="No"/>
    <x v="0"/>
    <n v="922"/>
    <x v="1"/>
    <n v="1"/>
    <n v="5"/>
    <s v="Medical"/>
    <n v="612"/>
    <n v="1"/>
    <x v="0"/>
    <n v="95"/>
    <n v="4"/>
    <x v="3"/>
    <x v="7"/>
    <n v="3"/>
    <x v="2"/>
    <n v="16184"/>
    <n v="22578"/>
    <n v="4"/>
    <x v="1"/>
    <n v="19"/>
    <n v="3"/>
    <n v="3"/>
    <n v="1"/>
    <n v="10"/>
    <n v="2"/>
    <x v="1"/>
    <n v="6"/>
    <n v="1"/>
    <n v="0"/>
    <n v="5"/>
    <x v="2"/>
    <x v="0"/>
    <n v="0"/>
    <x v="1"/>
    <s v="Doctor"/>
    <x v="2"/>
    <x v="1"/>
  </r>
  <r>
    <n v="31"/>
    <s v="No"/>
    <x v="0"/>
    <n v="688"/>
    <x v="0"/>
    <n v="7"/>
    <n v="3"/>
    <s v="Life Sciences"/>
    <n v="613"/>
    <n v="3"/>
    <x v="1"/>
    <n v="44"/>
    <n v="2"/>
    <x v="2"/>
    <x v="5"/>
    <n v="4"/>
    <x v="2"/>
    <n v="11557"/>
    <n v="25291"/>
    <n v="9"/>
    <x v="1"/>
    <n v="21"/>
    <n v="4"/>
    <n v="3"/>
    <n v="1"/>
    <n v="10"/>
    <n v="3"/>
    <x v="2"/>
    <n v="5"/>
    <n v="4"/>
    <n v="0"/>
    <n v="1"/>
    <x v="2"/>
    <x v="0"/>
    <n v="0"/>
    <x v="0"/>
    <s v="Bachelor"/>
    <x v="0"/>
    <x v="2"/>
  </r>
  <r>
    <n v="18"/>
    <s v="Yes"/>
    <x v="1"/>
    <n v="1306"/>
    <x v="0"/>
    <n v="5"/>
    <n v="3"/>
    <s v="Marketing"/>
    <n v="614"/>
    <n v="2"/>
    <x v="1"/>
    <n v="69"/>
    <n v="3"/>
    <x v="1"/>
    <x v="6"/>
    <n v="2"/>
    <x v="0"/>
    <n v="1878"/>
    <n v="8059"/>
    <n v="1"/>
    <x v="0"/>
    <n v="14"/>
    <n v="3"/>
    <n v="4"/>
    <n v="0"/>
    <n v="0"/>
    <n v="3"/>
    <x v="1"/>
    <n v="0"/>
    <n v="0"/>
    <n v="0"/>
    <n v="0"/>
    <x v="3"/>
    <x v="2"/>
    <n v="1"/>
    <x v="2"/>
    <s v="Bachelor"/>
    <x v="1"/>
    <x v="1"/>
  </r>
  <r>
    <n v="40"/>
    <s v="No"/>
    <x v="2"/>
    <n v="1094"/>
    <x v="0"/>
    <n v="28"/>
    <n v="3"/>
    <s v="Other"/>
    <n v="615"/>
    <n v="3"/>
    <x v="1"/>
    <n v="58"/>
    <n v="1"/>
    <x v="2"/>
    <x v="0"/>
    <n v="1"/>
    <x v="2"/>
    <n v="10932"/>
    <n v="11373"/>
    <n v="3"/>
    <x v="1"/>
    <n v="15"/>
    <n v="3"/>
    <n v="3"/>
    <n v="1"/>
    <n v="20"/>
    <n v="2"/>
    <x v="1"/>
    <n v="1"/>
    <n v="0"/>
    <n v="0"/>
    <n v="1"/>
    <x v="0"/>
    <x v="0"/>
    <n v="0"/>
    <x v="2"/>
    <s v="Bachelor"/>
    <x v="3"/>
    <x v="1"/>
  </r>
  <r>
    <n v="41"/>
    <s v="No"/>
    <x v="2"/>
    <n v="509"/>
    <x v="1"/>
    <n v="2"/>
    <n v="4"/>
    <s v="Other"/>
    <n v="616"/>
    <n v="1"/>
    <x v="0"/>
    <n v="62"/>
    <n v="2"/>
    <x v="0"/>
    <x v="4"/>
    <n v="3"/>
    <x v="0"/>
    <n v="6811"/>
    <n v="2112"/>
    <n v="2"/>
    <x v="0"/>
    <n v="17"/>
    <n v="3"/>
    <n v="1"/>
    <n v="0"/>
    <n v="10"/>
    <n v="3"/>
    <x v="1"/>
    <n v="8"/>
    <n v="7"/>
    <n v="0"/>
    <n v="7"/>
    <x v="0"/>
    <x v="1"/>
    <n v="0"/>
    <x v="1"/>
    <s v="Master"/>
    <x v="2"/>
    <x v="1"/>
  </r>
  <r>
    <n v="26"/>
    <s v="No"/>
    <x v="0"/>
    <n v="775"/>
    <x v="0"/>
    <n v="29"/>
    <n v="2"/>
    <s v="Medical"/>
    <n v="618"/>
    <n v="1"/>
    <x v="1"/>
    <n v="45"/>
    <n v="3"/>
    <x v="0"/>
    <x v="0"/>
    <n v="3"/>
    <x v="2"/>
    <n v="4306"/>
    <n v="4267"/>
    <n v="5"/>
    <x v="1"/>
    <n v="12"/>
    <n v="3"/>
    <n v="1"/>
    <n v="2"/>
    <n v="8"/>
    <n v="5"/>
    <x v="1"/>
    <n v="0"/>
    <n v="0"/>
    <n v="0"/>
    <n v="0"/>
    <x v="2"/>
    <x v="3"/>
    <n v="0"/>
    <x v="2"/>
    <s v="College"/>
    <x v="2"/>
    <x v="1"/>
  </r>
  <r>
    <n v="35"/>
    <s v="No"/>
    <x v="0"/>
    <n v="195"/>
    <x v="0"/>
    <n v="1"/>
    <n v="3"/>
    <s v="Medical"/>
    <n v="620"/>
    <n v="1"/>
    <x v="0"/>
    <n v="80"/>
    <n v="3"/>
    <x v="0"/>
    <x v="0"/>
    <n v="3"/>
    <x v="0"/>
    <n v="4859"/>
    <n v="6698"/>
    <n v="1"/>
    <x v="1"/>
    <n v="16"/>
    <n v="3"/>
    <n v="4"/>
    <n v="0"/>
    <n v="5"/>
    <n v="3"/>
    <x v="1"/>
    <n v="5"/>
    <n v="4"/>
    <n v="0"/>
    <n v="3"/>
    <x v="2"/>
    <x v="2"/>
    <n v="0"/>
    <x v="2"/>
    <s v="Bachelor"/>
    <x v="2"/>
    <x v="1"/>
  </r>
  <r>
    <n v="34"/>
    <s v="No"/>
    <x v="0"/>
    <n v="258"/>
    <x v="0"/>
    <n v="21"/>
    <n v="4"/>
    <s v="Life Sciences"/>
    <n v="621"/>
    <n v="4"/>
    <x v="1"/>
    <n v="74"/>
    <n v="4"/>
    <x v="0"/>
    <x v="0"/>
    <n v="4"/>
    <x v="0"/>
    <n v="5337"/>
    <n v="19921"/>
    <n v="1"/>
    <x v="1"/>
    <n v="12"/>
    <n v="3"/>
    <n v="4"/>
    <n v="0"/>
    <n v="10"/>
    <n v="3"/>
    <x v="1"/>
    <n v="10"/>
    <n v="7"/>
    <n v="5"/>
    <n v="7"/>
    <x v="2"/>
    <x v="0"/>
    <n v="0"/>
    <x v="1"/>
    <s v="Master"/>
    <x v="0"/>
    <x v="1"/>
  </r>
  <r>
    <n v="26"/>
    <s v="Yes"/>
    <x v="0"/>
    <n v="471"/>
    <x v="1"/>
    <n v="24"/>
    <n v="3"/>
    <s v="Technical Degree"/>
    <n v="622"/>
    <n v="3"/>
    <x v="1"/>
    <n v="66"/>
    <n v="1"/>
    <x v="1"/>
    <x v="2"/>
    <n v="4"/>
    <x v="0"/>
    <n v="2340"/>
    <n v="23213"/>
    <n v="1"/>
    <x v="0"/>
    <n v="18"/>
    <n v="3"/>
    <n v="2"/>
    <n v="0"/>
    <n v="1"/>
    <n v="3"/>
    <x v="0"/>
    <n v="1"/>
    <n v="0"/>
    <n v="0"/>
    <n v="0"/>
    <x v="2"/>
    <x v="0"/>
    <n v="1"/>
    <x v="0"/>
    <s v="Bachelor"/>
    <x v="0"/>
    <x v="0"/>
  </r>
  <r>
    <n v="37"/>
    <s v="No"/>
    <x v="0"/>
    <n v="799"/>
    <x v="1"/>
    <n v="1"/>
    <n v="3"/>
    <s v="Technical Degree"/>
    <n v="623"/>
    <n v="2"/>
    <x v="0"/>
    <n v="59"/>
    <n v="3"/>
    <x v="2"/>
    <x v="3"/>
    <n v="4"/>
    <x v="0"/>
    <n v="7491"/>
    <n v="23848"/>
    <n v="4"/>
    <x v="1"/>
    <n v="17"/>
    <n v="3"/>
    <n v="4"/>
    <n v="0"/>
    <n v="12"/>
    <n v="3"/>
    <x v="3"/>
    <n v="6"/>
    <n v="5"/>
    <n v="1"/>
    <n v="2"/>
    <x v="0"/>
    <x v="0"/>
    <n v="0"/>
    <x v="1"/>
    <s v="Bachelor"/>
    <x v="0"/>
    <x v="3"/>
  </r>
  <r>
    <n v="46"/>
    <s v="No"/>
    <x v="1"/>
    <n v="1034"/>
    <x v="1"/>
    <n v="18"/>
    <n v="1"/>
    <s v="Medical"/>
    <n v="624"/>
    <n v="1"/>
    <x v="0"/>
    <n v="86"/>
    <n v="3"/>
    <x v="2"/>
    <x v="4"/>
    <n v="3"/>
    <x v="1"/>
    <n v="10527"/>
    <n v="8984"/>
    <n v="5"/>
    <x v="1"/>
    <n v="11"/>
    <n v="3"/>
    <n v="4"/>
    <n v="0"/>
    <n v="28"/>
    <n v="3"/>
    <x v="2"/>
    <n v="2"/>
    <n v="2"/>
    <n v="1"/>
    <n v="2"/>
    <x v="1"/>
    <x v="2"/>
    <n v="0"/>
    <x v="0"/>
    <s v="Below College"/>
    <x v="2"/>
    <x v="2"/>
  </r>
  <r>
    <n v="41"/>
    <s v="No"/>
    <x v="0"/>
    <n v="1276"/>
    <x v="0"/>
    <n v="2"/>
    <n v="5"/>
    <s v="Life Sciences"/>
    <n v="625"/>
    <n v="2"/>
    <x v="0"/>
    <n v="91"/>
    <n v="3"/>
    <x v="3"/>
    <x v="5"/>
    <n v="1"/>
    <x v="1"/>
    <n v="16595"/>
    <n v="5626"/>
    <n v="7"/>
    <x v="1"/>
    <n v="16"/>
    <n v="3"/>
    <n v="2"/>
    <n v="1"/>
    <n v="22"/>
    <n v="2"/>
    <x v="1"/>
    <n v="18"/>
    <n v="16"/>
    <n v="11"/>
    <n v="8"/>
    <x v="0"/>
    <x v="3"/>
    <n v="0"/>
    <x v="3"/>
    <s v="Doctor"/>
    <x v="3"/>
    <x v="1"/>
  </r>
  <r>
    <n v="37"/>
    <s v="No"/>
    <x v="2"/>
    <n v="142"/>
    <x v="0"/>
    <n v="9"/>
    <n v="4"/>
    <s v="Medical"/>
    <n v="626"/>
    <n v="1"/>
    <x v="1"/>
    <n v="69"/>
    <n v="3"/>
    <x v="2"/>
    <x v="0"/>
    <n v="2"/>
    <x v="2"/>
    <n v="8834"/>
    <n v="24666"/>
    <n v="1"/>
    <x v="1"/>
    <n v="13"/>
    <n v="3"/>
    <n v="4"/>
    <n v="1"/>
    <n v="9"/>
    <n v="6"/>
    <x v="1"/>
    <n v="9"/>
    <n v="5"/>
    <n v="7"/>
    <n v="7"/>
    <x v="0"/>
    <x v="0"/>
    <n v="0"/>
    <x v="1"/>
    <s v="Master"/>
    <x v="1"/>
    <x v="1"/>
  </r>
  <r>
    <n v="52"/>
    <s v="No"/>
    <x v="0"/>
    <n v="956"/>
    <x v="1"/>
    <n v="6"/>
    <n v="2"/>
    <s v="Technical Degree"/>
    <n v="630"/>
    <n v="4"/>
    <x v="1"/>
    <n v="78"/>
    <n v="3"/>
    <x v="0"/>
    <x v="1"/>
    <n v="1"/>
    <x v="2"/>
    <n v="5577"/>
    <n v="22087"/>
    <n v="3"/>
    <x v="0"/>
    <n v="12"/>
    <n v="3"/>
    <n v="2"/>
    <n v="2"/>
    <n v="18"/>
    <n v="3"/>
    <x v="1"/>
    <n v="10"/>
    <n v="9"/>
    <n v="6"/>
    <n v="9"/>
    <x v="1"/>
    <x v="0"/>
    <n v="0"/>
    <x v="1"/>
    <s v="College"/>
    <x v="3"/>
    <x v="1"/>
  </r>
  <r>
    <n v="32"/>
    <s v="Yes"/>
    <x v="2"/>
    <n v="1474"/>
    <x v="0"/>
    <n v="11"/>
    <n v="4"/>
    <s v="Other"/>
    <n v="631"/>
    <n v="4"/>
    <x v="1"/>
    <n v="60"/>
    <n v="4"/>
    <x v="0"/>
    <x v="0"/>
    <n v="3"/>
    <x v="1"/>
    <n v="4707"/>
    <n v="23914"/>
    <n v="8"/>
    <x v="1"/>
    <n v="12"/>
    <n v="3"/>
    <n v="4"/>
    <n v="0"/>
    <n v="6"/>
    <n v="2"/>
    <x v="1"/>
    <n v="4"/>
    <n v="2"/>
    <n v="1"/>
    <n v="2"/>
    <x v="2"/>
    <x v="0"/>
    <n v="1"/>
    <x v="2"/>
    <s v="Master"/>
    <x v="2"/>
    <x v="1"/>
  </r>
  <r>
    <n v="24"/>
    <s v="No"/>
    <x v="1"/>
    <n v="535"/>
    <x v="0"/>
    <n v="24"/>
    <n v="3"/>
    <s v="Medical"/>
    <n v="632"/>
    <n v="4"/>
    <x v="1"/>
    <n v="38"/>
    <n v="3"/>
    <x v="1"/>
    <x v="6"/>
    <n v="4"/>
    <x v="1"/>
    <n v="2400"/>
    <n v="5530"/>
    <n v="0"/>
    <x v="1"/>
    <n v="13"/>
    <n v="3"/>
    <n v="3"/>
    <n v="2"/>
    <n v="3"/>
    <n v="3"/>
    <x v="1"/>
    <n v="2"/>
    <n v="2"/>
    <n v="2"/>
    <n v="1"/>
    <x v="3"/>
    <x v="3"/>
    <n v="0"/>
    <x v="2"/>
    <s v="Bachelor"/>
    <x v="0"/>
    <x v="1"/>
  </r>
  <r>
    <n v="38"/>
    <s v="No"/>
    <x v="0"/>
    <n v="1495"/>
    <x v="1"/>
    <n v="10"/>
    <n v="3"/>
    <s v="Medical"/>
    <n v="634"/>
    <n v="3"/>
    <x v="0"/>
    <n v="76"/>
    <n v="3"/>
    <x v="0"/>
    <x v="4"/>
    <n v="3"/>
    <x v="1"/>
    <n v="9824"/>
    <n v="22174"/>
    <n v="3"/>
    <x v="1"/>
    <n v="19"/>
    <n v="3"/>
    <n v="3"/>
    <n v="1"/>
    <n v="18"/>
    <n v="4"/>
    <x v="1"/>
    <n v="1"/>
    <n v="0"/>
    <n v="0"/>
    <n v="0"/>
    <x v="0"/>
    <x v="0"/>
    <n v="0"/>
    <x v="2"/>
    <s v="Bachelor"/>
    <x v="2"/>
    <x v="1"/>
  </r>
  <r>
    <n v="37"/>
    <s v="No"/>
    <x v="0"/>
    <n v="446"/>
    <x v="1"/>
    <n v="1"/>
    <n v="4"/>
    <s v="Life Sciences"/>
    <n v="635"/>
    <n v="2"/>
    <x v="0"/>
    <n v="65"/>
    <n v="3"/>
    <x v="0"/>
    <x v="3"/>
    <n v="2"/>
    <x v="1"/>
    <n v="6447"/>
    <n v="15701"/>
    <n v="6"/>
    <x v="1"/>
    <n v="12"/>
    <n v="3"/>
    <n v="2"/>
    <n v="1"/>
    <n v="8"/>
    <n v="2"/>
    <x v="2"/>
    <n v="6"/>
    <n v="5"/>
    <n v="4"/>
    <n v="3"/>
    <x v="0"/>
    <x v="0"/>
    <n v="0"/>
    <x v="0"/>
    <s v="Master"/>
    <x v="1"/>
    <x v="2"/>
  </r>
  <r>
    <n v="49"/>
    <s v="No"/>
    <x v="0"/>
    <n v="1245"/>
    <x v="1"/>
    <n v="18"/>
    <n v="4"/>
    <s v="Life Sciences"/>
    <n v="638"/>
    <n v="4"/>
    <x v="1"/>
    <n v="58"/>
    <n v="2"/>
    <x v="4"/>
    <x v="7"/>
    <n v="3"/>
    <x v="2"/>
    <n v="19502"/>
    <n v="2125"/>
    <n v="1"/>
    <x v="0"/>
    <n v="17"/>
    <n v="3"/>
    <n v="3"/>
    <n v="1"/>
    <n v="31"/>
    <n v="5"/>
    <x v="1"/>
    <n v="31"/>
    <n v="9"/>
    <n v="0"/>
    <n v="9"/>
    <x v="1"/>
    <x v="1"/>
    <n v="0"/>
    <x v="3"/>
    <s v="Master"/>
    <x v="2"/>
    <x v="1"/>
  </r>
  <r>
    <n v="24"/>
    <s v="No"/>
    <x v="0"/>
    <n v="691"/>
    <x v="1"/>
    <n v="23"/>
    <n v="3"/>
    <s v="Medical"/>
    <n v="639"/>
    <n v="2"/>
    <x v="1"/>
    <n v="89"/>
    <n v="4"/>
    <x v="1"/>
    <x v="1"/>
    <n v="4"/>
    <x v="1"/>
    <n v="2725"/>
    <n v="21630"/>
    <n v="1"/>
    <x v="0"/>
    <n v="11"/>
    <n v="3"/>
    <n v="2"/>
    <n v="2"/>
    <n v="6"/>
    <n v="3"/>
    <x v="1"/>
    <n v="6"/>
    <n v="5"/>
    <n v="1"/>
    <n v="4"/>
    <x v="3"/>
    <x v="0"/>
    <n v="0"/>
    <x v="1"/>
    <s v="Bachelor"/>
    <x v="0"/>
    <x v="1"/>
  </r>
  <r>
    <n v="26"/>
    <s v="No"/>
    <x v="0"/>
    <n v="703"/>
    <x v="0"/>
    <n v="28"/>
    <n v="2"/>
    <s v="Marketing"/>
    <n v="641"/>
    <n v="1"/>
    <x v="1"/>
    <n v="66"/>
    <n v="3"/>
    <x v="0"/>
    <x v="0"/>
    <n v="2"/>
    <x v="1"/>
    <n v="6272"/>
    <n v="7428"/>
    <n v="1"/>
    <x v="1"/>
    <n v="20"/>
    <n v="4"/>
    <n v="4"/>
    <n v="2"/>
    <n v="6"/>
    <n v="5"/>
    <x v="3"/>
    <n v="5"/>
    <n v="3"/>
    <n v="1"/>
    <n v="4"/>
    <x v="2"/>
    <x v="2"/>
    <n v="0"/>
    <x v="2"/>
    <s v="College"/>
    <x v="1"/>
    <x v="3"/>
  </r>
  <r>
    <n v="24"/>
    <s v="No"/>
    <x v="0"/>
    <n v="823"/>
    <x v="1"/>
    <n v="17"/>
    <n v="2"/>
    <s v="Other"/>
    <n v="643"/>
    <n v="4"/>
    <x v="1"/>
    <n v="94"/>
    <n v="2"/>
    <x v="1"/>
    <x v="2"/>
    <n v="2"/>
    <x v="1"/>
    <n v="2127"/>
    <n v="9100"/>
    <n v="1"/>
    <x v="1"/>
    <n v="21"/>
    <n v="4"/>
    <n v="4"/>
    <n v="1"/>
    <n v="1"/>
    <n v="2"/>
    <x v="1"/>
    <n v="1"/>
    <n v="0"/>
    <n v="0"/>
    <n v="0"/>
    <x v="3"/>
    <x v="2"/>
    <n v="0"/>
    <x v="2"/>
    <s v="College"/>
    <x v="1"/>
    <x v="1"/>
  </r>
  <r>
    <n v="50"/>
    <s v="No"/>
    <x v="1"/>
    <n v="1246"/>
    <x v="2"/>
    <n v="3"/>
    <n v="3"/>
    <s v="Medical"/>
    <n v="644"/>
    <n v="1"/>
    <x v="1"/>
    <n v="99"/>
    <n v="3"/>
    <x v="4"/>
    <x v="5"/>
    <n v="2"/>
    <x v="1"/>
    <n v="18200"/>
    <n v="7999"/>
    <n v="1"/>
    <x v="1"/>
    <n v="11"/>
    <n v="3"/>
    <n v="3"/>
    <n v="1"/>
    <n v="32"/>
    <n v="2"/>
    <x v="1"/>
    <n v="32"/>
    <n v="5"/>
    <n v="10"/>
    <n v="7"/>
    <x v="1"/>
    <x v="2"/>
    <n v="0"/>
    <x v="3"/>
    <s v="Bachelor"/>
    <x v="1"/>
    <x v="1"/>
  </r>
  <r>
    <n v="25"/>
    <s v="No"/>
    <x v="0"/>
    <n v="622"/>
    <x v="0"/>
    <n v="13"/>
    <n v="1"/>
    <s v="Medical"/>
    <n v="645"/>
    <n v="2"/>
    <x v="1"/>
    <n v="40"/>
    <n v="3"/>
    <x v="1"/>
    <x v="6"/>
    <n v="3"/>
    <x v="1"/>
    <n v="2096"/>
    <n v="26376"/>
    <n v="1"/>
    <x v="1"/>
    <n v="11"/>
    <n v="3"/>
    <n v="3"/>
    <n v="0"/>
    <n v="7"/>
    <n v="1"/>
    <x v="1"/>
    <n v="7"/>
    <n v="4"/>
    <n v="0"/>
    <n v="6"/>
    <x v="3"/>
    <x v="0"/>
    <n v="0"/>
    <x v="1"/>
    <s v="Below College"/>
    <x v="2"/>
    <x v="1"/>
  </r>
  <r>
    <n v="24"/>
    <s v="Yes"/>
    <x v="1"/>
    <n v="1287"/>
    <x v="1"/>
    <n v="7"/>
    <n v="3"/>
    <s v="Life Sciences"/>
    <n v="647"/>
    <n v="1"/>
    <x v="0"/>
    <n v="55"/>
    <n v="3"/>
    <x v="1"/>
    <x v="2"/>
    <n v="3"/>
    <x v="1"/>
    <n v="2886"/>
    <n v="14168"/>
    <n v="1"/>
    <x v="0"/>
    <n v="16"/>
    <n v="3"/>
    <n v="4"/>
    <n v="1"/>
    <n v="6"/>
    <n v="4"/>
    <x v="1"/>
    <n v="6"/>
    <n v="3"/>
    <n v="1"/>
    <n v="2"/>
    <x v="3"/>
    <x v="0"/>
    <n v="1"/>
    <x v="1"/>
    <s v="Bachelor"/>
    <x v="2"/>
    <x v="1"/>
  </r>
  <r>
    <n v="30"/>
    <s v="Yes"/>
    <x v="1"/>
    <n v="448"/>
    <x v="0"/>
    <n v="12"/>
    <n v="4"/>
    <s v="Life Sciences"/>
    <n v="648"/>
    <n v="2"/>
    <x v="1"/>
    <n v="74"/>
    <n v="2"/>
    <x v="1"/>
    <x v="6"/>
    <n v="1"/>
    <x v="1"/>
    <n v="2033"/>
    <n v="14470"/>
    <n v="1"/>
    <x v="1"/>
    <n v="18"/>
    <n v="3"/>
    <n v="3"/>
    <n v="1"/>
    <n v="1"/>
    <n v="2"/>
    <x v="3"/>
    <n v="1"/>
    <n v="0"/>
    <n v="0"/>
    <n v="0"/>
    <x v="2"/>
    <x v="0"/>
    <n v="1"/>
    <x v="2"/>
    <s v="Master"/>
    <x v="3"/>
    <x v="3"/>
  </r>
  <r>
    <n v="34"/>
    <s v="No"/>
    <x v="0"/>
    <n v="254"/>
    <x v="1"/>
    <n v="1"/>
    <n v="2"/>
    <s v="Life Sciences"/>
    <n v="649"/>
    <n v="2"/>
    <x v="1"/>
    <n v="83"/>
    <n v="2"/>
    <x v="1"/>
    <x v="1"/>
    <n v="4"/>
    <x v="1"/>
    <n v="3622"/>
    <n v="22794"/>
    <n v="1"/>
    <x v="0"/>
    <n v="13"/>
    <n v="3"/>
    <n v="4"/>
    <n v="1"/>
    <n v="6"/>
    <n v="3"/>
    <x v="1"/>
    <n v="6"/>
    <n v="5"/>
    <n v="1"/>
    <n v="3"/>
    <x v="2"/>
    <x v="0"/>
    <n v="0"/>
    <x v="1"/>
    <s v="College"/>
    <x v="0"/>
    <x v="1"/>
  </r>
  <r>
    <n v="31"/>
    <s v="Yes"/>
    <x v="0"/>
    <n v="1365"/>
    <x v="0"/>
    <n v="13"/>
    <n v="4"/>
    <s v="Medical"/>
    <n v="650"/>
    <n v="2"/>
    <x v="1"/>
    <n v="46"/>
    <n v="3"/>
    <x v="0"/>
    <x v="0"/>
    <n v="1"/>
    <x v="2"/>
    <n v="4233"/>
    <n v="11512"/>
    <n v="2"/>
    <x v="1"/>
    <n v="17"/>
    <n v="3"/>
    <n v="3"/>
    <n v="0"/>
    <n v="9"/>
    <n v="2"/>
    <x v="0"/>
    <n v="3"/>
    <n v="1"/>
    <n v="1"/>
    <n v="2"/>
    <x v="2"/>
    <x v="0"/>
    <n v="1"/>
    <x v="0"/>
    <s v="Master"/>
    <x v="3"/>
    <x v="0"/>
  </r>
  <r>
    <n v="35"/>
    <s v="No"/>
    <x v="0"/>
    <n v="538"/>
    <x v="1"/>
    <n v="25"/>
    <n v="2"/>
    <s v="Other"/>
    <n v="652"/>
    <n v="1"/>
    <x v="1"/>
    <n v="54"/>
    <n v="2"/>
    <x v="0"/>
    <x v="2"/>
    <n v="4"/>
    <x v="0"/>
    <n v="3681"/>
    <n v="14004"/>
    <n v="4"/>
    <x v="1"/>
    <n v="14"/>
    <n v="3"/>
    <n v="4"/>
    <n v="0"/>
    <n v="9"/>
    <n v="3"/>
    <x v="1"/>
    <n v="3"/>
    <n v="2"/>
    <n v="0"/>
    <n v="2"/>
    <x v="2"/>
    <x v="0"/>
    <n v="0"/>
    <x v="2"/>
    <s v="College"/>
    <x v="0"/>
    <x v="1"/>
  </r>
  <r>
    <n v="31"/>
    <s v="No"/>
    <x v="0"/>
    <n v="525"/>
    <x v="0"/>
    <n v="6"/>
    <n v="4"/>
    <s v="Medical"/>
    <n v="653"/>
    <n v="1"/>
    <x v="1"/>
    <n v="66"/>
    <n v="4"/>
    <x v="0"/>
    <x v="0"/>
    <n v="4"/>
    <x v="2"/>
    <n v="5460"/>
    <n v="6219"/>
    <n v="4"/>
    <x v="1"/>
    <n v="22"/>
    <n v="4"/>
    <n v="4"/>
    <n v="2"/>
    <n v="13"/>
    <n v="4"/>
    <x v="3"/>
    <n v="7"/>
    <n v="7"/>
    <n v="5"/>
    <n v="7"/>
    <x v="2"/>
    <x v="2"/>
    <n v="0"/>
    <x v="1"/>
    <s v="Master"/>
    <x v="0"/>
    <x v="3"/>
  </r>
  <r>
    <n v="27"/>
    <s v="No"/>
    <x v="0"/>
    <n v="798"/>
    <x v="1"/>
    <n v="6"/>
    <n v="4"/>
    <s v="Medical"/>
    <n v="655"/>
    <n v="1"/>
    <x v="0"/>
    <n v="66"/>
    <n v="2"/>
    <x v="1"/>
    <x v="1"/>
    <n v="3"/>
    <x v="2"/>
    <n v="2187"/>
    <n v="5013"/>
    <n v="0"/>
    <x v="1"/>
    <n v="12"/>
    <n v="3"/>
    <n v="3"/>
    <n v="2"/>
    <n v="6"/>
    <n v="5"/>
    <x v="2"/>
    <n v="5"/>
    <n v="3"/>
    <n v="0"/>
    <n v="3"/>
    <x v="2"/>
    <x v="3"/>
    <n v="0"/>
    <x v="0"/>
    <s v="Master"/>
    <x v="2"/>
    <x v="2"/>
  </r>
  <r>
    <n v="37"/>
    <s v="No"/>
    <x v="0"/>
    <n v="558"/>
    <x v="0"/>
    <n v="2"/>
    <n v="3"/>
    <s v="Marketing"/>
    <n v="656"/>
    <n v="4"/>
    <x v="1"/>
    <n v="75"/>
    <n v="3"/>
    <x v="0"/>
    <x v="0"/>
    <n v="3"/>
    <x v="1"/>
    <n v="9602"/>
    <n v="3010"/>
    <n v="4"/>
    <x v="0"/>
    <n v="11"/>
    <n v="3"/>
    <n v="3"/>
    <n v="1"/>
    <n v="17"/>
    <n v="3"/>
    <x v="2"/>
    <n v="3"/>
    <n v="0"/>
    <n v="1"/>
    <n v="0"/>
    <x v="0"/>
    <x v="3"/>
    <n v="0"/>
    <x v="0"/>
    <s v="Bachelor"/>
    <x v="2"/>
    <x v="2"/>
  </r>
  <r>
    <n v="20"/>
    <s v="No"/>
    <x v="0"/>
    <n v="959"/>
    <x v="1"/>
    <n v="1"/>
    <n v="3"/>
    <s v="Life Sciences"/>
    <n v="657"/>
    <n v="4"/>
    <x v="0"/>
    <n v="83"/>
    <n v="2"/>
    <x v="1"/>
    <x v="1"/>
    <n v="2"/>
    <x v="0"/>
    <n v="2836"/>
    <n v="11757"/>
    <n v="1"/>
    <x v="1"/>
    <n v="13"/>
    <n v="3"/>
    <n v="4"/>
    <n v="0"/>
    <n v="1"/>
    <n v="0"/>
    <x v="3"/>
    <n v="1"/>
    <n v="0"/>
    <n v="0"/>
    <n v="0"/>
    <x v="3"/>
    <x v="0"/>
    <n v="0"/>
    <x v="2"/>
    <s v="Bachelor"/>
    <x v="1"/>
    <x v="3"/>
  </r>
  <r>
    <n v="42"/>
    <s v="No"/>
    <x v="0"/>
    <n v="622"/>
    <x v="1"/>
    <n v="2"/>
    <n v="4"/>
    <s v="Life Sciences"/>
    <n v="659"/>
    <n v="3"/>
    <x v="0"/>
    <n v="81"/>
    <n v="3"/>
    <x v="0"/>
    <x v="4"/>
    <n v="4"/>
    <x v="1"/>
    <n v="4089"/>
    <n v="5718"/>
    <n v="1"/>
    <x v="1"/>
    <n v="13"/>
    <n v="3"/>
    <n v="2"/>
    <n v="2"/>
    <n v="10"/>
    <n v="4"/>
    <x v="1"/>
    <n v="10"/>
    <n v="2"/>
    <n v="2"/>
    <n v="2"/>
    <x v="0"/>
    <x v="3"/>
    <n v="0"/>
    <x v="1"/>
    <s v="Master"/>
    <x v="0"/>
    <x v="1"/>
  </r>
  <r>
    <n v="43"/>
    <s v="No"/>
    <x v="0"/>
    <n v="782"/>
    <x v="1"/>
    <n v="6"/>
    <n v="4"/>
    <s v="Other"/>
    <n v="661"/>
    <n v="2"/>
    <x v="1"/>
    <n v="50"/>
    <n v="2"/>
    <x v="3"/>
    <x v="7"/>
    <n v="4"/>
    <x v="2"/>
    <n v="16627"/>
    <n v="2671"/>
    <n v="4"/>
    <x v="0"/>
    <n v="14"/>
    <n v="3"/>
    <n v="3"/>
    <n v="1"/>
    <n v="21"/>
    <n v="3"/>
    <x v="2"/>
    <n v="1"/>
    <n v="0"/>
    <n v="0"/>
    <n v="0"/>
    <x v="0"/>
    <x v="1"/>
    <n v="0"/>
    <x v="0"/>
    <s v="Master"/>
    <x v="0"/>
    <x v="2"/>
  </r>
  <r>
    <n v="38"/>
    <s v="No"/>
    <x v="0"/>
    <n v="362"/>
    <x v="1"/>
    <n v="1"/>
    <n v="1"/>
    <s v="Life Sciences"/>
    <n v="662"/>
    <n v="3"/>
    <x v="0"/>
    <n v="43"/>
    <n v="3"/>
    <x v="1"/>
    <x v="1"/>
    <n v="1"/>
    <x v="0"/>
    <n v="2619"/>
    <n v="14561"/>
    <n v="3"/>
    <x v="1"/>
    <n v="17"/>
    <n v="3"/>
    <n v="4"/>
    <n v="0"/>
    <n v="8"/>
    <n v="3"/>
    <x v="2"/>
    <n v="0"/>
    <n v="0"/>
    <n v="0"/>
    <n v="0"/>
    <x v="0"/>
    <x v="0"/>
    <n v="0"/>
    <x v="0"/>
    <s v="Below College"/>
    <x v="3"/>
    <x v="2"/>
  </r>
  <r>
    <n v="43"/>
    <s v="No"/>
    <x v="1"/>
    <n v="1001"/>
    <x v="1"/>
    <n v="9"/>
    <n v="5"/>
    <s v="Medical"/>
    <n v="663"/>
    <n v="4"/>
    <x v="1"/>
    <n v="72"/>
    <n v="3"/>
    <x v="0"/>
    <x v="2"/>
    <n v="3"/>
    <x v="2"/>
    <n v="5679"/>
    <n v="19627"/>
    <n v="3"/>
    <x v="0"/>
    <n v="13"/>
    <n v="3"/>
    <n v="2"/>
    <n v="1"/>
    <n v="10"/>
    <n v="3"/>
    <x v="1"/>
    <n v="8"/>
    <n v="7"/>
    <n v="4"/>
    <n v="7"/>
    <x v="0"/>
    <x v="0"/>
    <n v="0"/>
    <x v="1"/>
    <s v="Doctor"/>
    <x v="2"/>
    <x v="1"/>
  </r>
  <r>
    <n v="48"/>
    <s v="No"/>
    <x v="0"/>
    <n v="1236"/>
    <x v="1"/>
    <n v="1"/>
    <n v="4"/>
    <s v="Life Sciences"/>
    <n v="664"/>
    <n v="4"/>
    <x v="0"/>
    <n v="40"/>
    <n v="2"/>
    <x v="3"/>
    <x v="5"/>
    <n v="1"/>
    <x v="1"/>
    <n v="15402"/>
    <n v="17997"/>
    <n v="7"/>
    <x v="1"/>
    <n v="11"/>
    <n v="3"/>
    <n v="1"/>
    <n v="1"/>
    <n v="21"/>
    <n v="3"/>
    <x v="0"/>
    <n v="3"/>
    <n v="2"/>
    <n v="0"/>
    <n v="2"/>
    <x v="1"/>
    <x v="0"/>
    <n v="0"/>
    <x v="0"/>
    <s v="Master"/>
    <x v="3"/>
    <x v="0"/>
  </r>
  <r>
    <n v="44"/>
    <s v="No"/>
    <x v="0"/>
    <n v="1112"/>
    <x v="2"/>
    <n v="1"/>
    <n v="4"/>
    <s v="Life Sciences"/>
    <n v="665"/>
    <n v="1"/>
    <x v="0"/>
    <n v="50"/>
    <n v="2"/>
    <x v="0"/>
    <x v="8"/>
    <n v="3"/>
    <x v="0"/>
    <n v="5985"/>
    <n v="26894"/>
    <n v="4"/>
    <x v="1"/>
    <n v="11"/>
    <n v="3"/>
    <n v="2"/>
    <n v="0"/>
    <n v="10"/>
    <n v="1"/>
    <x v="3"/>
    <n v="2"/>
    <n v="2"/>
    <n v="0"/>
    <n v="2"/>
    <x v="0"/>
    <x v="0"/>
    <n v="0"/>
    <x v="2"/>
    <s v="Master"/>
    <x v="2"/>
    <x v="3"/>
  </r>
  <r>
    <n v="34"/>
    <s v="No"/>
    <x v="0"/>
    <n v="204"/>
    <x v="0"/>
    <n v="14"/>
    <n v="3"/>
    <s v="Technical Degree"/>
    <n v="666"/>
    <n v="3"/>
    <x v="0"/>
    <n v="31"/>
    <n v="3"/>
    <x v="1"/>
    <x v="6"/>
    <n v="3"/>
    <x v="2"/>
    <n v="2579"/>
    <n v="2912"/>
    <n v="1"/>
    <x v="0"/>
    <n v="18"/>
    <n v="3"/>
    <n v="4"/>
    <n v="2"/>
    <n v="8"/>
    <n v="3"/>
    <x v="1"/>
    <n v="8"/>
    <n v="2"/>
    <n v="0"/>
    <n v="6"/>
    <x v="2"/>
    <x v="1"/>
    <n v="0"/>
    <x v="1"/>
    <s v="Bachelor"/>
    <x v="2"/>
    <x v="1"/>
  </r>
  <r>
    <n v="27"/>
    <s v="Yes"/>
    <x v="0"/>
    <n v="1420"/>
    <x v="0"/>
    <n v="2"/>
    <n v="1"/>
    <s v="Marketing"/>
    <n v="667"/>
    <n v="3"/>
    <x v="1"/>
    <n v="85"/>
    <n v="3"/>
    <x v="1"/>
    <x v="6"/>
    <n v="1"/>
    <x v="2"/>
    <n v="3041"/>
    <n v="16346"/>
    <n v="0"/>
    <x v="1"/>
    <n v="11"/>
    <n v="3"/>
    <n v="2"/>
    <n v="1"/>
    <n v="5"/>
    <n v="3"/>
    <x v="1"/>
    <n v="4"/>
    <n v="3"/>
    <n v="0"/>
    <n v="2"/>
    <x v="2"/>
    <x v="0"/>
    <n v="1"/>
    <x v="2"/>
    <s v="Below College"/>
    <x v="3"/>
    <x v="1"/>
  </r>
  <r>
    <n v="21"/>
    <s v="No"/>
    <x v="0"/>
    <n v="1343"/>
    <x v="0"/>
    <n v="22"/>
    <n v="1"/>
    <s v="Technical Degree"/>
    <n v="669"/>
    <n v="3"/>
    <x v="1"/>
    <n v="49"/>
    <n v="3"/>
    <x v="1"/>
    <x v="6"/>
    <n v="3"/>
    <x v="0"/>
    <n v="3447"/>
    <n v="24444"/>
    <n v="1"/>
    <x v="1"/>
    <n v="11"/>
    <n v="3"/>
    <n v="3"/>
    <n v="0"/>
    <n v="3"/>
    <n v="2"/>
    <x v="1"/>
    <n v="3"/>
    <n v="2"/>
    <n v="1"/>
    <n v="2"/>
    <x v="3"/>
    <x v="0"/>
    <n v="0"/>
    <x v="2"/>
    <s v="Below College"/>
    <x v="2"/>
    <x v="1"/>
  </r>
  <r>
    <n v="44"/>
    <s v="No"/>
    <x v="0"/>
    <n v="1315"/>
    <x v="1"/>
    <n v="3"/>
    <n v="4"/>
    <s v="Other"/>
    <n v="671"/>
    <n v="4"/>
    <x v="1"/>
    <n v="35"/>
    <n v="3"/>
    <x v="4"/>
    <x v="5"/>
    <n v="4"/>
    <x v="1"/>
    <n v="19513"/>
    <n v="9358"/>
    <n v="4"/>
    <x v="0"/>
    <n v="12"/>
    <n v="3"/>
    <n v="1"/>
    <n v="1"/>
    <n v="26"/>
    <n v="2"/>
    <x v="3"/>
    <n v="2"/>
    <n v="2"/>
    <n v="0"/>
    <n v="1"/>
    <x v="0"/>
    <x v="2"/>
    <n v="0"/>
    <x v="2"/>
    <s v="Master"/>
    <x v="0"/>
    <x v="3"/>
  </r>
  <r>
    <n v="22"/>
    <s v="No"/>
    <x v="0"/>
    <n v="604"/>
    <x v="1"/>
    <n v="6"/>
    <n v="1"/>
    <s v="Medical"/>
    <n v="675"/>
    <n v="1"/>
    <x v="1"/>
    <n v="69"/>
    <n v="3"/>
    <x v="1"/>
    <x v="1"/>
    <n v="3"/>
    <x v="1"/>
    <n v="2773"/>
    <n v="12145"/>
    <n v="0"/>
    <x v="1"/>
    <n v="20"/>
    <n v="4"/>
    <n v="4"/>
    <n v="0"/>
    <n v="3"/>
    <n v="3"/>
    <x v="1"/>
    <n v="2"/>
    <n v="2"/>
    <n v="2"/>
    <n v="2"/>
    <x v="3"/>
    <x v="0"/>
    <n v="0"/>
    <x v="2"/>
    <s v="Below College"/>
    <x v="2"/>
    <x v="1"/>
  </r>
  <r>
    <n v="33"/>
    <s v="No"/>
    <x v="0"/>
    <n v="1216"/>
    <x v="0"/>
    <n v="8"/>
    <n v="4"/>
    <s v="Marketing"/>
    <n v="677"/>
    <n v="3"/>
    <x v="1"/>
    <n v="39"/>
    <n v="3"/>
    <x v="0"/>
    <x v="0"/>
    <n v="3"/>
    <x v="2"/>
    <n v="7104"/>
    <n v="20431"/>
    <n v="0"/>
    <x v="1"/>
    <n v="12"/>
    <n v="3"/>
    <n v="4"/>
    <n v="0"/>
    <n v="6"/>
    <n v="3"/>
    <x v="1"/>
    <n v="5"/>
    <n v="0"/>
    <n v="1"/>
    <n v="2"/>
    <x v="2"/>
    <x v="0"/>
    <n v="0"/>
    <x v="2"/>
    <s v="Master"/>
    <x v="2"/>
    <x v="1"/>
  </r>
  <r>
    <n v="32"/>
    <s v="No"/>
    <x v="0"/>
    <n v="646"/>
    <x v="1"/>
    <n v="9"/>
    <n v="4"/>
    <s v="Life Sciences"/>
    <n v="679"/>
    <n v="1"/>
    <x v="0"/>
    <n v="92"/>
    <n v="3"/>
    <x v="0"/>
    <x v="1"/>
    <n v="4"/>
    <x v="1"/>
    <n v="6322"/>
    <n v="18089"/>
    <n v="1"/>
    <x v="0"/>
    <n v="12"/>
    <n v="3"/>
    <n v="4"/>
    <n v="1"/>
    <n v="6"/>
    <n v="2"/>
    <x v="2"/>
    <n v="6"/>
    <n v="4"/>
    <n v="0"/>
    <n v="5"/>
    <x v="2"/>
    <x v="0"/>
    <n v="0"/>
    <x v="0"/>
    <s v="Master"/>
    <x v="0"/>
    <x v="2"/>
  </r>
  <r>
    <n v="30"/>
    <s v="No"/>
    <x v="1"/>
    <n v="160"/>
    <x v="1"/>
    <n v="3"/>
    <n v="3"/>
    <s v="Medical"/>
    <n v="680"/>
    <n v="3"/>
    <x v="0"/>
    <n v="71"/>
    <n v="3"/>
    <x v="1"/>
    <x v="1"/>
    <n v="3"/>
    <x v="2"/>
    <n v="2083"/>
    <n v="22653"/>
    <n v="1"/>
    <x v="1"/>
    <n v="20"/>
    <n v="4"/>
    <n v="3"/>
    <n v="1"/>
    <n v="1"/>
    <n v="2"/>
    <x v="1"/>
    <n v="1"/>
    <n v="0"/>
    <n v="0"/>
    <n v="0"/>
    <x v="2"/>
    <x v="0"/>
    <n v="0"/>
    <x v="2"/>
    <s v="Bachelor"/>
    <x v="2"/>
    <x v="1"/>
  </r>
  <r>
    <n v="53"/>
    <s v="No"/>
    <x v="0"/>
    <n v="238"/>
    <x v="0"/>
    <n v="1"/>
    <n v="1"/>
    <s v="Medical"/>
    <n v="682"/>
    <n v="4"/>
    <x v="0"/>
    <n v="34"/>
    <n v="3"/>
    <x v="0"/>
    <x v="0"/>
    <n v="1"/>
    <x v="0"/>
    <n v="8381"/>
    <n v="7507"/>
    <n v="7"/>
    <x v="1"/>
    <n v="20"/>
    <n v="4"/>
    <n v="4"/>
    <n v="0"/>
    <n v="18"/>
    <n v="2"/>
    <x v="3"/>
    <n v="14"/>
    <n v="7"/>
    <n v="8"/>
    <n v="10"/>
    <x v="1"/>
    <x v="2"/>
    <n v="0"/>
    <x v="3"/>
    <s v="Below College"/>
    <x v="3"/>
    <x v="3"/>
  </r>
  <r>
    <n v="34"/>
    <s v="No"/>
    <x v="0"/>
    <n v="1397"/>
    <x v="1"/>
    <n v="1"/>
    <n v="5"/>
    <s v="Life Sciences"/>
    <n v="683"/>
    <n v="2"/>
    <x v="1"/>
    <n v="42"/>
    <n v="3"/>
    <x v="1"/>
    <x v="1"/>
    <n v="4"/>
    <x v="1"/>
    <n v="2691"/>
    <n v="7660"/>
    <n v="1"/>
    <x v="1"/>
    <n v="12"/>
    <n v="3"/>
    <n v="4"/>
    <n v="1"/>
    <n v="10"/>
    <n v="4"/>
    <x v="2"/>
    <n v="10"/>
    <n v="9"/>
    <n v="8"/>
    <n v="8"/>
    <x v="2"/>
    <x v="2"/>
    <n v="0"/>
    <x v="0"/>
    <s v="Doctor"/>
    <x v="0"/>
    <x v="2"/>
  </r>
  <r>
    <n v="45"/>
    <s v="Yes"/>
    <x v="1"/>
    <n v="306"/>
    <x v="0"/>
    <n v="26"/>
    <n v="4"/>
    <s v="Life Sciences"/>
    <n v="684"/>
    <n v="1"/>
    <x v="0"/>
    <n v="100"/>
    <n v="3"/>
    <x v="0"/>
    <x v="0"/>
    <n v="1"/>
    <x v="1"/>
    <n v="4286"/>
    <n v="5630"/>
    <n v="2"/>
    <x v="1"/>
    <n v="14"/>
    <n v="3"/>
    <n v="4"/>
    <n v="2"/>
    <n v="5"/>
    <n v="4"/>
    <x v="1"/>
    <n v="1"/>
    <n v="1"/>
    <n v="0"/>
    <n v="0"/>
    <x v="0"/>
    <x v="3"/>
    <n v="1"/>
    <x v="2"/>
    <s v="Master"/>
    <x v="3"/>
    <x v="1"/>
  </r>
  <r>
    <n v="26"/>
    <s v="No"/>
    <x v="0"/>
    <n v="991"/>
    <x v="1"/>
    <n v="6"/>
    <n v="3"/>
    <s v="Life Sciences"/>
    <n v="686"/>
    <n v="3"/>
    <x v="0"/>
    <n v="71"/>
    <n v="3"/>
    <x v="1"/>
    <x v="2"/>
    <n v="4"/>
    <x v="1"/>
    <n v="2659"/>
    <n v="17759"/>
    <n v="1"/>
    <x v="0"/>
    <n v="13"/>
    <n v="3"/>
    <n v="3"/>
    <n v="1"/>
    <n v="3"/>
    <n v="2"/>
    <x v="1"/>
    <n v="3"/>
    <n v="2"/>
    <n v="0"/>
    <n v="2"/>
    <x v="2"/>
    <x v="0"/>
    <n v="0"/>
    <x v="2"/>
    <s v="Bachelor"/>
    <x v="0"/>
    <x v="1"/>
  </r>
  <r>
    <n v="37"/>
    <s v="No"/>
    <x v="0"/>
    <n v="482"/>
    <x v="1"/>
    <n v="3"/>
    <n v="3"/>
    <s v="Other"/>
    <n v="689"/>
    <n v="3"/>
    <x v="1"/>
    <n v="36"/>
    <n v="3"/>
    <x v="2"/>
    <x v="3"/>
    <n v="3"/>
    <x v="1"/>
    <n v="9434"/>
    <n v="9606"/>
    <n v="1"/>
    <x v="1"/>
    <n v="15"/>
    <n v="3"/>
    <n v="3"/>
    <n v="1"/>
    <n v="10"/>
    <n v="2"/>
    <x v="1"/>
    <n v="10"/>
    <n v="7"/>
    <n v="7"/>
    <n v="8"/>
    <x v="0"/>
    <x v="2"/>
    <n v="0"/>
    <x v="1"/>
    <s v="Bachelor"/>
    <x v="2"/>
    <x v="1"/>
  </r>
  <r>
    <n v="29"/>
    <s v="No"/>
    <x v="0"/>
    <n v="1176"/>
    <x v="0"/>
    <n v="3"/>
    <n v="2"/>
    <s v="Medical"/>
    <n v="690"/>
    <n v="2"/>
    <x v="0"/>
    <n v="62"/>
    <n v="3"/>
    <x v="0"/>
    <x v="0"/>
    <n v="3"/>
    <x v="1"/>
    <n v="5561"/>
    <n v="3487"/>
    <n v="1"/>
    <x v="1"/>
    <n v="14"/>
    <n v="3"/>
    <n v="1"/>
    <n v="1"/>
    <n v="6"/>
    <n v="5"/>
    <x v="2"/>
    <n v="6"/>
    <n v="0"/>
    <n v="1"/>
    <n v="2"/>
    <x v="2"/>
    <x v="3"/>
    <n v="0"/>
    <x v="0"/>
    <s v="College"/>
    <x v="2"/>
    <x v="2"/>
  </r>
  <r>
    <n v="35"/>
    <s v="No"/>
    <x v="0"/>
    <n v="1017"/>
    <x v="1"/>
    <n v="6"/>
    <n v="4"/>
    <s v="Life Sciences"/>
    <n v="691"/>
    <n v="2"/>
    <x v="1"/>
    <n v="82"/>
    <n v="1"/>
    <x v="0"/>
    <x v="1"/>
    <n v="4"/>
    <x v="0"/>
    <n v="6646"/>
    <n v="19368"/>
    <n v="1"/>
    <x v="1"/>
    <n v="13"/>
    <n v="3"/>
    <n v="2"/>
    <n v="0"/>
    <n v="17"/>
    <n v="3"/>
    <x v="1"/>
    <n v="17"/>
    <n v="11"/>
    <n v="11"/>
    <n v="8"/>
    <x v="2"/>
    <x v="0"/>
    <n v="0"/>
    <x v="3"/>
    <s v="Master"/>
    <x v="0"/>
    <x v="1"/>
  </r>
  <r>
    <n v="33"/>
    <s v="No"/>
    <x v="1"/>
    <n v="1296"/>
    <x v="1"/>
    <n v="6"/>
    <n v="3"/>
    <s v="Life Sciences"/>
    <n v="692"/>
    <n v="3"/>
    <x v="1"/>
    <n v="30"/>
    <n v="3"/>
    <x v="0"/>
    <x v="4"/>
    <n v="4"/>
    <x v="2"/>
    <n v="7725"/>
    <n v="5335"/>
    <n v="3"/>
    <x v="1"/>
    <n v="23"/>
    <n v="4"/>
    <n v="3"/>
    <n v="1"/>
    <n v="15"/>
    <n v="2"/>
    <x v="0"/>
    <n v="13"/>
    <n v="11"/>
    <n v="4"/>
    <n v="7"/>
    <x v="2"/>
    <x v="3"/>
    <n v="0"/>
    <x v="0"/>
    <s v="Bachelor"/>
    <x v="0"/>
    <x v="0"/>
  </r>
  <r>
    <n v="54"/>
    <s v="No"/>
    <x v="0"/>
    <n v="397"/>
    <x v="2"/>
    <n v="19"/>
    <n v="4"/>
    <s v="Medical"/>
    <n v="698"/>
    <n v="3"/>
    <x v="1"/>
    <n v="88"/>
    <n v="3"/>
    <x v="2"/>
    <x v="8"/>
    <n v="2"/>
    <x v="1"/>
    <n v="10725"/>
    <n v="6729"/>
    <n v="2"/>
    <x v="1"/>
    <n v="15"/>
    <n v="3"/>
    <n v="3"/>
    <n v="1"/>
    <n v="16"/>
    <n v="1"/>
    <x v="3"/>
    <n v="9"/>
    <n v="7"/>
    <n v="7"/>
    <n v="1"/>
    <x v="1"/>
    <x v="2"/>
    <n v="0"/>
    <x v="1"/>
    <s v="Master"/>
    <x v="1"/>
    <x v="3"/>
  </r>
  <r>
    <n v="36"/>
    <s v="No"/>
    <x v="0"/>
    <n v="913"/>
    <x v="1"/>
    <n v="9"/>
    <n v="2"/>
    <s v="Medical"/>
    <n v="699"/>
    <n v="2"/>
    <x v="1"/>
    <n v="48"/>
    <n v="2"/>
    <x v="0"/>
    <x v="3"/>
    <n v="2"/>
    <x v="2"/>
    <n v="8847"/>
    <n v="13934"/>
    <n v="2"/>
    <x v="0"/>
    <n v="11"/>
    <n v="3"/>
    <n v="3"/>
    <n v="1"/>
    <n v="13"/>
    <n v="2"/>
    <x v="1"/>
    <n v="3"/>
    <n v="2"/>
    <n v="0"/>
    <n v="2"/>
    <x v="0"/>
    <x v="0"/>
    <n v="0"/>
    <x v="2"/>
    <s v="College"/>
    <x v="1"/>
    <x v="1"/>
  </r>
  <r>
    <n v="27"/>
    <s v="No"/>
    <x v="0"/>
    <n v="1115"/>
    <x v="1"/>
    <n v="3"/>
    <n v="4"/>
    <s v="Medical"/>
    <n v="700"/>
    <n v="1"/>
    <x v="1"/>
    <n v="54"/>
    <n v="2"/>
    <x v="1"/>
    <x v="1"/>
    <n v="4"/>
    <x v="0"/>
    <n v="2045"/>
    <n v="15174"/>
    <n v="0"/>
    <x v="1"/>
    <n v="13"/>
    <n v="3"/>
    <n v="4"/>
    <n v="0"/>
    <n v="5"/>
    <n v="0"/>
    <x v="1"/>
    <n v="4"/>
    <n v="2"/>
    <n v="1"/>
    <n v="1"/>
    <x v="2"/>
    <x v="0"/>
    <n v="0"/>
    <x v="2"/>
    <s v="Master"/>
    <x v="0"/>
    <x v="1"/>
  </r>
  <r>
    <n v="20"/>
    <s v="Yes"/>
    <x v="0"/>
    <n v="1362"/>
    <x v="1"/>
    <n v="10"/>
    <n v="1"/>
    <s v="Medical"/>
    <n v="701"/>
    <n v="4"/>
    <x v="1"/>
    <n v="32"/>
    <n v="3"/>
    <x v="1"/>
    <x v="1"/>
    <n v="3"/>
    <x v="0"/>
    <n v="1009"/>
    <n v="26999"/>
    <n v="1"/>
    <x v="0"/>
    <n v="11"/>
    <n v="3"/>
    <n v="4"/>
    <n v="0"/>
    <n v="1"/>
    <n v="5"/>
    <x v="1"/>
    <n v="1"/>
    <n v="0"/>
    <n v="1"/>
    <n v="1"/>
    <x v="3"/>
    <x v="0"/>
    <n v="1"/>
    <x v="2"/>
    <s v="Below College"/>
    <x v="2"/>
    <x v="1"/>
  </r>
  <r>
    <n v="33"/>
    <s v="Yes"/>
    <x v="1"/>
    <n v="1076"/>
    <x v="1"/>
    <n v="3"/>
    <n v="3"/>
    <s v="Life Sciences"/>
    <n v="702"/>
    <n v="1"/>
    <x v="1"/>
    <n v="70"/>
    <n v="3"/>
    <x v="1"/>
    <x v="1"/>
    <n v="1"/>
    <x v="0"/>
    <n v="3348"/>
    <n v="3164"/>
    <n v="1"/>
    <x v="0"/>
    <n v="11"/>
    <n v="3"/>
    <n v="1"/>
    <n v="0"/>
    <n v="10"/>
    <n v="3"/>
    <x v="1"/>
    <n v="10"/>
    <n v="8"/>
    <n v="9"/>
    <n v="7"/>
    <x v="2"/>
    <x v="3"/>
    <n v="1"/>
    <x v="1"/>
    <s v="Bachelor"/>
    <x v="3"/>
    <x v="1"/>
  </r>
  <r>
    <n v="35"/>
    <s v="No"/>
    <x v="2"/>
    <n v="727"/>
    <x v="1"/>
    <n v="3"/>
    <n v="3"/>
    <s v="Life Sciences"/>
    <n v="704"/>
    <n v="3"/>
    <x v="1"/>
    <n v="41"/>
    <n v="2"/>
    <x v="1"/>
    <x v="2"/>
    <n v="3"/>
    <x v="1"/>
    <n v="1281"/>
    <n v="16900"/>
    <n v="1"/>
    <x v="1"/>
    <n v="18"/>
    <n v="3"/>
    <n v="3"/>
    <n v="2"/>
    <n v="1"/>
    <n v="3"/>
    <x v="1"/>
    <n v="1"/>
    <n v="0"/>
    <n v="0"/>
    <n v="0"/>
    <x v="2"/>
    <x v="0"/>
    <n v="0"/>
    <x v="2"/>
    <s v="Bachelor"/>
    <x v="2"/>
    <x v="1"/>
  </r>
  <r>
    <n v="23"/>
    <s v="No"/>
    <x v="0"/>
    <n v="885"/>
    <x v="1"/>
    <n v="4"/>
    <n v="3"/>
    <s v="Medical"/>
    <n v="705"/>
    <n v="1"/>
    <x v="1"/>
    <n v="58"/>
    <n v="4"/>
    <x v="1"/>
    <x v="1"/>
    <n v="1"/>
    <x v="1"/>
    <n v="2819"/>
    <n v="8544"/>
    <n v="2"/>
    <x v="1"/>
    <n v="16"/>
    <n v="3"/>
    <n v="1"/>
    <n v="1"/>
    <n v="5"/>
    <n v="3"/>
    <x v="3"/>
    <n v="3"/>
    <n v="2"/>
    <n v="0"/>
    <n v="2"/>
    <x v="3"/>
    <x v="2"/>
    <n v="0"/>
    <x v="2"/>
    <s v="Bachelor"/>
    <x v="3"/>
    <x v="3"/>
  </r>
  <r>
    <n v="25"/>
    <s v="No"/>
    <x v="0"/>
    <n v="810"/>
    <x v="0"/>
    <n v="8"/>
    <n v="3"/>
    <s v="Life Sciences"/>
    <n v="707"/>
    <n v="4"/>
    <x v="1"/>
    <n v="57"/>
    <n v="4"/>
    <x v="0"/>
    <x v="0"/>
    <n v="2"/>
    <x v="1"/>
    <n v="4851"/>
    <n v="15678"/>
    <n v="0"/>
    <x v="1"/>
    <n v="22"/>
    <n v="4"/>
    <n v="3"/>
    <n v="1"/>
    <n v="4"/>
    <n v="4"/>
    <x v="1"/>
    <n v="3"/>
    <n v="2"/>
    <n v="1"/>
    <n v="2"/>
    <x v="3"/>
    <x v="0"/>
    <n v="0"/>
    <x v="2"/>
    <s v="Bachelor"/>
    <x v="1"/>
    <x v="1"/>
  </r>
  <r>
    <n v="38"/>
    <s v="No"/>
    <x v="0"/>
    <n v="243"/>
    <x v="0"/>
    <n v="7"/>
    <n v="4"/>
    <s v="Marketing"/>
    <n v="709"/>
    <n v="4"/>
    <x v="0"/>
    <n v="46"/>
    <n v="2"/>
    <x v="0"/>
    <x v="0"/>
    <n v="4"/>
    <x v="0"/>
    <n v="4028"/>
    <n v="7791"/>
    <n v="0"/>
    <x v="1"/>
    <n v="20"/>
    <n v="4"/>
    <n v="1"/>
    <n v="0"/>
    <n v="8"/>
    <n v="2"/>
    <x v="1"/>
    <n v="7"/>
    <n v="7"/>
    <n v="0"/>
    <n v="5"/>
    <x v="0"/>
    <x v="2"/>
    <n v="0"/>
    <x v="1"/>
    <s v="Master"/>
    <x v="0"/>
    <x v="1"/>
  </r>
  <r>
    <n v="29"/>
    <s v="No"/>
    <x v="1"/>
    <n v="806"/>
    <x v="1"/>
    <n v="1"/>
    <n v="4"/>
    <s v="Life Sciences"/>
    <n v="710"/>
    <n v="2"/>
    <x v="1"/>
    <n v="76"/>
    <n v="1"/>
    <x v="1"/>
    <x v="1"/>
    <n v="4"/>
    <x v="2"/>
    <n v="2720"/>
    <n v="18959"/>
    <n v="1"/>
    <x v="1"/>
    <n v="18"/>
    <n v="3"/>
    <n v="4"/>
    <n v="1"/>
    <n v="10"/>
    <n v="5"/>
    <x v="1"/>
    <n v="10"/>
    <n v="7"/>
    <n v="2"/>
    <n v="8"/>
    <x v="2"/>
    <x v="0"/>
    <n v="0"/>
    <x v="1"/>
    <s v="Master"/>
    <x v="0"/>
    <x v="1"/>
  </r>
  <r>
    <n v="48"/>
    <s v="No"/>
    <x v="0"/>
    <n v="817"/>
    <x v="0"/>
    <n v="2"/>
    <n v="1"/>
    <s v="Marketing"/>
    <n v="712"/>
    <n v="2"/>
    <x v="1"/>
    <n v="56"/>
    <n v="4"/>
    <x v="0"/>
    <x v="0"/>
    <n v="2"/>
    <x v="1"/>
    <n v="8120"/>
    <n v="18597"/>
    <n v="3"/>
    <x v="1"/>
    <n v="12"/>
    <n v="3"/>
    <n v="4"/>
    <n v="0"/>
    <n v="12"/>
    <n v="3"/>
    <x v="1"/>
    <n v="2"/>
    <n v="2"/>
    <n v="2"/>
    <n v="2"/>
    <x v="1"/>
    <x v="0"/>
    <n v="0"/>
    <x v="2"/>
    <s v="Below College"/>
    <x v="1"/>
    <x v="1"/>
  </r>
  <r>
    <n v="27"/>
    <s v="No"/>
    <x v="1"/>
    <n v="1410"/>
    <x v="0"/>
    <n v="3"/>
    <n v="1"/>
    <s v="Medical"/>
    <n v="714"/>
    <n v="4"/>
    <x v="0"/>
    <n v="71"/>
    <n v="4"/>
    <x v="0"/>
    <x v="0"/>
    <n v="4"/>
    <x v="2"/>
    <n v="4647"/>
    <n v="16673"/>
    <n v="1"/>
    <x v="0"/>
    <n v="20"/>
    <n v="4"/>
    <n v="2"/>
    <n v="2"/>
    <n v="6"/>
    <n v="3"/>
    <x v="1"/>
    <n v="6"/>
    <n v="5"/>
    <n v="0"/>
    <n v="4"/>
    <x v="2"/>
    <x v="0"/>
    <n v="0"/>
    <x v="1"/>
    <s v="Below College"/>
    <x v="0"/>
    <x v="1"/>
  </r>
  <r>
    <n v="37"/>
    <s v="No"/>
    <x v="0"/>
    <n v="1225"/>
    <x v="1"/>
    <n v="10"/>
    <n v="2"/>
    <s v="Life Sciences"/>
    <n v="715"/>
    <n v="4"/>
    <x v="1"/>
    <n v="80"/>
    <n v="4"/>
    <x v="1"/>
    <x v="1"/>
    <n v="4"/>
    <x v="0"/>
    <n v="4680"/>
    <n v="15232"/>
    <n v="3"/>
    <x v="1"/>
    <n v="17"/>
    <n v="3"/>
    <n v="1"/>
    <n v="0"/>
    <n v="4"/>
    <n v="2"/>
    <x v="1"/>
    <n v="1"/>
    <n v="0"/>
    <n v="0"/>
    <n v="0"/>
    <x v="0"/>
    <x v="0"/>
    <n v="0"/>
    <x v="2"/>
    <s v="College"/>
    <x v="0"/>
    <x v="1"/>
  </r>
  <r>
    <n v="50"/>
    <s v="No"/>
    <x v="0"/>
    <n v="1207"/>
    <x v="1"/>
    <n v="28"/>
    <n v="1"/>
    <s v="Medical"/>
    <n v="716"/>
    <n v="4"/>
    <x v="1"/>
    <n v="74"/>
    <n v="4"/>
    <x v="1"/>
    <x v="2"/>
    <n v="3"/>
    <x v="1"/>
    <n v="3221"/>
    <n v="3297"/>
    <n v="1"/>
    <x v="0"/>
    <n v="11"/>
    <n v="3"/>
    <n v="3"/>
    <n v="3"/>
    <n v="20"/>
    <n v="3"/>
    <x v="1"/>
    <n v="20"/>
    <n v="8"/>
    <n v="3"/>
    <n v="8"/>
    <x v="1"/>
    <x v="3"/>
    <n v="0"/>
    <x v="3"/>
    <s v="Below College"/>
    <x v="2"/>
    <x v="1"/>
  </r>
  <r>
    <n v="34"/>
    <s v="No"/>
    <x v="0"/>
    <n v="1442"/>
    <x v="1"/>
    <n v="9"/>
    <n v="3"/>
    <s v="Medical"/>
    <n v="717"/>
    <n v="4"/>
    <x v="0"/>
    <n v="46"/>
    <n v="2"/>
    <x v="2"/>
    <x v="4"/>
    <n v="2"/>
    <x v="0"/>
    <n v="8621"/>
    <n v="17654"/>
    <n v="1"/>
    <x v="1"/>
    <n v="14"/>
    <n v="3"/>
    <n v="2"/>
    <n v="0"/>
    <n v="9"/>
    <n v="3"/>
    <x v="3"/>
    <n v="8"/>
    <n v="7"/>
    <n v="7"/>
    <n v="7"/>
    <x v="2"/>
    <x v="0"/>
    <n v="0"/>
    <x v="1"/>
    <s v="Bachelor"/>
    <x v="1"/>
    <x v="3"/>
  </r>
  <r>
    <n v="24"/>
    <s v="Yes"/>
    <x v="0"/>
    <n v="693"/>
    <x v="0"/>
    <n v="3"/>
    <n v="2"/>
    <s v="Life Sciences"/>
    <n v="720"/>
    <n v="1"/>
    <x v="0"/>
    <n v="65"/>
    <n v="3"/>
    <x v="0"/>
    <x v="0"/>
    <n v="3"/>
    <x v="0"/>
    <n v="4577"/>
    <n v="24785"/>
    <n v="9"/>
    <x v="1"/>
    <n v="14"/>
    <n v="3"/>
    <n v="1"/>
    <n v="0"/>
    <n v="4"/>
    <n v="3"/>
    <x v="1"/>
    <n v="2"/>
    <n v="2"/>
    <n v="2"/>
    <n v="0"/>
    <x v="3"/>
    <x v="0"/>
    <n v="1"/>
    <x v="2"/>
    <s v="College"/>
    <x v="2"/>
    <x v="1"/>
  </r>
  <r>
    <n v="39"/>
    <s v="No"/>
    <x v="0"/>
    <n v="408"/>
    <x v="1"/>
    <n v="2"/>
    <n v="4"/>
    <s v="Technical Degree"/>
    <n v="721"/>
    <n v="4"/>
    <x v="0"/>
    <n v="80"/>
    <n v="2"/>
    <x v="0"/>
    <x v="4"/>
    <n v="3"/>
    <x v="0"/>
    <n v="4553"/>
    <n v="20978"/>
    <n v="1"/>
    <x v="1"/>
    <n v="11"/>
    <n v="3"/>
    <n v="1"/>
    <n v="0"/>
    <n v="20"/>
    <n v="4"/>
    <x v="1"/>
    <n v="20"/>
    <n v="7"/>
    <n v="11"/>
    <n v="10"/>
    <x v="0"/>
    <x v="0"/>
    <n v="0"/>
    <x v="3"/>
    <s v="Master"/>
    <x v="2"/>
    <x v="1"/>
  </r>
  <r>
    <n v="32"/>
    <s v="No"/>
    <x v="0"/>
    <n v="929"/>
    <x v="0"/>
    <n v="10"/>
    <n v="3"/>
    <s v="Marketing"/>
    <n v="722"/>
    <n v="4"/>
    <x v="1"/>
    <n v="55"/>
    <n v="3"/>
    <x v="0"/>
    <x v="0"/>
    <n v="4"/>
    <x v="0"/>
    <n v="5396"/>
    <n v="21703"/>
    <n v="1"/>
    <x v="1"/>
    <n v="12"/>
    <n v="3"/>
    <n v="4"/>
    <n v="0"/>
    <n v="10"/>
    <n v="2"/>
    <x v="2"/>
    <n v="10"/>
    <n v="7"/>
    <n v="0"/>
    <n v="8"/>
    <x v="2"/>
    <x v="0"/>
    <n v="0"/>
    <x v="0"/>
    <s v="Bachelor"/>
    <x v="0"/>
    <x v="2"/>
  </r>
  <r>
    <n v="50"/>
    <s v="Yes"/>
    <x v="1"/>
    <n v="562"/>
    <x v="0"/>
    <n v="8"/>
    <n v="2"/>
    <s v="Technical Degree"/>
    <n v="723"/>
    <n v="2"/>
    <x v="1"/>
    <n v="50"/>
    <n v="3"/>
    <x v="0"/>
    <x v="0"/>
    <n v="3"/>
    <x v="1"/>
    <n v="6796"/>
    <n v="23452"/>
    <n v="3"/>
    <x v="0"/>
    <n v="14"/>
    <n v="3"/>
    <n v="1"/>
    <n v="1"/>
    <n v="18"/>
    <n v="4"/>
    <x v="1"/>
    <n v="4"/>
    <n v="3"/>
    <n v="1"/>
    <n v="3"/>
    <x v="1"/>
    <x v="0"/>
    <n v="1"/>
    <x v="2"/>
    <s v="College"/>
    <x v="2"/>
    <x v="1"/>
  </r>
  <r>
    <n v="38"/>
    <s v="No"/>
    <x v="0"/>
    <n v="827"/>
    <x v="1"/>
    <n v="1"/>
    <n v="4"/>
    <s v="Life Sciences"/>
    <n v="724"/>
    <n v="2"/>
    <x v="0"/>
    <n v="33"/>
    <n v="4"/>
    <x v="0"/>
    <x v="4"/>
    <n v="4"/>
    <x v="0"/>
    <n v="7625"/>
    <n v="19383"/>
    <n v="0"/>
    <x v="1"/>
    <n v="13"/>
    <n v="3"/>
    <n v="3"/>
    <n v="0"/>
    <n v="10"/>
    <n v="4"/>
    <x v="2"/>
    <n v="9"/>
    <n v="7"/>
    <n v="1"/>
    <n v="8"/>
    <x v="0"/>
    <x v="0"/>
    <n v="0"/>
    <x v="0"/>
    <s v="Master"/>
    <x v="0"/>
    <x v="2"/>
  </r>
  <r>
    <n v="27"/>
    <s v="No"/>
    <x v="0"/>
    <n v="608"/>
    <x v="1"/>
    <n v="1"/>
    <n v="2"/>
    <s v="Life Sciences"/>
    <n v="725"/>
    <n v="3"/>
    <x v="0"/>
    <n v="68"/>
    <n v="3"/>
    <x v="2"/>
    <x v="3"/>
    <n v="1"/>
    <x v="1"/>
    <n v="7412"/>
    <n v="6009"/>
    <n v="1"/>
    <x v="1"/>
    <n v="11"/>
    <n v="3"/>
    <n v="4"/>
    <n v="0"/>
    <n v="9"/>
    <n v="3"/>
    <x v="1"/>
    <n v="9"/>
    <n v="7"/>
    <n v="0"/>
    <n v="7"/>
    <x v="2"/>
    <x v="2"/>
    <n v="0"/>
    <x v="1"/>
    <s v="College"/>
    <x v="3"/>
    <x v="1"/>
  </r>
  <r>
    <n v="32"/>
    <s v="No"/>
    <x v="0"/>
    <n v="1018"/>
    <x v="1"/>
    <n v="3"/>
    <n v="2"/>
    <s v="Life Sciences"/>
    <n v="727"/>
    <n v="3"/>
    <x v="0"/>
    <n v="39"/>
    <n v="3"/>
    <x v="2"/>
    <x v="7"/>
    <n v="4"/>
    <x v="0"/>
    <n v="11159"/>
    <n v="19373"/>
    <n v="3"/>
    <x v="1"/>
    <n v="15"/>
    <n v="3"/>
    <n v="4"/>
    <n v="0"/>
    <n v="10"/>
    <n v="6"/>
    <x v="1"/>
    <n v="7"/>
    <n v="7"/>
    <n v="7"/>
    <n v="7"/>
    <x v="2"/>
    <x v="0"/>
    <n v="0"/>
    <x v="1"/>
    <s v="College"/>
    <x v="0"/>
    <x v="1"/>
  </r>
  <r>
    <n v="47"/>
    <s v="No"/>
    <x v="0"/>
    <n v="703"/>
    <x v="0"/>
    <n v="14"/>
    <n v="4"/>
    <s v="Marketing"/>
    <n v="728"/>
    <n v="4"/>
    <x v="1"/>
    <n v="42"/>
    <n v="3"/>
    <x v="0"/>
    <x v="0"/>
    <n v="1"/>
    <x v="0"/>
    <n v="4960"/>
    <n v="11825"/>
    <n v="2"/>
    <x v="1"/>
    <n v="12"/>
    <n v="3"/>
    <n v="4"/>
    <n v="0"/>
    <n v="20"/>
    <n v="2"/>
    <x v="1"/>
    <n v="7"/>
    <n v="7"/>
    <n v="1"/>
    <n v="7"/>
    <x v="1"/>
    <x v="0"/>
    <n v="0"/>
    <x v="1"/>
    <s v="Master"/>
    <x v="3"/>
    <x v="1"/>
  </r>
  <r>
    <n v="40"/>
    <s v="No"/>
    <x v="1"/>
    <n v="580"/>
    <x v="0"/>
    <n v="5"/>
    <n v="4"/>
    <s v="Life Sciences"/>
    <n v="729"/>
    <n v="4"/>
    <x v="1"/>
    <n v="48"/>
    <n v="2"/>
    <x v="2"/>
    <x v="0"/>
    <n v="1"/>
    <x v="1"/>
    <n v="10475"/>
    <n v="23772"/>
    <n v="5"/>
    <x v="0"/>
    <n v="21"/>
    <n v="4"/>
    <n v="3"/>
    <n v="1"/>
    <n v="20"/>
    <n v="2"/>
    <x v="1"/>
    <n v="18"/>
    <n v="13"/>
    <n v="1"/>
    <n v="12"/>
    <x v="0"/>
    <x v="0"/>
    <n v="0"/>
    <x v="3"/>
    <s v="Master"/>
    <x v="3"/>
    <x v="1"/>
  </r>
  <r>
    <n v="53"/>
    <s v="No"/>
    <x v="0"/>
    <n v="970"/>
    <x v="1"/>
    <n v="7"/>
    <n v="3"/>
    <s v="Life Sciences"/>
    <n v="730"/>
    <n v="3"/>
    <x v="1"/>
    <n v="59"/>
    <n v="4"/>
    <x v="3"/>
    <x v="7"/>
    <n v="3"/>
    <x v="1"/>
    <n v="14814"/>
    <n v="13514"/>
    <n v="3"/>
    <x v="1"/>
    <n v="19"/>
    <n v="3"/>
    <n v="3"/>
    <n v="0"/>
    <n v="32"/>
    <n v="3"/>
    <x v="1"/>
    <n v="5"/>
    <n v="1"/>
    <n v="1"/>
    <n v="3"/>
    <x v="1"/>
    <x v="0"/>
    <n v="0"/>
    <x v="2"/>
    <s v="Bachelor"/>
    <x v="2"/>
    <x v="1"/>
  </r>
  <r>
    <n v="41"/>
    <s v="No"/>
    <x v="0"/>
    <n v="427"/>
    <x v="2"/>
    <n v="10"/>
    <n v="4"/>
    <s v="Human Resources"/>
    <n v="731"/>
    <n v="2"/>
    <x v="1"/>
    <n v="73"/>
    <n v="2"/>
    <x v="4"/>
    <x v="5"/>
    <n v="4"/>
    <x v="2"/>
    <n v="19141"/>
    <n v="8861"/>
    <n v="3"/>
    <x v="1"/>
    <n v="15"/>
    <n v="3"/>
    <n v="2"/>
    <n v="3"/>
    <n v="23"/>
    <n v="2"/>
    <x v="2"/>
    <n v="21"/>
    <n v="6"/>
    <n v="12"/>
    <n v="6"/>
    <x v="0"/>
    <x v="2"/>
    <n v="0"/>
    <x v="0"/>
    <s v="Master"/>
    <x v="0"/>
    <x v="2"/>
  </r>
  <r>
    <n v="60"/>
    <s v="No"/>
    <x v="0"/>
    <n v="1179"/>
    <x v="0"/>
    <n v="16"/>
    <n v="4"/>
    <s v="Marketing"/>
    <n v="732"/>
    <n v="1"/>
    <x v="1"/>
    <n v="84"/>
    <n v="3"/>
    <x v="0"/>
    <x v="0"/>
    <n v="1"/>
    <x v="0"/>
    <n v="5405"/>
    <n v="11924"/>
    <n v="8"/>
    <x v="1"/>
    <n v="14"/>
    <n v="3"/>
    <n v="4"/>
    <n v="0"/>
    <n v="10"/>
    <n v="1"/>
    <x v="1"/>
    <n v="2"/>
    <n v="2"/>
    <n v="2"/>
    <n v="2"/>
    <x v="1"/>
    <x v="0"/>
    <n v="0"/>
    <x v="2"/>
    <s v="Master"/>
    <x v="3"/>
    <x v="1"/>
  </r>
  <r>
    <n v="27"/>
    <s v="No"/>
    <x v="1"/>
    <n v="294"/>
    <x v="1"/>
    <n v="10"/>
    <n v="2"/>
    <s v="Life Sciences"/>
    <n v="733"/>
    <n v="4"/>
    <x v="1"/>
    <n v="32"/>
    <n v="3"/>
    <x v="2"/>
    <x v="3"/>
    <n v="1"/>
    <x v="2"/>
    <n v="8793"/>
    <n v="4809"/>
    <n v="1"/>
    <x v="1"/>
    <n v="21"/>
    <n v="4"/>
    <n v="3"/>
    <n v="2"/>
    <n v="9"/>
    <n v="4"/>
    <x v="2"/>
    <n v="9"/>
    <n v="7"/>
    <n v="1"/>
    <n v="7"/>
    <x v="2"/>
    <x v="3"/>
    <n v="0"/>
    <x v="0"/>
    <s v="College"/>
    <x v="3"/>
    <x v="2"/>
  </r>
  <r>
    <n v="41"/>
    <s v="No"/>
    <x v="0"/>
    <n v="314"/>
    <x v="2"/>
    <n v="1"/>
    <n v="3"/>
    <s v="Human Resources"/>
    <n v="734"/>
    <n v="4"/>
    <x v="1"/>
    <n v="59"/>
    <n v="2"/>
    <x v="4"/>
    <x v="5"/>
    <n v="3"/>
    <x v="1"/>
    <n v="19189"/>
    <n v="19562"/>
    <n v="1"/>
    <x v="1"/>
    <n v="12"/>
    <n v="3"/>
    <n v="2"/>
    <n v="1"/>
    <n v="22"/>
    <n v="3"/>
    <x v="1"/>
    <n v="22"/>
    <n v="7"/>
    <n v="2"/>
    <n v="10"/>
    <x v="0"/>
    <x v="0"/>
    <n v="0"/>
    <x v="3"/>
    <s v="Bachelor"/>
    <x v="2"/>
    <x v="1"/>
  </r>
  <r>
    <n v="50"/>
    <s v="No"/>
    <x v="0"/>
    <n v="316"/>
    <x v="0"/>
    <n v="8"/>
    <n v="4"/>
    <s v="Marketing"/>
    <n v="738"/>
    <n v="4"/>
    <x v="1"/>
    <n v="54"/>
    <n v="3"/>
    <x v="1"/>
    <x v="6"/>
    <n v="2"/>
    <x v="1"/>
    <n v="3875"/>
    <n v="9983"/>
    <n v="7"/>
    <x v="1"/>
    <n v="15"/>
    <n v="3"/>
    <n v="4"/>
    <n v="1"/>
    <n v="4"/>
    <n v="2"/>
    <x v="1"/>
    <n v="2"/>
    <n v="2"/>
    <n v="2"/>
    <n v="2"/>
    <x v="1"/>
    <x v="2"/>
    <n v="0"/>
    <x v="2"/>
    <s v="Master"/>
    <x v="1"/>
    <x v="1"/>
  </r>
  <r>
    <n v="28"/>
    <s v="Yes"/>
    <x v="0"/>
    <n v="654"/>
    <x v="1"/>
    <n v="1"/>
    <n v="2"/>
    <s v="Life Sciences"/>
    <n v="741"/>
    <n v="1"/>
    <x v="0"/>
    <n v="67"/>
    <n v="1"/>
    <x v="1"/>
    <x v="1"/>
    <n v="2"/>
    <x v="0"/>
    <n v="2216"/>
    <n v="3872"/>
    <n v="7"/>
    <x v="0"/>
    <n v="13"/>
    <n v="3"/>
    <n v="4"/>
    <n v="0"/>
    <n v="10"/>
    <n v="4"/>
    <x v="1"/>
    <n v="7"/>
    <n v="7"/>
    <n v="3"/>
    <n v="7"/>
    <x v="2"/>
    <x v="3"/>
    <n v="1"/>
    <x v="1"/>
    <s v="College"/>
    <x v="1"/>
    <x v="1"/>
  </r>
  <r>
    <n v="36"/>
    <s v="No"/>
    <x v="2"/>
    <n v="427"/>
    <x v="1"/>
    <n v="8"/>
    <n v="3"/>
    <s v="Life Sciences"/>
    <n v="742"/>
    <n v="1"/>
    <x v="0"/>
    <n v="63"/>
    <n v="4"/>
    <x v="2"/>
    <x v="7"/>
    <n v="1"/>
    <x v="1"/>
    <n v="11713"/>
    <n v="20335"/>
    <n v="9"/>
    <x v="1"/>
    <n v="14"/>
    <n v="3"/>
    <n v="1"/>
    <n v="1"/>
    <n v="10"/>
    <n v="2"/>
    <x v="1"/>
    <n v="8"/>
    <n v="7"/>
    <n v="0"/>
    <n v="5"/>
    <x v="0"/>
    <x v="0"/>
    <n v="0"/>
    <x v="1"/>
    <s v="Bachelor"/>
    <x v="3"/>
    <x v="1"/>
  </r>
  <r>
    <n v="38"/>
    <s v="No"/>
    <x v="0"/>
    <n v="168"/>
    <x v="1"/>
    <n v="1"/>
    <n v="3"/>
    <s v="Life Sciences"/>
    <n v="743"/>
    <n v="3"/>
    <x v="0"/>
    <n v="81"/>
    <n v="3"/>
    <x v="2"/>
    <x v="3"/>
    <n v="3"/>
    <x v="0"/>
    <n v="7861"/>
    <n v="15397"/>
    <n v="4"/>
    <x v="0"/>
    <n v="14"/>
    <n v="3"/>
    <n v="4"/>
    <n v="0"/>
    <n v="10"/>
    <n v="4"/>
    <x v="3"/>
    <n v="1"/>
    <n v="0"/>
    <n v="0"/>
    <n v="0"/>
    <x v="0"/>
    <x v="0"/>
    <n v="0"/>
    <x v="2"/>
    <s v="Bachelor"/>
    <x v="2"/>
    <x v="3"/>
  </r>
  <r>
    <n v="44"/>
    <s v="No"/>
    <x v="2"/>
    <n v="381"/>
    <x v="1"/>
    <n v="24"/>
    <n v="3"/>
    <s v="Medical"/>
    <n v="744"/>
    <n v="1"/>
    <x v="1"/>
    <n v="49"/>
    <n v="1"/>
    <x v="1"/>
    <x v="2"/>
    <n v="3"/>
    <x v="0"/>
    <n v="3708"/>
    <n v="2104"/>
    <n v="2"/>
    <x v="1"/>
    <n v="14"/>
    <n v="3"/>
    <n v="3"/>
    <n v="0"/>
    <n v="9"/>
    <n v="5"/>
    <x v="1"/>
    <n v="5"/>
    <n v="2"/>
    <n v="1"/>
    <n v="4"/>
    <x v="0"/>
    <x v="1"/>
    <n v="0"/>
    <x v="2"/>
    <s v="Bachelor"/>
    <x v="2"/>
    <x v="1"/>
  </r>
  <r>
    <n v="47"/>
    <s v="No"/>
    <x v="1"/>
    <n v="217"/>
    <x v="0"/>
    <n v="3"/>
    <n v="3"/>
    <s v="Medical"/>
    <n v="746"/>
    <n v="4"/>
    <x v="0"/>
    <n v="49"/>
    <n v="3"/>
    <x v="3"/>
    <x v="0"/>
    <n v="3"/>
    <x v="2"/>
    <n v="13770"/>
    <n v="10225"/>
    <n v="9"/>
    <x v="0"/>
    <n v="12"/>
    <n v="3"/>
    <n v="4"/>
    <n v="2"/>
    <n v="28"/>
    <n v="2"/>
    <x v="2"/>
    <n v="22"/>
    <n v="2"/>
    <n v="11"/>
    <n v="13"/>
    <x v="1"/>
    <x v="0"/>
    <n v="0"/>
    <x v="0"/>
    <s v="Bachelor"/>
    <x v="2"/>
    <x v="2"/>
  </r>
  <r>
    <n v="30"/>
    <s v="No"/>
    <x v="0"/>
    <n v="501"/>
    <x v="0"/>
    <n v="27"/>
    <n v="5"/>
    <s v="Marketing"/>
    <n v="747"/>
    <n v="3"/>
    <x v="1"/>
    <n v="99"/>
    <n v="3"/>
    <x v="0"/>
    <x v="0"/>
    <n v="4"/>
    <x v="2"/>
    <n v="5304"/>
    <n v="25275"/>
    <n v="7"/>
    <x v="1"/>
    <n v="23"/>
    <n v="4"/>
    <n v="4"/>
    <n v="1"/>
    <n v="10"/>
    <n v="2"/>
    <x v="2"/>
    <n v="8"/>
    <n v="7"/>
    <n v="7"/>
    <n v="7"/>
    <x v="2"/>
    <x v="0"/>
    <n v="0"/>
    <x v="0"/>
    <s v="Doctor"/>
    <x v="0"/>
    <x v="2"/>
  </r>
  <r>
    <n v="29"/>
    <s v="No"/>
    <x v="0"/>
    <n v="1396"/>
    <x v="0"/>
    <n v="10"/>
    <n v="3"/>
    <s v="Life Sciences"/>
    <n v="749"/>
    <n v="3"/>
    <x v="1"/>
    <n v="99"/>
    <n v="3"/>
    <x v="1"/>
    <x v="6"/>
    <n v="3"/>
    <x v="0"/>
    <n v="2642"/>
    <n v="2755"/>
    <n v="1"/>
    <x v="1"/>
    <n v="11"/>
    <n v="3"/>
    <n v="3"/>
    <n v="0"/>
    <n v="1"/>
    <n v="6"/>
    <x v="1"/>
    <n v="1"/>
    <n v="0"/>
    <n v="0"/>
    <n v="0"/>
    <x v="2"/>
    <x v="1"/>
    <n v="0"/>
    <x v="2"/>
    <s v="Bachelor"/>
    <x v="2"/>
    <x v="1"/>
  </r>
  <r>
    <n v="42"/>
    <s v="Yes"/>
    <x v="1"/>
    <n v="933"/>
    <x v="1"/>
    <n v="19"/>
    <n v="3"/>
    <s v="Medical"/>
    <n v="752"/>
    <n v="3"/>
    <x v="1"/>
    <n v="57"/>
    <n v="4"/>
    <x v="1"/>
    <x v="1"/>
    <n v="3"/>
    <x v="2"/>
    <n v="2759"/>
    <n v="20366"/>
    <n v="6"/>
    <x v="0"/>
    <n v="12"/>
    <n v="3"/>
    <n v="4"/>
    <n v="0"/>
    <n v="7"/>
    <n v="2"/>
    <x v="1"/>
    <n v="2"/>
    <n v="2"/>
    <n v="2"/>
    <n v="2"/>
    <x v="0"/>
    <x v="0"/>
    <n v="1"/>
    <x v="2"/>
    <s v="Bachelor"/>
    <x v="2"/>
    <x v="1"/>
  </r>
  <r>
    <n v="43"/>
    <s v="No"/>
    <x v="1"/>
    <n v="775"/>
    <x v="0"/>
    <n v="15"/>
    <n v="3"/>
    <s v="Life Sciences"/>
    <n v="754"/>
    <n v="4"/>
    <x v="1"/>
    <n v="47"/>
    <n v="2"/>
    <x v="0"/>
    <x v="0"/>
    <n v="4"/>
    <x v="1"/>
    <n v="6804"/>
    <n v="23683"/>
    <n v="3"/>
    <x v="1"/>
    <n v="18"/>
    <n v="3"/>
    <n v="3"/>
    <n v="1"/>
    <n v="7"/>
    <n v="5"/>
    <x v="1"/>
    <n v="2"/>
    <n v="2"/>
    <n v="2"/>
    <n v="2"/>
    <x v="0"/>
    <x v="0"/>
    <n v="0"/>
    <x v="2"/>
    <s v="Bachelor"/>
    <x v="0"/>
    <x v="1"/>
  </r>
  <r>
    <n v="34"/>
    <s v="No"/>
    <x v="0"/>
    <n v="970"/>
    <x v="1"/>
    <n v="8"/>
    <n v="2"/>
    <s v="Medical"/>
    <n v="757"/>
    <n v="2"/>
    <x v="0"/>
    <n v="96"/>
    <n v="3"/>
    <x v="0"/>
    <x v="4"/>
    <n v="3"/>
    <x v="0"/>
    <n v="6142"/>
    <n v="7360"/>
    <n v="3"/>
    <x v="1"/>
    <n v="11"/>
    <n v="3"/>
    <n v="4"/>
    <n v="0"/>
    <n v="10"/>
    <n v="2"/>
    <x v="1"/>
    <n v="5"/>
    <n v="1"/>
    <n v="4"/>
    <n v="3"/>
    <x v="2"/>
    <x v="2"/>
    <n v="0"/>
    <x v="2"/>
    <s v="College"/>
    <x v="2"/>
    <x v="1"/>
  </r>
  <r>
    <n v="23"/>
    <s v="No"/>
    <x v="0"/>
    <n v="650"/>
    <x v="1"/>
    <n v="9"/>
    <n v="1"/>
    <s v="Medical"/>
    <n v="758"/>
    <n v="2"/>
    <x v="1"/>
    <n v="37"/>
    <n v="3"/>
    <x v="1"/>
    <x v="2"/>
    <n v="1"/>
    <x v="1"/>
    <n v="2500"/>
    <n v="4344"/>
    <n v="1"/>
    <x v="1"/>
    <n v="14"/>
    <n v="3"/>
    <n v="4"/>
    <n v="1"/>
    <n v="5"/>
    <n v="2"/>
    <x v="3"/>
    <n v="4"/>
    <n v="3"/>
    <n v="0"/>
    <n v="2"/>
    <x v="3"/>
    <x v="3"/>
    <n v="0"/>
    <x v="2"/>
    <s v="Below College"/>
    <x v="3"/>
    <x v="3"/>
  </r>
  <r>
    <n v="39"/>
    <s v="No"/>
    <x v="0"/>
    <n v="141"/>
    <x v="2"/>
    <n v="3"/>
    <n v="3"/>
    <s v="Human Resources"/>
    <n v="760"/>
    <n v="3"/>
    <x v="0"/>
    <n v="44"/>
    <n v="4"/>
    <x v="0"/>
    <x v="8"/>
    <n v="2"/>
    <x v="1"/>
    <n v="6389"/>
    <n v="18767"/>
    <n v="9"/>
    <x v="1"/>
    <n v="15"/>
    <n v="3"/>
    <n v="3"/>
    <n v="1"/>
    <n v="12"/>
    <n v="3"/>
    <x v="0"/>
    <n v="8"/>
    <n v="3"/>
    <n v="3"/>
    <n v="6"/>
    <x v="0"/>
    <x v="0"/>
    <n v="0"/>
    <x v="0"/>
    <s v="Bachelor"/>
    <x v="1"/>
    <x v="0"/>
  </r>
  <r>
    <n v="56"/>
    <s v="No"/>
    <x v="0"/>
    <n v="832"/>
    <x v="1"/>
    <n v="9"/>
    <n v="3"/>
    <s v="Medical"/>
    <n v="762"/>
    <n v="3"/>
    <x v="1"/>
    <n v="81"/>
    <n v="3"/>
    <x v="3"/>
    <x v="4"/>
    <n v="4"/>
    <x v="1"/>
    <n v="11103"/>
    <n v="20420"/>
    <n v="7"/>
    <x v="1"/>
    <n v="11"/>
    <n v="3"/>
    <n v="3"/>
    <n v="0"/>
    <n v="30"/>
    <n v="1"/>
    <x v="2"/>
    <n v="10"/>
    <n v="7"/>
    <n v="1"/>
    <n v="1"/>
    <x v="1"/>
    <x v="0"/>
    <n v="0"/>
    <x v="0"/>
    <s v="Bachelor"/>
    <x v="0"/>
    <x v="2"/>
  </r>
  <r>
    <n v="40"/>
    <s v="No"/>
    <x v="0"/>
    <n v="804"/>
    <x v="1"/>
    <n v="2"/>
    <n v="1"/>
    <s v="Medical"/>
    <n v="763"/>
    <n v="4"/>
    <x v="0"/>
    <n v="86"/>
    <n v="2"/>
    <x v="1"/>
    <x v="1"/>
    <n v="4"/>
    <x v="0"/>
    <n v="2342"/>
    <n v="22929"/>
    <n v="0"/>
    <x v="0"/>
    <n v="20"/>
    <n v="4"/>
    <n v="4"/>
    <n v="0"/>
    <n v="5"/>
    <n v="2"/>
    <x v="2"/>
    <n v="4"/>
    <n v="2"/>
    <n v="2"/>
    <n v="3"/>
    <x v="0"/>
    <x v="0"/>
    <n v="0"/>
    <x v="0"/>
    <s v="Below College"/>
    <x v="0"/>
    <x v="2"/>
  </r>
  <r>
    <n v="27"/>
    <s v="No"/>
    <x v="0"/>
    <n v="975"/>
    <x v="1"/>
    <n v="7"/>
    <n v="3"/>
    <s v="Medical"/>
    <n v="764"/>
    <n v="4"/>
    <x v="0"/>
    <n v="55"/>
    <n v="2"/>
    <x v="0"/>
    <x v="4"/>
    <n v="1"/>
    <x v="0"/>
    <n v="6811"/>
    <n v="23398"/>
    <n v="8"/>
    <x v="1"/>
    <n v="19"/>
    <n v="3"/>
    <n v="1"/>
    <n v="0"/>
    <n v="9"/>
    <n v="2"/>
    <x v="0"/>
    <n v="7"/>
    <n v="6"/>
    <n v="0"/>
    <n v="7"/>
    <x v="2"/>
    <x v="0"/>
    <n v="0"/>
    <x v="0"/>
    <s v="Bachelor"/>
    <x v="3"/>
    <x v="0"/>
  </r>
  <r>
    <n v="29"/>
    <s v="No"/>
    <x v="0"/>
    <n v="1090"/>
    <x v="0"/>
    <n v="10"/>
    <n v="3"/>
    <s v="Marketing"/>
    <n v="766"/>
    <n v="4"/>
    <x v="1"/>
    <n v="83"/>
    <n v="3"/>
    <x v="1"/>
    <x v="6"/>
    <n v="2"/>
    <x v="2"/>
    <n v="2297"/>
    <n v="17967"/>
    <n v="1"/>
    <x v="1"/>
    <n v="14"/>
    <n v="3"/>
    <n v="4"/>
    <n v="2"/>
    <n v="2"/>
    <n v="2"/>
    <x v="1"/>
    <n v="2"/>
    <n v="2"/>
    <n v="2"/>
    <n v="2"/>
    <x v="2"/>
    <x v="0"/>
    <n v="0"/>
    <x v="2"/>
    <s v="Bachelor"/>
    <x v="1"/>
    <x v="1"/>
  </r>
  <r>
    <n v="53"/>
    <s v="No"/>
    <x v="0"/>
    <n v="346"/>
    <x v="1"/>
    <n v="6"/>
    <n v="3"/>
    <s v="Life Sciences"/>
    <n v="769"/>
    <n v="4"/>
    <x v="1"/>
    <n v="86"/>
    <n v="3"/>
    <x v="0"/>
    <x v="2"/>
    <n v="4"/>
    <x v="0"/>
    <n v="2450"/>
    <n v="10919"/>
    <n v="2"/>
    <x v="1"/>
    <n v="17"/>
    <n v="3"/>
    <n v="4"/>
    <n v="0"/>
    <n v="19"/>
    <n v="4"/>
    <x v="1"/>
    <n v="2"/>
    <n v="2"/>
    <n v="2"/>
    <n v="2"/>
    <x v="1"/>
    <x v="0"/>
    <n v="0"/>
    <x v="2"/>
    <s v="Bachelor"/>
    <x v="0"/>
    <x v="1"/>
  </r>
  <r>
    <n v="35"/>
    <s v="No"/>
    <x v="2"/>
    <n v="1225"/>
    <x v="1"/>
    <n v="2"/>
    <n v="4"/>
    <s v="Life Sciences"/>
    <n v="771"/>
    <n v="4"/>
    <x v="0"/>
    <n v="61"/>
    <n v="3"/>
    <x v="0"/>
    <x v="4"/>
    <n v="1"/>
    <x v="2"/>
    <n v="5093"/>
    <n v="4761"/>
    <n v="2"/>
    <x v="1"/>
    <n v="11"/>
    <n v="3"/>
    <n v="1"/>
    <n v="1"/>
    <n v="16"/>
    <n v="2"/>
    <x v="3"/>
    <n v="1"/>
    <n v="0"/>
    <n v="0"/>
    <n v="0"/>
    <x v="2"/>
    <x v="3"/>
    <n v="0"/>
    <x v="2"/>
    <s v="Master"/>
    <x v="3"/>
    <x v="3"/>
  </r>
  <r>
    <n v="32"/>
    <s v="No"/>
    <x v="1"/>
    <n v="430"/>
    <x v="1"/>
    <n v="24"/>
    <n v="4"/>
    <s v="Life Sciences"/>
    <n v="772"/>
    <n v="1"/>
    <x v="1"/>
    <n v="80"/>
    <n v="3"/>
    <x v="0"/>
    <x v="2"/>
    <n v="4"/>
    <x v="1"/>
    <n v="5309"/>
    <n v="21146"/>
    <n v="1"/>
    <x v="1"/>
    <n v="15"/>
    <n v="3"/>
    <n v="4"/>
    <n v="2"/>
    <n v="10"/>
    <n v="2"/>
    <x v="1"/>
    <n v="10"/>
    <n v="8"/>
    <n v="4"/>
    <n v="7"/>
    <x v="2"/>
    <x v="0"/>
    <n v="0"/>
    <x v="1"/>
    <s v="Master"/>
    <x v="0"/>
    <x v="1"/>
  </r>
  <r>
    <n v="38"/>
    <s v="No"/>
    <x v="0"/>
    <n v="268"/>
    <x v="1"/>
    <n v="2"/>
    <n v="5"/>
    <s v="Medical"/>
    <n v="773"/>
    <n v="4"/>
    <x v="1"/>
    <n v="92"/>
    <n v="3"/>
    <x v="1"/>
    <x v="1"/>
    <n v="3"/>
    <x v="1"/>
    <n v="3057"/>
    <n v="20471"/>
    <n v="6"/>
    <x v="0"/>
    <n v="13"/>
    <n v="3"/>
    <n v="2"/>
    <n v="1"/>
    <n v="6"/>
    <n v="0"/>
    <x v="0"/>
    <n v="1"/>
    <n v="0"/>
    <n v="0"/>
    <n v="1"/>
    <x v="0"/>
    <x v="0"/>
    <n v="0"/>
    <x v="0"/>
    <s v="Doctor"/>
    <x v="2"/>
    <x v="0"/>
  </r>
  <r>
    <n v="34"/>
    <s v="No"/>
    <x v="0"/>
    <n v="167"/>
    <x v="1"/>
    <n v="8"/>
    <n v="5"/>
    <s v="Life Sciences"/>
    <n v="775"/>
    <n v="2"/>
    <x v="0"/>
    <n v="32"/>
    <n v="3"/>
    <x v="0"/>
    <x v="3"/>
    <n v="1"/>
    <x v="2"/>
    <n v="5121"/>
    <n v="4187"/>
    <n v="3"/>
    <x v="1"/>
    <n v="14"/>
    <n v="3"/>
    <n v="3"/>
    <n v="1"/>
    <n v="7"/>
    <n v="3"/>
    <x v="1"/>
    <n v="0"/>
    <n v="0"/>
    <n v="0"/>
    <n v="0"/>
    <x v="2"/>
    <x v="3"/>
    <n v="0"/>
    <x v="2"/>
    <s v="Doctor"/>
    <x v="3"/>
    <x v="1"/>
  </r>
  <r>
    <n v="52"/>
    <s v="No"/>
    <x v="0"/>
    <n v="621"/>
    <x v="0"/>
    <n v="3"/>
    <n v="4"/>
    <s v="Marketing"/>
    <n v="776"/>
    <n v="3"/>
    <x v="1"/>
    <n v="31"/>
    <n v="2"/>
    <x v="3"/>
    <x v="5"/>
    <n v="1"/>
    <x v="1"/>
    <n v="16856"/>
    <n v="10084"/>
    <n v="1"/>
    <x v="1"/>
    <n v="11"/>
    <n v="3"/>
    <n v="1"/>
    <n v="0"/>
    <n v="34"/>
    <n v="3"/>
    <x v="3"/>
    <n v="34"/>
    <n v="6"/>
    <n v="1"/>
    <n v="16"/>
    <x v="1"/>
    <x v="0"/>
    <n v="0"/>
    <x v="3"/>
    <s v="Master"/>
    <x v="3"/>
    <x v="3"/>
  </r>
  <r>
    <n v="33"/>
    <s v="Yes"/>
    <x v="0"/>
    <n v="527"/>
    <x v="1"/>
    <n v="1"/>
    <n v="4"/>
    <s v="Other"/>
    <n v="780"/>
    <n v="4"/>
    <x v="1"/>
    <n v="63"/>
    <n v="3"/>
    <x v="1"/>
    <x v="1"/>
    <n v="4"/>
    <x v="0"/>
    <n v="2686"/>
    <n v="5207"/>
    <n v="1"/>
    <x v="0"/>
    <n v="13"/>
    <n v="3"/>
    <n v="3"/>
    <n v="0"/>
    <n v="10"/>
    <n v="2"/>
    <x v="2"/>
    <n v="10"/>
    <n v="9"/>
    <n v="7"/>
    <n v="8"/>
    <x v="2"/>
    <x v="3"/>
    <n v="1"/>
    <x v="0"/>
    <s v="Master"/>
    <x v="0"/>
    <x v="2"/>
  </r>
  <r>
    <n v="25"/>
    <s v="No"/>
    <x v="0"/>
    <n v="883"/>
    <x v="0"/>
    <n v="26"/>
    <n v="1"/>
    <s v="Medical"/>
    <n v="781"/>
    <n v="3"/>
    <x v="0"/>
    <n v="32"/>
    <n v="3"/>
    <x v="0"/>
    <x v="0"/>
    <n v="4"/>
    <x v="0"/>
    <n v="6180"/>
    <n v="22807"/>
    <n v="1"/>
    <x v="1"/>
    <n v="23"/>
    <n v="4"/>
    <n v="2"/>
    <n v="0"/>
    <n v="6"/>
    <n v="5"/>
    <x v="2"/>
    <n v="6"/>
    <n v="5"/>
    <n v="1"/>
    <n v="4"/>
    <x v="3"/>
    <x v="0"/>
    <n v="0"/>
    <x v="0"/>
    <s v="Below College"/>
    <x v="0"/>
    <x v="2"/>
  </r>
  <r>
    <n v="45"/>
    <s v="No"/>
    <x v="0"/>
    <n v="954"/>
    <x v="0"/>
    <n v="2"/>
    <n v="2"/>
    <s v="Technical Degree"/>
    <n v="783"/>
    <n v="2"/>
    <x v="1"/>
    <n v="46"/>
    <n v="1"/>
    <x v="0"/>
    <x v="6"/>
    <n v="3"/>
    <x v="0"/>
    <n v="6632"/>
    <n v="12388"/>
    <n v="0"/>
    <x v="1"/>
    <n v="13"/>
    <n v="3"/>
    <n v="1"/>
    <n v="0"/>
    <n v="9"/>
    <n v="3"/>
    <x v="1"/>
    <n v="8"/>
    <n v="7"/>
    <n v="3"/>
    <n v="1"/>
    <x v="0"/>
    <x v="0"/>
    <n v="0"/>
    <x v="1"/>
    <s v="College"/>
    <x v="2"/>
    <x v="1"/>
  </r>
  <r>
    <n v="23"/>
    <s v="No"/>
    <x v="0"/>
    <n v="310"/>
    <x v="1"/>
    <n v="10"/>
    <n v="1"/>
    <s v="Medical"/>
    <n v="784"/>
    <n v="1"/>
    <x v="1"/>
    <n v="79"/>
    <n v="4"/>
    <x v="1"/>
    <x v="1"/>
    <n v="3"/>
    <x v="0"/>
    <n v="3505"/>
    <n v="19630"/>
    <n v="1"/>
    <x v="1"/>
    <n v="18"/>
    <n v="3"/>
    <n v="4"/>
    <n v="0"/>
    <n v="2"/>
    <n v="3"/>
    <x v="1"/>
    <n v="2"/>
    <n v="2"/>
    <n v="0"/>
    <n v="2"/>
    <x v="3"/>
    <x v="0"/>
    <n v="0"/>
    <x v="2"/>
    <s v="Below College"/>
    <x v="2"/>
    <x v="1"/>
  </r>
  <r>
    <n v="47"/>
    <s v="Yes"/>
    <x v="1"/>
    <n v="719"/>
    <x v="0"/>
    <n v="27"/>
    <n v="2"/>
    <s v="Life Sciences"/>
    <n v="785"/>
    <n v="2"/>
    <x v="0"/>
    <n v="77"/>
    <n v="4"/>
    <x v="0"/>
    <x v="0"/>
    <n v="3"/>
    <x v="0"/>
    <n v="6397"/>
    <n v="10339"/>
    <n v="4"/>
    <x v="0"/>
    <n v="12"/>
    <n v="3"/>
    <n v="4"/>
    <n v="0"/>
    <n v="8"/>
    <n v="2"/>
    <x v="1"/>
    <n v="5"/>
    <n v="4"/>
    <n v="1"/>
    <n v="3"/>
    <x v="1"/>
    <x v="0"/>
    <n v="1"/>
    <x v="2"/>
    <s v="College"/>
    <x v="2"/>
    <x v="1"/>
  </r>
  <r>
    <n v="34"/>
    <s v="No"/>
    <x v="0"/>
    <n v="304"/>
    <x v="0"/>
    <n v="2"/>
    <n v="3"/>
    <s v="Other"/>
    <n v="786"/>
    <n v="4"/>
    <x v="1"/>
    <n v="60"/>
    <n v="3"/>
    <x v="0"/>
    <x v="0"/>
    <n v="4"/>
    <x v="0"/>
    <n v="6274"/>
    <n v="18686"/>
    <n v="1"/>
    <x v="1"/>
    <n v="22"/>
    <n v="4"/>
    <n v="3"/>
    <n v="0"/>
    <n v="6"/>
    <n v="5"/>
    <x v="1"/>
    <n v="6"/>
    <n v="5"/>
    <n v="1"/>
    <n v="4"/>
    <x v="2"/>
    <x v="0"/>
    <n v="0"/>
    <x v="1"/>
    <s v="Bachelor"/>
    <x v="0"/>
    <x v="1"/>
  </r>
  <r>
    <n v="55"/>
    <s v="Yes"/>
    <x v="0"/>
    <n v="725"/>
    <x v="1"/>
    <n v="2"/>
    <n v="3"/>
    <s v="Medical"/>
    <n v="787"/>
    <n v="4"/>
    <x v="1"/>
    <n v="78"/>
    <n v="3"/>
    <x v="4"/>
    <x v="5"/>
    <n v="1"/>
    <x v="1"/>
    <n v="19859"/>
    <n v="21199"/>
    <n v="5"/>
    <x v="0"/>
    <n v="13"/>
    <n v="3"/>
    <n v="4"/>
    <n v="1"/>
    <n v="24"/>
    <n v="2"/>
    <x v="1"/>
    <n v="5"/>
    <n v="2"/>
    <n v="1"/>
    <n v="4"/>
    <x v="1"/>
    <x v="0"/>
    <n v="1"/>
    <x v="2"/>
    <s v="Bachelor"/>
    <x v="3"/>
    <x v="1"/>
  </r>
  <r>
    <n v="36"/>
    <s v="No"/>
    <x v="2"/>
    <n v="1434"/>
    <x v="0"/>
    <n v="8"/>
    <n v="4"/>
    <s v="Life Sciences"/>
    <n v="789"/>
    <n v="1"/>
    <x v="1"/>
    <n v="76"/>
    <n v="2"/>
    <x v="2"/>
    <x v="0"/>
    <n v="1"/>
    <x v="0"/>
    <n v="7587"/>
    <n v="14229"/>
    <n v="1"/>
    <x v="1"/>
    <n v="15"/>
    <n v="3"/>
    <n v="2"/>
    <n v="0"/>
    <n v="10"/>
    <n v="1"/>
    <x v="1"/>
    <n v="10"/>
    <n v="7"/>
    <n v="0"/>
    <n v="9"/>
    <x v="0"/>
    <x v="0"/>
    <n v="0"/>
    <x v="1"/>
    <s v="Master"/>
    <x v="3"/>
    <x v="1"/>
  </r>
  <r>
    <n v="52"/>
    <s v="No"/>
    <x v="2"/>
    <n v="715"/>
    <x v="1"/>
    <n v="19"/>
    <n v="4"/>
    <s v="Medical"/>
    <n v="791"/>
    <n v="4"/>
    <x v="1"/>
    <n v="41"/>
    <n v="3"/>
    <x v="1"/>
    <x v="1"/>
    <n v="4"/>
    <x v="1"/>
    <n v="4258"/>
    <n v="26589"/>
    <n v="0"/>
    <x v="1"/>
    <n v="18"/>
    <n v="3"/>
    <n v="1"/>
    <n v="1"/>
    <n v="5"/>
    <n v="3"/>
    <x v="1"/>
    <n v="4"/>
    <n v="3"/>
    <n v="1"/>
    <n v="2"/>
    <x v="1"/>
    <x v="0"/>
    <n v="0"/>
    <x v="2"/>
    <s v="Master"/>
    <x v="0"/>
    <x v="1"/>
  </r>
  <r>
    <n v="26"/>
    <s v="No"/>
    <x v="1"/>
    <n v="575"/>
    <x v="1"/>
    <n v="1"/>
    <n v="2"/>
    <s v="Life Sciences"/>
    <n v="792"/>
    <n v="1"/>
    <x v="0"/>
    <n v="71"/>
    <n v="1"/>
    <x v="1"/>
    <x v="2"/>
    <n v="4"/>
    <x v="2"/>
    <n v="4364"/>
    <n v="5288"/>
    <n v="3"/>
    <x v="1"/>
    <n v="14"/>
    <n v="3"/>
    <n v="1"/>
    <n v="1"/>
    <n v="5"/>
    <n v="2"/>
    <x v="1"/>
    <n v="2"/>
    <n v="2"/>
    <n v="2"/>
    <n v="0"/>
    <x v="2"/>
    <x v="3"/>
    <n v="0"/>
    <x v="2"/>
    <s v="College"/>
    <x v="0"/>
    <x v="1"/>
  </r>
  <r>
    <n v="29"/>
    <s v="No"/>
    <x v="0"/>
    <n v="657"/>
    <x v="1"/>
    <n v="27"/>
    <n v="3"/>
    <s v="Medical"/>
    <n v="793"/>
    <n v="2"/>
    <x v="0"/>
    <n v="66"/>
    <n v="3"/>
    <x v="0"/>
    <x v="4"/>
    <n v="3"/>
    <x v="1"/>
    <n v="4335"/>
    <n v="25549"/>
    <n v="4"/>
    <x v="1"/>
    <n v="12"/>
    <n v="3"/>
    <n v="1"/>
    <n v="1"/>
    <n v="11"/>
    <n v="3"/>
    <x v="2"/>
    <n v="8"/>
    <n v="7"/>
    <n v="1"/>
    <n v="1"/>
    <x v="2"/>
    <x v="0"/>
    <n v="0"/>
    <x v="0"/>
    <s v="Bachelor"/>
    <x v="2"/>
    <x v="2"/>
  </r>
  <r>
    <n v="26"/>
    <s v="Yes"/>
    <x v="0"/>
    <n v="1146"/>
    <x v="0"/>
    <n v="8"/>
    <n v="3"/>
    <s v="Technical Degree"/>
    <n v="796"/>
    <n v="4"/>
    <x v="1"/>
    <n v="38"/>
    <n v="2"/>
    <x v="0"/>
    <x v="0"/>
    <n v="1"/>
    <x v="0"/>
    <n v="5326"/>
    <n v="3064"/>
    <n v="6"/>
    <x v="1"/>
    <n v="17"/>
    <n v="3"/>
    <n v="3"/>
    <n v="0"/>
    <n v="6"/>
    <n v="2"/>
    <x v="2"/>
    <n v="4"/>
    <n v="3"/>
    <n v="1"/>
    <n v="2"/>
    <x v="2"/>
    <x v="3"/>
    <n v="1"/>
    <x v="0"/>
    <s v="Bachelor"/>
    <x v="3"/>
    <x v="2"/>
  </r>
  <r>
    <n v="34"/>
    <s v="No"/>
    <x v="0"/>
    <n v="182"/>
    <x v="1"/>
    <n v="1"/>
    <n v="4"/>
    <s v="Life Sciences"/>
    <n v="797"/>
    <n v="2"/>
    <x v="0"/>
    <n v="72"/>
    <n v="4"/>
    <x v="1"/>
    <x v="1"/>
    <n v="4"/>
    <x v="0"/>
    <n v="3280"/>
    <n v="13551"/>
    <n v="2"/>
    <x v="1"/>
    <n v="16"/>
    <n v="3"/>
    <n v="3"/>
    <n v="0"/>
    <n v="10"/>
    <n v="2"/>
    <x v="1"/>
    <n v="4"/>
    <n v="2"/>
    <n v="1"/>
    <n v="3"/>
    <x v="2"/>
    <x v="0"/>
    <n v="0"/>
    <x v="2"/>
    <s v="Master"/>
    <x v="0"/>
    <x v="1"/>
  </r>
  <r>
    <n v="54"/>
    <s v="No"/>
    <x v="0"/>
    <n v="376"/>
    <x v="1"/>
    <n v="19"/>
    <n v="4"/>
    <s v="Medical"/>
    <n v="799"/>
    <n v="4"/>
    <x v="0"/>
    <n v="95"/>
    <n v="3"/>
    <x v="0"/>
    <x v="3"/>
    <n v="1"/>
    <x v="2"/>
    <n v="5485"/>
    <n v="22670"/>
    <n v="9"/>
    <x v="0"/>
    <n v="11"/>
    <n v="3"/>
    <n v="2"/>
    <n v="2"/>
    <n v="9"/>
    <n v="4"/>
    <x v="1"/>
    <n v="5"/>
    <n v="3"/>
    <n v="1"/>
    <n v="4"/>
    <x v="1"/>
    <x v="0"/>
    <n v="0"/>
    <x v="2"/>
    <s v="Master"/>
    <x v="3"/>
    <x v="1"/>
  </r>
  <r>
    <n v="27"/>
    <s v="No"/>
    <x v="1"/>
    <n v="829"/>
    <x v="0"/>
    <n v="8"/>
    <n v="1"/>
    <s v="Marketing"/>
    <n v="800"/>
    <n v="3"/>
    <x v="1"/>
    <n v="84"/>
    <n v="3"/>
    <x v="0"/>
    <x v="0"/>
    <n v="4"/>
    <x v="1"/>
    <n v="4342"/>
    <n v="24008"/>
    <n v="0"/>
    <x v="1"/>
    <n v="19"/>
    <n v="3"/>
    <n v="2"/>
    <n v="1"/>
    <n v="5"/>
    <n v="3"/>
    <x v="1"/>
    <n v="4"/>
    <n v="2"/>
    <n v="1"/>
    <n v="1"/>
    <x v="2"/>
    <x v="0"/>
    <n v="0"/>
    <x v="2"/>
    <s v="Below College"/>
    <x v="0"/>
    <x v="1"/>
  </r>
  <r>
    <n v="37"/>
    <s v="No"/>
    <x v="0"/>
    <n v="571"/>
    <x v="1"/>
    <n v="10"/>
    <n v="1"/>
    <s v="Life Sciences"/>
    <n v="802"/>
    <n v="4"/>
    <x v="0"/>
    <n v="82"/>
    <n v="3"/>
    <x v="1"/>
    <x v="1"/>
    <n v="1"/>
    <x v="2"/>
    <n v="2782"/>
    <n v="19905"/>
    <n v="0"/>
    <x v="0"/>
    <n v="13"/>
    <n v="3"/>
    <n v="2"/>
    <n v="2"/>
    <n v="6"/>
    <n v="3"/>
    <x v="2"/>
    <n v="5"/>
    <n v="3"/>
    <n v="4"/>
    <n v="3"/>
    <x v="0"/>
    <x v="0"/>
    <n v="0"/>
    <x v="0"/>
    <s v="Below College"/>
    <x v="3"/>
    <x v="2"/>
  </r>
  <r>
    <n v="38"/>
    <s v="No"/>
    <x v="1"/>
    <n v="240"/>
    <x v="1"/>
    <n v="2"/>
    <n v="4"/>
    <s v="Life Sciences"/>
    <n v="803"/>
    <n v="1"/>
    <x v="0"/>
    <n v="75"/>
    <n v="4"/>
    <x v="0"/>
    <x v="3"/>
    <n v="1"/>
    <x v="0"/>
    <n v="5980"/>
    <n v="26085"/>
    <n v="6"/>
    <x v="0"/>
    <n v="12"/>
    <n v="3"/>
    <n v="4"/>
    <n v="0"/>
    <n v="17"/>
    <n v="2"/>
    <x v="1"/>
    <n v="15"/>
    <n v="7"/>
    <n v="4"/>
    <n v="12"/>
    <x v="0"/>
    <x v="0"/>
    <n v="0"/>
    <x v="3"/>
    <s v="Master"/>
    <x v="3"/>
    <x v="1"/>
  </r>
  <r>
    <n v="34"/>
    <s v="No"/>
    <x v="0"/>
    <n v="121"/>
    <x v="1"/>
    <n v="2"/>
    <n v="4"/>
    <s v="Medical"/>
    <n v="804"/>
    <n v="3"/>
    <x v="0"/>
    <n v="86"/>
    <n v="2"/>
    <x v="1"/>
    <x v="1"/>
    <n v="1"/>
    <x v="0"/>
    <n v="4381"/>
    <n v="7530"/>
    <n v="1"/>
    <x v="1"/>
    <n v="11"/>
    <n v="3"/>
    <n v="3"/>
    <n v="0"/>
    <n v="6"/>
    <n v="3"/>
    <x v="1"/>
    <n v="6"/>
    <n v="5"/>
    <n v="1"/>
    <n v="3"/>
    <x v="2"/>
    <x v="2"/>
    <n v="0"/>
    <x v="1"/>
    <s v="Master"/>
    <x v="3"/>
    <x v="1"/>
  </r>
  <r>
    <n v="35"/>
    <s v="No"/>
    <x v="0"/>
    <n v="384"/>
    <x v="0"/>
    <n v="8"/>
    <n v="4"/>
    <s v="Life Sciences"/>
    <n v="805"/>
    <n v="1"/>
    <x v="0"/>
    <n v="72"/>
    <n v="3"/>
    <x v="1"/>
    <x v="6"/>
    <n v="4"/>
    <x v="1"/>
    <n v="2572"/>
    <n v="20317"/>
    <n v="1"/>
    <x v="1"/>
    <n v="16"/>
    <n v="3"/>
    <n v="2"/>
    <n v="1"/>
    <n v="3"/>
    <n v="1"/>
    <x v="2"/>
    <n v="3"/>
    <n v="2"/>
    <n v="0"/>
    <n v="2"/>
    <x v="2"/>
    <x v="0"/>
    <n v="0"/>
    <x v="0"/>
    <s v="Master"/>
    <x v="0"/>
    <x v="2"/>
  </r>
  <r>
    <n v="30"/>
    <s v="No"/>
    <x v="0"/>
    <n v="921"/>
    <x v="1"/>
    <n v="1"/>
    <n v="3"/>
    <s v="Life Sciences"/>
    <n v="806"/>
    <n v="4"/>
    <x v="1"/>
    <n v="38"/>
    <n v="1"/>
    <x v="1"/>
    <x v="2"/>
    <n v="3"/>
    <x v="1"/>
    <n v="3833"/>
    <n v="24375"/>
    <n v="3"/>
    <x v="1"/>
    <n v="21"/>
    <n v="4"/>
    <n v="3"/>
    <n v="2"/>
    <n v="7"/>
    <n v="2"/>
    <x v="1"/>
    <n v="2"/>
    <n v="2"/>
    <n v="0"/>
    <n v="2"/>
    <x v="2"/>
    <x v="0"/>
    <n v="0"/>
    <x v="2"/>
    <s v="Bachelor"/>
    <x v="2"/>
    <x v="1"/>
  </r>
  <r>
    <n v="40"/>
    <s v="No"/>
    <x v="1"/>
    <n v="791"/>
    <x v="1"/>
    <n v="2"/>
    <n v="2"/>
    <s v="Medical"/>
    <n v="807"/>
    <n v="3"/>
    <x v="0"/>
    <n v="38"/>
    <n v="4"/>
    <x v="0"/>
    <x v="4"/>
    <n v="2"/>
    <x v="1"/>
    <n v="4244"/>
    <n v="9931"/>
    <n v="1"/>
    <x v="1"/>
    <n v="24"/>
    <n v="4"/>
    <n v="4"/>
    <n v="1"/>
    <n v="8"/>
    <n v="2"/>
    <x v="1"/>
    <n v="8"/>
    <n v="7"/>
    <n v="3"/>
    <n v="7"/>
    <x v="0"/>
    <x v="2"/>
    <n v="0"/>
    <x v="1"/>
    <s v="College"/>
    <x v="1"/>
    <x v="1"/>
  </r>
  <r>
    <n v="34"/>
    <s v="No"/>
    <x v="0"/>
    <n v="1111"/>
    <x v="0"/>
    <n v="8"/>
    <n v="2"/>
    <s v="Life Sciences"/>
    <n v="808"/>
    <n v="3"/>
    <x v="0"/>
    <n v="93"/>
    <n v="3"/>
    <x v="0"/>
    <x v="0"/>
    <n v="1"/>
    <x v="1"/>
    <n v="6500"/>
    <n v="13305"/>
    <n v="5"/>
    <x v="1"/>
    <n v="17"/>
    <n v="3"/>
    <n v="2"/>
    <n v="1"/>
    <n v="6"/>
    <n v="1"/>
    <x v="1"/>
    <n v="3"/>
    <n v="2"/>
    <n v="1"/>
    <n v="2"/>
    <x v="2"/>
    <x v="0"/>
    <n v="0"/>
    <x v="2"/>
    <s v="College"/>
    <x v="3"/>
    <x v="1"/>
  </r>
  <r>
    <n v="42"/>
    <s v="No"/>
    <x v="1"/>
    <n v="570"/>
    <x v="1"/>
    <n v="8"/>
    <n v="3"/>
    <s v="Life Sciences"/>
    <n v="809"/>
    <n v="2"/>
    <x v="1"/>
    <n v="66"/>
    <n v="3"/>
    <x v="4"/>
    <x v="5"/>
    <n v="4"/>
    <x v="2"/>
    <n v="18430"/>
    <n v="16225"/>
    <n v="1"/>
    <x v="1"/>
    <n v="13"/>
    <n v="3"/>
    <n v="2"/>
    <n v="1"/>
    <n v="24"/>
    <n v="4"/>
    <x v="2"/>
    <n v="24"/>
    <n v="7"/>
    <n v="14"/>
    <n v="9"/>
    <x v="0"/>
    <x v="0"/>
    <n v="0"/>
    <x v="0"/>
    <s v="Bachelor"/>
    <x v="0"/>
    <x v="2"/>
  </r>
  <r>
    <n v="23"/>
    <s v="Yes"/>
    <x v="0"/>
    <n v="1243"/>
    <x v="1"/>
    <n v="6"/>
    <n v="3"/>
    <s v="Life Sciences"/>
    <n v="811"/>
    <n v="3"/>
    <x v="1"/>
    <n v="63"/>
    <n v="4"/>
    <x v="1"/>
    <x v="2"/>
    <n v="1"/>
    <x v="1"/>
    <n v="1601"/>
    <n v="3445"/>
    <n v="1"/>
    <x v="0"/>
    <n v="21"/>
    <n v="4"/>
    <n v="3"/>
    <n v="2"/>
    <n v="1"/>
    <n v="2"/>
    <x v="1"/>
    <n v="0"/>
    <n v="0"/>
    <n v="0"/>
    <n v="0"/>
    <x v="3"/>
    <x v="3"/>
    <n v="1"/>
    <x v="2"/>
    <s v="Bachelor"/>
    <x v="3"/>
    <x v="1"/>
  </r>
  <r>
    <n v="24"/>
    <s v="No"/>
    <x v="2"/>
    <n v="1092"/>
    <x v="1"/>
    <n v="9"/>
    <n v="3"/>
    <s v="Life Sciences"/>
    <n v="812"/>
    <n v="3"/>
    <x v="1"/>
    <n v="60"/>
    <n v="2"/>
    <x v="1"/>
    <x v="2"/>
    <n v="2"/>
    <x v="2"/>
    <n v="2694"/>
    <n v="26551"/>
    <n v="1"/>
    <x v="1"/>
    <n v="11"/>
    <n v="3"/>
    <n v="3"/>
    <n v="3"/>
    <n v="1"/>
    <n v="4"/>
    <x v="1"/>
    <n v="1"/>
    <n v="0"/>
    <n v="0"/>
    <n v="0"/>
    <x v="3"/>
    <x v="0"/>
    <n v="0"/>
    <x v="2"/>
    <s v="Bachelor"/>
    <x v="1"/>
    <x v="1"/>
  </r>
  <r>
    <n v="52"/>
    <s v="No"/>
    <x v="0"/>
    <n v="1325"/>
    <x v="1"/>
    <n v="11"/>
    <n v="4"/>
    <s v="Life Sciences"/>
    <n v="813"/>
    <n v="4"/>
    <x v="0"/>
    <n v="82"/>
    <n v="3"/>
    <x v="0"/>
    <x v="2"/>
    <n v="3"/>
    <x v="1"/>
    <n v="3149"/>
    <n v="21821"/>
    <n v="8"/>
    <x v="1"/>
    <n v="20"/>
    <n v="4"/>
    <n v="2"/>
    <n v="1"/>
    <n v="9"/>
    <n v="3"/>
    <x v="1"/>
    <n v="5"/>
    <n v="2"/>
    <n v="1"/>
    <n v="4"/>
    <x v="1"/>
    <x v="0"/>
    <n v="0"/>
    <x v="2"/>
    <s v="Master"/>
    <x v="2"/>
    <x v="1"/>
  </r>
  <r>
    <n v="50"/>
    <s v="No"/>
    <x v="0"/>
    <n v="691"/>
    <x v="1"/>
    <n v="2"/>
    <n v="3"/>
    <s v="Medical"/>
    <n v="815"/>
    <n v="3"/>
    <x v="1"/>
    <n v="64"/>
    <n v="3"/>
    <x v="3"/>
    <x v="7"/>
    <n v="3"/>
    <x v="1"/>
    <n v="17639"/>
    <n v="6881"/>
    <n v="5"/>
    <x v="1"/>
    <n v="16"/>
    <n v="3"/>
    <n v="4"/>
    <n v="0"/>
    <n v="30"/>
    <n v="3"/>
    <x v="1"/>
    <n v="4"/>
    <n v="3"/>
    <n v="0"/>
    <n v="3"/>
    <x v="1"/>
    <x v="2"/>
    <n v="0"/>
    <x v="2"/>
    <s v="Bachelor"/>
    <x v="2"/>
    <x v="1"/>
  </r>
  <r>
    <n v="29"/>
    <s v="Yes"/>
    <x v="0"/>
    <n v="805"/>
    <x v="1"/>
    <n v="1"/>
    <n v="2"/>
    <s v="Life Sciences"/>
    <n v="816"/>
    <n v="2"/>
    <x v="0"/>
    <n v="36"/>
    <n v="2"/>
    <x v="1"/>
    <x v="2"/>
    <n v="1"/>
    <x v="1"/>
    <n v="2319"/>
    <n v="6689"/>
    <n v="1"/>
    <x v="0"/>
    <n v="11"/>
    <n v="3"/>
    <n v="4"/>
    <n v="1"/>
    <n v="1"/>
    <n v="1"/>
    <x v="1"/>
    <n v="1"/>
    <n v="0"/>
    <n v="0"/>
    <n v="0"/>
    <x v="2"/>
    <x v="2"/>
    <n v="1"/>
    <x v="2"/>
    <s v="College"/>
    <x v="3"/>
    <x v="1"/>
  </r>
  <r>
    <n v="33"/>
    <s v="No"/>
    <x v="0"/>
    <n v="213"/>
    <x v="1"/>
    <n v="7"/>
    <n v="3"/>
    <s v="Medical"/>
    <n v="817"/>
    <n v="3"/>
    <x v="1"/>
    <n v="49"/>
    <n v="3"/>
    <x v="2"/>
    <x v="7"/>
    <n v="3"/>
    <x v="1"/>
    <n v="11691"/>
    <n v="25995"/>
    <n v="0"/>
    <x v="1"/>
    <n v="11"/>
    <n v="3"/>
    <n v="4"/>
    <n v="0"/>
    <n v="14"/>
    <n v="3"/>
    <x v="3"/>
    <n v="13"/>
    <n v="9"/>
    <n v="3"/>
    <n v="7"/>
    <x v="2"/>
    <x v="0"/>
    <n v="0"/>
    <x v="3"/>
    <s v="Bachelor"/>
    <x v="2"/>
    <x v="3"/>
  </r>
  <r>
    <n v="33"/>
    <s v="Yes"/>
    <x v="0"/>
    <n v="118"/>
    <x v="0"/>
    <n v="16"/>
    <n v="3"/>
    <s v="Marketing"/>
    <n v="819"/>
    <n v="1"/>
    <x v="0"/>
    <n v="69"/>
    <n v="3"/>
    <x v="0"/>
    <x v="0"/>
    <n v="1"/>
    <x v="0"/>
    <n v="5324"/>
    <n v="26507"/>
    <n v="5"/>
    <x v="1"/>
    <n v="15"/>
    <n v="3"/>
    <n v="3"/>
    <n v="0"/>
    <n v="6"/>
    <n v="3"/>
    <x v="1"/>
    <n v="3"/>
    <n v="2"/>
    <n v="0"/>
    <n v="2"/>
    <x v="2"/>
    <x v="0"/>
    <n v="1"/>
    <x v="2"/>
    <s v="Bachelor"/>
    <x v="3"/>
    <x v="1"/>
  </r>
  <r>
    <n v="47"/>
    <s v="No"/>
    <x v="0"/>
    <n v="202"/>
    <x v="1"/>
    <n v="2"/>
    <n v="2"/>
    <s v="Other"/>
    <n v="820"/>
    <n v="3"/>
    <x v="0"/>
    <n v="33"/>
    <n v="3"/>
    <x v="3"/>
    <x v="5"/>
    <n v="4"/>
    <x v="1"/>
    <n v="16752"/>
    <n v="12982"/>
    <n v="1"/>
    <x v="0"/>
    <n v="11"/>
    <n v="3"/>
    <n v="3"/>
    <n v="1"/>
    <n v="26"/>
    <n v="3"/>
    <x v="2"/>
    <n v="26"/>
    <n v="14"/>
    <n v="3"/>
    <n v="0"/>
    <x v="1"/>
    <x v="0"/>
    <n v="0"/>
    <x v="0"/>
    <s v="College"/>
    <x v="0"/>
    <x v="2"/>
  </r>
  <r>
    <n v="36"/>
    <s v="No"/>
    <x v="0"/>
    <n v="676"/>
    <x v="1"/>
    <n v="1"/>
    <n v="3"/>
    <s v="Other"/>
    <n v="823"/>
    <n v="3"/>
    <x v="0"/>
    <n v="35"/>
    <n v="3"/>
    <x v="0"/>
    <x v="3"/>
    <n v="2"/>
    <x v="1"/>
    <n v="5228"/>
    <n v="23361"/>
    <n v="0"/>
    <x v="1"/>
    <n v="15"/>
    <n v="3"/>
    <n v="1"/>
    <n v="1"/>
    <n v="10"/>
    <n v="2"/>
    <x v="1"/>
    <n v="9"/>
    <n v="7"/>
    <n v="0"/>
    <n v="5"/>
    <x v="0"/>
    <x v="0"/>
    <n v="0"/>
    <x v="1"/>
    <s v="Bachelor"/>
    <x v="1"/>
    <x v="1"/>
  </r>
  <r>
    <n v="29"/>
    <s v="No"/>
    <x v="0"/>
    <n v="1252"/>
    <x v="1"/>
    <n v="23"/>
    <n v="2"/>
    <s v="Life Sciences"/>
    <n v="824"/>
    <n v="3"/>
    <x v="1"/>
    <n v="81"/>
    <n v="4"/>
    <x v="1"/>
    <x v="1"/>
    <n v="3"/>
    <x v="1"/>
    <n v="2700"/>
    <n v="23779"/>
    <n v="1"/>
    <x v="1"/>
    <n v="24"/>
    <n v="4"/>
    <n v="3"/>
    <n v="1"/>
    <n v="10"/>
    <n v="3"/>
    <x v="1"/>
    <n v="10"/>
    <n v="7"/>
    <n v="0"/>
    <n v="7"/>
    <x v="2"/>
    <x v="0"/>
    <n v="0"/>
    <x v="1"/>
    <s v="College"/>
    <x v="2"/>
    <x v="1"/>
  </r>
  <r>
    <n v="58"/>
    <s v="Yes"/>
    <x v="0"/>
    <n v="286"/>
    <x v="1"/>
    <n v="2"/>
    <n v="4"/>
    <s v="Life Sciences"/>
    <n v="825"/>
    <n v="4"/>
    <x v="1"/>
    <n v="31"/>
    <n v="3"/>
    <x v="4"/>
    <x v="7"/>
    <n v="2"/>
    <x v="0"/>
    <n v="19246"/>
    <n v="25761"/>
    <n v="7"/>
    <x v="0"/>
    <n v="12"/>
    <n v="3"/>
    <n v="4"/>
    <n v="0"/>
    <n v="40"/>
    <n v="2"/>
    <x v="1"/>
    <n v="31"/>
    <n v="15"/>
    <n v="13"/>
    <n v="8"/>
    <x v="1"/>
    <x v="0"/>
    <n v="1"/>
    <x v="3"/>
    <s v="Master"/>
    <x v="1"/>
    <x v="1"/>
  </r>
  <r>
    <n v="35"/>
    <s v="No"/>
    <x v="0"/>
    <n v="1258"/>
    <x v="1"/>
    <n v="1"/>
    <n v="4"/>
    <s v="Life Sciences"/>
    <n v="826"/>
    <n v="4"/>
    <x v="0"/>
    <n v="40"/>
    <n v="4"/>
    <x v="1"/>
    <x v="1"/>
    <n v="3"/>
    <x v="0"/>
    <n v="2506"/>
    <n v="13301"/>
    <n v="3"/>
    <x v="1"/>
    <n v="13"/>
    <n v="3"/>
    <n v="3"/>
    <n v="0"/>
    <n v="7"/>
    <n v="0"/>
    <x v="1"/>
    <n v="2"/>
    <n v="2"/>
    <n v="2"/>
    <n v="2"/>
    <x v="2"/>
    <x v="0"/>
    <n v="0"/>
    <x v="2"/>
    <s v="Master"/>
    <x v="2"/>
    <x v="1"/>
  </r>
  <r>
    <n v="42"/>
    <s v="No"/>
    <x v="0"/>
    <n v="932"/>
    <x v="1"/>
    <n v="1"/>
    <n v="2"/>
    <s v="Life Sciences"/>
    <n v="827"/>
    <n v="4"/>
    <x v="0"/>
    <n v="43"/>
    <n v="2"/>
    <x v="0"/>
    <x v="3"/>
    <n v="4"/>
    <x v="1"/>
    <n v="6062"/>
    <n v="4051"/>
    <n v="9"/>
    <x v="0"/>
    <n v="13"/>
    <n v="3"/>
    <n v="4"/>
    <n v="1"/>
    <n v="8"/>
    <n v="4"/>
    <x v="1"/>
    <n v="4"/>
    <n v="3"/>
    <n v="0"/>
    <n v="2"/>
    <x v="0"/>
    <x v="3"/>
    <n v="0"/>
    <x v="2"/>
    <s v="College"/>
    <x v="0"/>
    <x v="1"/>
  </r>
  <r>
    <n v="28"/>
    <s v="Yes"/>
    <x v="0"/>
    <n v="890"/>
    <x v="1"/>
    <n v="2"/>
    <n v="4"/>
    <s v="Medical"/>
    <n v="828"/>
    <n v="3"/>
    <x v="1"/>
    <n v="46"/>
    <n v="3"/>
    <x v="1"/>
    <x v="1"/>
    <n v="3"/>
    <x v="0"/>
    <n v="4382"/>
    <n v="16374"/>
    <n v="6"/>
    <x v="1"/>
    <n v="17"/>
    <n v="3"/>
    <n v="4"/>
    <n v="0"/>
    <n v="5"/>
    <n v="3"/>
    <x v="2"/>
    <n v="2"/>
    <n v="2"/>
    <n v="2"/>
    <n v="1"/>
    <x v="2"/>
    <x v="0"/>
    <n v="1"/>
    <x v="0"/>
    <s v="Master"/>
    <x v="2"/>
    <x v="2"/>
  </r>
  <r>
    <n v="36"/>
    <s v="No"/>
    <x v="0"/>
    <n v="1041"/>
    <x v="2"/>
    <n v="13"/>
    <n v="3"/>
    <s v="Human Resources"/>
    <n v="829"/>
    <n v="3"/>
    <x v="1"/>
    <n v="36"/>
    <n v="3"/>
    <x v="1"/>
    <x v="8"/>
    <n v="2"/>
    <x v="1"/>
    <n v="2143"/>
    <n v="25527"/>
    <n v="4"/>
    <x v="1"/>
    <n v="13"/>
    <n v="3"/>
    <n v="2"/>
    <n v="1"/>
    <n v="8"/>
    <n v="2"/>
    <x v="1"/>
    <n v="5"/>
    <n v="2"/>
    <n v="0"/>
    <n v="4"/>
    <x v="0"/>
    <x v="0"/>
    <n v="0"/>
    <x v="2"/>
    <s v="Bachelor"/>
    <x v="1"/>
    <x v="1"/>
  </r>
  <r>
    <n v="32"/>
    <s v="No"/>
    <x v="0"/>
    <n v="859"/>
    <x v="1"/>
    <n v="4"/>
    <n v="3"/>
    <s v="Life Sciences"/>
    <n v="830"/>
    <n v="3"/>
    <x v="0"/>
    <n v="98"/>
    <n v="2"/>
    <x v="0"/>
    <x v="3"/>
    <n v="3"/>
    <x v="1"/>
    <n v="6162"/>
    <n v="19124"/>
    <n v="1"/>
    <x v="1"/>
    <n v="12"/>
    <n v="3"/>
    <n v="3"/>
    <n v="1"/>
    <n v="14"/>
    <n v="3"/>
    <x v="1"/>
    <n v="14"/>
    <n v="13"/>
    <n v="6"/>
    <n v="8"/>
    <x v="2"/>
    <x v="0"/>
    <n v="0"/>
    <x v="3"/>
    <s v="Bachelor"/>
    <x v="2"/>
    <x v="1"/>
  </r>
  <r>
    <n v="40"/>
    <s v="No"/>
    <x v="1"/>
    <n v="720"/>
    <x v="1"/>
    <n v="16"/>
    <n v="4"/>
    <s v="Medical"/>
    <n v="832"/>
    <n v="1"/>
    <x v="1"/>
    <n v="51"/>
    <n v="2"/>
    <x v="0"/>
    <x v="2"/>
    <n v="3"/>
    <x v="0"/>
    <n v="5094"/>
    <n v="11983"/>
    <n v="6"/>
    <x v="1"/>
    <n v="14"/>
    <n v="3"/>
    <n v="4"/>
    <n v="0"/>
    <n v="10"/>
    <n v="6"/>
    <x v="1"/>
    <n v="1"/>
    <n v="0"/>
    <n v="0"/>
    <n v="0"/>
    <x v="0"/>
    <x v="0"/>
    <n v="0"/>
    <x v="2"/>
    <s v="Master"/>
    <x v="2"/>
    <x v="1"/>
  </r>
  <r>
    <n v="30"/>
    <s v="No"/>
    <x v="0"/>
    <n v="946"/>
    <x v="1"/>
    <n v="2"/>
    <n v="3"/>
    <s v="Medical"/>
    <n v="833"/>
    <n v="3"/>
    <x v="0"/>
    <n v="52"/>
    <n v="2"/>
    <x v="0"/>
    <x v="3"/>
    <n v="4"/>
    <x v="0"/>
    <n v="6877"/>
    <n v="20234"/>
    <n v="5"/>
    <x v="0"/>
    <n v="24"/>
    <n v="4"/>
    <n v="2"/>
    <n v="0"/>
    <n v="12"/>
    <n v="4"/>
    <x v="2"/>
    <n v="0"/>
    <n v="0"/>
    <n v="0"/>
    <n v="0"/>
    <x v="2"/>
    <x v="0"/>
    <n v="0"/>
    <x v="0"/>
    <s v="Bachelor"/>
    <x v="0"/>
    <x v="2"/>
  </r>
  <r>
    <n v="45"/>
    <s v="No"/>
    <x v="0"/>
    <n v="252"/>
    <x v="1"/>
    <n v="2"/>
    <n v="3"/>
    <s v="Life Sciences"/>
    <n v="834"/>
    <n v="2"/>
    <x v="0"/>
    <n v="95"/>
    <n v="2"/>
    <x v="1"/>
    <x v="1"/>
    <n v="3"/>
    <x v="0"/>
    <n v="2274"/>
    <n v="6153"/>
    <n v="1"/>
    <x v="1"/>
    <n v="14"/>
    <n v="3"/>
    <n v="4"/>
    <n v="0"/>
    <n v="1"/>
    <n v="3"/>
    <x v="1"/>
    <n v="1"/>
    <n v="0"/>
    <n v="0"/>
    <n v="0"/>
    <x v="0"/>
    <x v="2"/>
    <n v="0"/>
    <x v="2"/>
    <s v="Bachelor"/>
    <x v="2"/>
    <x v="1"/>
  </r>
  <r>
    <n v="42"/>
    <s v="No"/>
    <x v="0"/>
    <n v="933"/>
    <x v="1"/>
    <n v="29"/>
    <n v="3"/>
    <s v="Life Sciences"/>
    <n v="836"/>
    <n v="2"/>
    <x v="1"/>
    <n v="98"/>
    <n v="3"/>
    <x v="0"/>
    <x v="3"/>
    <n v="2"/>
    <x v="1"/>
    <n v="4434"/>
    <n v="11806"/>
    <n v="1"/>
    <x v="1"/>
    <n v="13"/>
    <n v="3"/>
    <n v="4"/>
    <n v="1"/>
    <n v="10"/>
    <n v="3"/>
    <x v="2"/>
    <n v="9"/>
    <n v="8"/>
    <n v="7"/>
    <n v="8"/>
    <x v="0"/>
    <x v="0"/>
    <n v="0"/>
    <x v="0"/>
    <s v="Bachelor"/>
    <x v="1"/>
    <x v="2"/>
  </r>
  <r>
    <n v="38"/>
    <s v="No"/>
    <x v="1"/>
    <n v="471"/>
    <x v="1"/>
    <n v="12"/>
    <n v="3"/>
    <s v="Life Sciences"/>
    <n v="837"/>
    <n v="1"/>
    <x v="1"/>
    <n v="45"/>
    <n v="2"/>
    <x v="0"/>
    <x v="4"/>
    <n v="1"/>
    <x v="2"/>
    <n v="6288"/>
    <n v="4284"/>
    <n v="2"/>
    <x v="1"/>
    <n v="15"/>
    <n v="3"/>
    <n v="3"/>
    <n v="1"/>
    <n v="13"/>
    <n v="3"/>
    <x v="2"/>
    <n v="4"/>
    <n v="3"/>
    <n v="1"/>
    <n v="2"/>
    <x v="0"/>
    <x v="3"/>
    <n v="0"/>
    <x v="0"/>
    <s v="Bachelor"/>
    <x v="3"/>
    <x v="2"/>
  </r>
  <r>
    <n v="34"/>
    <s v="No"/>
    <x v="1"/>
    <n v="702"/>
    <x v="1"/>
    <n v="16"/>
    <n v="4"/>
    <s v="Life Sciences"/>
    <n v="838"/>
    <n v="3"/>
    <x v="0"/>
    <n v="100"/>
    <n v="2"/>
    <x v="1"/>
    <x v="1"/>
    <n v="4"/>
    <x v="0"/>
    <n v="2553"/>
    <n v="8306"/>
    <n v="1"/>
    <x v="1"/>
    <n v="16"/>
    <n v="3"/>
    <n v="3"/>
    <n v="0"/>
    <n v="6"/>
    <n v="3"/>
    <x v="1"/>
    <n v="5"/>
    <n v="2"/>
    <n v="1"/>
    <n v="3"/>
    <x v="2"/>
    <x v="2"/>
    <n v="0"/>
    <x v="2"/>
    <s v="Master"/>
    <x v="0"/>
    <x v="1"/>
  </r>
  <r>
    <n v="49"/>
    <s v="Yes"/>
    <x v="0"/>
    <n v="1184"/>
    <x v="0"/>
    <n v="11"/>
    <n v="3"/>
    <s v="Marketing"/>
    <n v="840"/>
    <n v="3"/>
    <x v="0"/>
    <n v="43"/>
    <n v="3"/>
    <x v="2"/>
    <x v="0"/>
    <n v="4"/>
    <x v="1"/>
    <n v="7654"/>
    <n v="5860"/>
    <n v="1"/>
    <x v="1"/>
    <n v="18"/>
    <n v="3"/>
    <n v="1"/>
    <n v="2"/>
    <n v="9"/>
    <n v="3"/>
    <x v="3"/>
    <n v="9"/>
    <n v="8"/>
    <n v="7"/>
    <n v="7"/>
    <x v="1"/>
    <x v="3"/>
    <n v="1"/>
    <x v="1"/>
    <s v="Bachelor"/>
    <x v="0"/>
    <x v="3"/>
  </r>
  <r>
    <n v="55"/>
    <s v="Yes"/>
    <x v="0"/>
    <n v="436"/>
    <x v="0"/>
    <n v="2"/>
    <n v="1"/>
    <s v="Medical"/>
    <n v="842"/>
    <n v="3"/>
    <x v="1"/>
    <n v="37"/>
    <n v="3"/>
    <x v="0"/>
    <x v="0"/>
    <n v="4"/>
    <x v="0"/>
    <n v="5160"/>
    <n v="21519"/>
    <n v="4"/>
    <x v="1"/>
    <n v="16"/>
    <n v="3"/>
    <n v="3"/>
    <n v="0"/>
    <n v="12"/>
    <n v="3"/>
    <x v="2"/>
    <n v="9"/>
    <n v="7"/>
    <n v="7"/>
    <n v="3"/>
    <x v="1"/>
    <x v="0"/>
    <n v="1"/>
    <x v="0"/>
    <s v="Below College"/>
    <x v="0"/>
    <x v="2"/>
  </r>
  <r>
    <n v="43"/>
    <s v="No"/>
    <x v="0"/>
    <n v="589"/>
    <x v="1"/>
    <n v="14"/>
    <n v="2"/>
    <s v="Life Sciences"/>
    <n v="843"/>
    <n v="2"/>
    <x v="1"/>
    <n v="94"/>
    <n v="3"/>
    <x v="3"/>
    <x v="7"/>
    <n v="1"/>
    <x v="1"/>
    <n v="17159"/>
    <n v="5200"/>
    <n v="6"/>
    <x v="1"/>
    <n v="24"/>
    <n v="4"/>
    <n v="3"/>
    <n v="1"/>
    <n v="22"/>
    <n v="3"/>
    <x v="1"/>
    <n v="4"/>
    <n v="1"/>
    <n v="1"/>
    <n v="0"/>
    <x v="0"/>
    <x v="3"/>
    <n v="0"/>
    <x v="2"/>
    <s v="College"/>
    <x v="3"/>
    <x v="1"/>
  </r>
  <r>
    <n v="27"/>
    <s v="No"/>
    <x v="0"/>
    <n v="269"/>
    <x v="1"/>
    <n v="5"/>
    <n v="1"/>
    <s v="Technical Degree"/>
    <n v="844"/>
    <n v="3"/>
    <x v="1"/>
    <n v="42"/>
    <n v="2"/>
    <x v="2"/>
    <x v="7"/>
    <n v="4"/>
    <x v="2"/>
    <n v="12808"/>
    <n v="8842"/>
    <n v="1"/>
    <x v="0"/>
    <n v="16"/>
    <n v="3"/>
    <n v="2"/>
    <n v="1"/>
    <n v="9"/>
    <n v="3"/>
    <x v="1"/>
    <n v="9"/>
    <n v="8"/>
    <n v="0"/>
    <n v="8"/>
    <x v="2"/>
    <x v="2"/>
    <n v="0"/>
    <x v="1"/>
    <s v="Below College"/>
    <x v="0"/>
    <x v="1"/>
  </r>
  <r>
    <n v="35"/>
    <s v="No"/>
    <x v="0"/>
    <n v="950"/>
    <x v="1"/>
    <n v="7"/>
    <n v="3"/>
    <s v="Other"/>
    <n v="845"/>
    <n v="3"/>
    <x v="1"/>
    <n v="59"/>
    <n v="3"/>
    <x v="2"/>
    <x v="3"/>
    <n v="3"/>
    <x v="0"/>
    <n v="10221"/>
    <n v="18869"/>
    <n v="3"/>
    <x v="1"/>
    <n v="21"/>
    <n v="4"/>
    <n v="2"/>
    <n v="0"/>
    <n v="17"/>
    <n v="3"/>
    <x v="3"/>
    <n v="8"/>
    <n v="5"/>
    <n v="1"/>
    <n v="6"/>
    <x v="2"/>
    <x v="0"/>
    <n v="0"/>
    <x v="1"/>
    <s v="Bachelor"/>
    <x v="2"/>
    <x v="3"/>
  </r>
  <r>
    <n v="28"/>
    <s v="No"/>
    <x v="0"/>
    <n v="760"/>
    <x v="0"/>
    <n v="2"/>
    <n v="4"/>
    <s v="Marketing"/>
    <n v="846"/>
    <n v="2"/>
    <x v="0"/>
    <n v="81"/>
    <n v="3"/>
    <x v="0"/>
    <x v="0"/>
    <n v="2"/>
    <x v="1"/>
    <n v="4779"/>
    <n v="3698"/>
    <n v="1"/>
    <x v="0"/>
    <n v="20"/>
    <n v="4"/>
    <n v="1"/>
    <n v="0"/>
    <n v="8"/>
    <n v="2"/>
    <x v="1"/>
    <n v="8"/>
    <n v="7"/>
    <n v="7"/>
    <n v="5"/>
    <x v="2"/>
    <x v="3"/>
    <n v="0"/>
    <x v="1"/>
    <s v="Master"/>
    <x v="1"/>
    <x v="1"/>
  </r>
  <r>
    <n v="34"/>
    <s v="No"/>
    <x v="0"/>
    <n v="829"/>
    <x v="2"/>
    <n v="3"/>
    <n v="2"/>
    <s v="Human Resources"/>
    <n v="847"/>
    <n v="3"/>
    <x v="1"/>
    <n v="88"/>
    <n v="3"/>
    <x v="1"/>
    <x v="8"/>
    <n v="4"/>
    <x v="1"/>
    <n v="3737"/>
    <n v="2243"/>
    <n v="0"/>
    <x v="1"/>
    <n v="19"/>
    <n v="3"/>
    <n v="3"/>
    <n v="1"/>
    <n v="4"/>
    <n v="1"/>
    <x v="0"/>
    <n v="3"/>
    <n v="2"/>
    <n v="0"/>
    <n v="2"/>
    <x v="2"/>
    <x v="1"/>
    <n v="0"/>
    <x v="0"/>
    <s v="College"/>
    <x v="0"/>
    <x v="0"/>
  </r>
  <r>
    <n v="26"/>
    <s v="Yes"/>
    <x v="1"/>
    <n v="887"/>
    <x v="1"/>
    <n v="5"/>
    <n v="2"/>
    <s v="Medical"/>
    <n v="848"/>
    <n v="3"/>
    <x v="0"/>
    <n v="88"/>
    <n v="2"/>
    <x v="1"/>
    <x v="1"/>
    <n v="3"/>
    <x v="1"/>
    <n v="2366"/>
    <n v="20898"/>
    <n v="1"/>
    <x v="0"/>
    <n v="14"/>
    <n v="3"/>
    <n v="1"/>
    <n v="1"/>
    <n v="8"/>
    <n v="2"/>
    <x v="1"/>
    <n v="8"/>
    <n v="7"/>
    <n v="1"/>
    <n v="7"/>
    <x v="2"/>
    <x v="0"/>
    <n v="1"/>
    <x v="1"/>
    <s v="College"/>
    <x v="2"/>
    <x v="1"/>
  </r>
  <r>
    <n v="27"/>
    <s v="No"/>
    <x v="2"/>
    <n v="443"/>
    <x v="1"/>
    <n v="3"/>
    <n v="3"/>
    <s v="Medical"/>
    <n v="850"/>
    <n v="4"/>
    <x v="1"/>
    <n v="50"/>
    <n v="3"/>
    <x v="1"/>
    <x v="1"/>
    <n v="4"/>
    <x v="1"/>
    <n v="1706"/>
    <n v="16571"/>
    <n v="1"/>
    <x v="1"/>
    <n v="11"/>
    <n v="3"/>
    <n v="3"/>
    <n v="3"/>
    <n v="0"/>
    <n v="6"/>
    <x v="2"/>
    <n v="0"/>
    <n v="0"/>
    <n v="0"/>
    <n v="0"/>
    <x v="2"/>
    <x v="0"/>
    <n v="0"/>
    <x v="0"/>
    <s v="Bachelor"/>
    <x v="0"/>
    <x v="2"/>
  </r>
  <r>
    <n v="51"/>
    <s v="No"/>
    <x v="0"/>
    <n v="1318"/>
    <x v="0"/>
    <n v="26"/>
    <n v="4"/>
    <s v="Marketing"/>
    <n v="851"/>
    <n v="1"/>
    <x v="0"/>
    <n v="66"/>
    <n v="3"/>
    <x v="3"/>
    <x v="5"/>
    <n v="3"/>
    <x v="1"/>
    <n v="16307"/>
    <n v="5594"/>
    <n v="2"/>
    <x v="1"/>
    <n v="14"/>
    <n v="3"/>
    <n v="3"/>
    <n v="1"/>
    <n v="29"/>
    <n v="2"/>
    <x v="2"/>
    <n v="20"/>
    <n v="6"/>
    <n v="4"/>
    <n v="17"/>
    <x v="1"/>
    <x v="3"/>
    <n v="0"/>
    <x v="0"/>
    <s v="Master"/>
    <x v="2"/>
    <x v="2"/>
  </r>
  <r>
    <n v="44"/>
    <s v="No"/>
    <x v="0"/>
    <n v="625"/>
    <x v="1"/>
    <n v="4"/>
    <n v="3"/>
    <s v="Medical"/>
    <n v="852"/>
    <n v="4"/>
    <x v="1"/>
    <n v="50"/>
    <n v="3"/>
    <x v="0"/>
    <x v="4"/>
    <n v="2"/>
    <x v="0"/>
    <n v="5933"/>
    <n v="5197"/>
    <n v="9"/>
    <x v="1"/>
    <n v="12"/>
    <n v="3"/>
    <n v="4"/>
    <n v="0"/>
    <n v="10"/>
    <n v="2"/>
    <x v="2"/>
    <n v="5"/>
    <n v="2"/>
    <n v="2"/>
    <n v="3"/>
    <x v="0"/>
    <x v="3"/>
    <n v="0"/>
    <x v="0"/>
    <s v="Bachelor"/>
    <x v="1"/>
    <x v="2"/>
  </r>
  <r>
    <n v="25"/>
    <s v="No"/>
    <x v="0"/>
    <n v="180"/>
    <x v="1"/>
    <n v="2"/>
    <n v="1"/>
    <s v="Medical"/>
    <n v="854"/>
    <n v="1"/>
    <x v="1"/>
    <n v="65"/>
    <n v="4"/>
    <x v="1"/>
    <x v="1"/>
    <n v="1"/>
    <x v="0"/>
    <n v="3424"/>
    <n v="21632"/>
    <n v="7"/>
    <x v="1"/>
    <n v="13"/>
    <n v="3"/>
    <n v="3"/>
    <n v="0"/>
    <n v="6"/>
    <n v="3"/>
    <x v="2"/>
    <n v="4"/>
    <n v="3"/>
    <n v="0"/>
    <n v="1"/>
    <x v="3"/>
    <x v="0"/>
    <n v="0"/>
    <x v="0"/>
    <s v="Below College"/>
    <x v="3"/>
    <x v="2"/>
  </r>
  <r>
    <n v="33"/>
    <s v="No"/>
    <x v="0"/>
    <n v="586"/>
    <x v="0"/>
    <n v="1"/>
    <n v="3"/>
    <s v="Medical"/>
    <n v="855"/>
    <n v="1"/>
    <x v="1"/>
    <n v="48"/>
    <n v="4"/>
    <x v="0"/>
    <x v="0"/>
    <n v="1"/>
    <x v="2"/>
    <n v="4037"/>
    <n v="21816"/>
    <n v="1"/>
    <x v="1"/>
    <n v="22"/>
    <n v="4"/>
    <n v="1"/>
    <n v="1"/>
    <n v="9"/>
    <n v="5"/>
    <x v="1"/>
    <n v="9"/>
    <n v="8"/>
    <n v="0"/>
    <n v="8"/>
    <x v="2"/>
    <x v="0"/>
    <n v="0"/>
    <x v="1"/>
    <s v="Bachelor"/>
    <x v="3"/>
    <x v="1"/>
  </r>
  <r>
    <n v="35"/>
    <s v="No"/>
    <x v="0"/>
    <n v="1343"/>
    <x v="1"/>
    <n v="27"/>
    <n v="1"/>
    <s v="Medical"/>
    <n v="856"/>
    <n v="3"/>
    <x v="0"/>
    <n v="53"/>
    <n v="2"/>
    <x v="1"/>
    <x v="1"/>
    <n v="1"/>
    <x v="0"/>
    <n v="2559"/>
    <n v="17852"/>
    <n v="1"/>
    <x v="1"/>
    <n v="11"/>
    <n v="3"/>
    <n v="4"/>
    <n v="0"/>
    <n v="6"/>
    <n v="3"/>
    <x v="2"/>
    <n v="6"/>
    <n v="5"/>
    <n v="1"/>
    <n v="1"/>
    <x v="2"/>
    <x v="0"/>
    <n v="0"/>
    <x v="0"/>
    <s v="Below College"/>
    <x v="3"/>
    <x v="2"/>
  </r>
  <r>
    <n v="36"/>
    <s v="No"/>
    <x v="0"/>
    <n v="928"/>
    <x v="0"/>
    <n v="1"/>
    <n v="2"/>
    <s v="Life Sciences"/>
    <n v="857"/>
    <n v="2"/>
    <x v="1"/>
    <n v="56"/>
    <n v="3"/>
    <x v="0"/>
    <x v="0"/>
    <n v="4"/>
    <x v="1"/>
    <n v="6201"/>
    <n v="2823"/>
    <n v="1"/>
    <x v="0"/>
    <n v="14"/>
    <n v="3"/>
    <n v="4"/>
    <n v="1"/>
    <n v="18"/>
    <n v="1"/>
    <x v="2"/>
    <n v="18"/>
    <n v="14"/>
    <n v="4"/>
    <n v="11"/>
    <x v="0"/>
    <x v="1"/>
    <n v="0"/>
    <x v="0"/>
    <s v="College"/>
    <x v="0"/>
    <x v="2"/>
  </r>
  <r>
    <n v="32"/>
    <s v="No"/>
    <x v="0"/>
    <n v="117"/>
    <x v="0"/>
    <n v="13"/>
    <n v="4"/>
    <s v="Life Sciences"/>
    <n v="859"/>
    <n v="2"/>
    <x v="1"/>
    <n v="73"/>
    <n v="3"/>
    <x v="0"/>
    <x v="0"/>
    <n v="4"/>
    <x v="2"/>
    <n v="4403"/>
    <n v="9250"/>
    <n v="2"/>
    <x v="1"/>
    <n v="11"/>
    <n v="3"/>
    <n v="3"/>
    <n v="1"/>
    <n v="8"/>
    <n v="3"/>
    <x v="2"/>
    <n v="5"/>
    <n v="2"/>
    <n v="0"/>
    <n v="3"/>
    <x v="2"/>
    <x v="2"/>
    <n v="0"/>
    <x v="0"/>
    <s v="Master"/>
    <x v="0"/>
    <x v="2"/>
  </r>
  <r>
    <n v="30"/>
    <s v="No"/>
    <x v="1"/>
    <n v="1012"/>
    <x v="1"/>
    <n v="5"/>
    <n v="4"/>
    <s v="Life Sciences"/>
    <n v="861"/>
    <n v="2"/>
    <x v="1"/>
    <n v="75"/>
    <n v="2"/>
    <x v="1"/>
    <x v="1"/>
    <n v="4"/>
    <x v="2"/>
    <n v="3761"/>
    <n v="2373"/>
    <n v="9"/>
    <x v="1"/>
    <n v="12"/>
    <n v="3"/>
    <n v="2"/>
    <n v="1"/>
    <n v="10"/>
    <n v="3"/>
    <x v="2"/>
    <n v="5"/>
    <n v="4"/>
    <n v="0"/>
    <n v="3"/>
    <x v="2"/>
    <x v="1"/>
    <n v="0"/>
    <x v="0"/>
    <s v="Master"/>
    <x v="0"/>
    <x v="2"/>
  </r>
  <r>
    <n v="53"/>
    <s v="No"/>
    <x v="0"/>
    <n v="661"/>
    <x v="0"/>
    <n v="7"/>
    <n v="2"/>
    <s v="Marketing"/>
    <n v="862"/>
    <n v="1"/>
    <x v="0"/>
    <n v="78"/>
    <n v="2"/>
    <x v="2"/>
    <x v="0"/>
    <n v="4"/>
    <x v="1"/>
    <n v="10934"/>
    <n v="20715"/>
    <n v="7"/>
    <x v="0"/>
    <n v="18"/>
    <n v="3"/>
    <n v="4"/>
    <n v="1"/>
    <n v="35"/>
    <n v="3"/>
    <x v="1"/>
    <n v="5"/>
    <n v="2"/>
    <n v="0"/>
    <n v="4"/>
    <x v="1"/>
    <x v="0"/>
    <n v="0"/>
    <x v="2"/>
    <s v="College"/>
    <x v="0"/>
    <x v="1"/>
  </r>
  <r>
    <n v="45"/>
    <s v="No"/>
    <x v="0"/>
    <n v="930"/>
    <x v="0"/>
    <n v="9"/>
    <n v="3"/>
    <s v="Marketing"/>
    <n v="864"/>
    <n v="4"/>
    <x v="1"/>
    <n v="74"/>
    <n v="3"/>
    <x v="2"/>
    <x v="0"/>
    <n v="1"/>
    <x v="2"/>
    <n v="10761"/>
    <n v="19239"/>
    <n v="4"/>
    <x v="0"/>
    <n v="12"/>
    <n v="3"/>
    <n v="3"/>
    <n v="1"/>
    <n v="18"/>
    <n v="2"/>
    <x v="1"/>
    <n v="5"/>
    <n v="4"/>
    <n v="0"/>
    <n v="2"/>
    <x v="0"/>
    <x v="0"/>
    <n v="0"/>
    <x v="2"/>
    <s v="Bachelor"/>
    <x v="3"/>
    <x v="1"/>
  </r>
  <r>
    <n v="32"/>
    <s v="No"/>
    <x v="0"/>
    <n v="638"/>
    <x v="1"/>
    <n v="8"/>
    <n v="2"/>
    <s v="Medical"/>
    <n v="865"/>
    <n v="3"/>
    <x v="0"/>
    <n v="91"/>
    <n v="4"/>
    <x v="0"/>
    <x v="1"/>
    <n v="3"/>
    <x v="1"/>
    <n v="5175"/>
    <n v="22162"/>
    <n v="5"/>
    <x v="1"/>
    <n v="12"/>
    <n v="3"/>
    <n v="3"/>
    <n v="1"/>
    <n v="9"/>
    <n v="3"/>
    <x v="2"/>
    <n v="5"/>
    <n v="3"/>
    <n v="1"/>
    <n v="3"/>
    <x v="2"/>
    <x v="0"/>
    <n v="0"/>
    <x v="0"/>
    <s v="College"/>
    <x v="2"/>
    <x v="2"/>
  </r>
  <r>
    <n v="52"/>
    <s v="No"/>
    <x v="1"/>
    <n v="890"/>
    <x v="1"/>
    <n v="25"/>
    <n v="4"/>
    <s v="Medical"/>
    <n v="867"/>
    <n v="3"/>
    <x v="0"/>
    <n v="81"/>
    <n v="2"/>
    <x v="3"/>
    <x v="3"/>
    <n v="4"/>
    <x v="1"/>
    <n v="13826"/>
    <n v="19028"/>
    <n v="3"/>
    <x v="1"/>
    <n v="22"/>
    <n v="4"/>
    <n v="3"/>
    <n v="0"/>
    <n v="31"/>
    <n v="3"/>
    <x v="1"/>
    <n v="9"/>
    <n v="8"/>
    <n v="0"/>
    <n v="0"/>
    <x v="1"/>
    <x v="0"/>
    <n v="0"/>
    <x v="1"/>
    <s v="Master"/>
    <x v="0"/>
    <x v="1"/>
  </r>
  <r>
    <n v="37"/>
    <s v="No"/>
    <x v="0"/>
    <n v="342"/>
    <x v="0"/>
    <n v="16"/>
    <n v="4"/>
    <s v="Marketing"/>
    <n v="868"/>
    <n v="4"/>
    <x v="1"/>
    <n v="66"/>
    <n v="2"/>
    <x v="0"/>
    <x v="0"/>
    <n v="3"/>
    <x v="2"/>
    <n v="6334"/>
    <n v="24558"/>
    <n v="4"/>
    <x v="1"/>
    <n v="19"/>
    <n v="3"/>
    <n v="4"/>
    <n v="2"/>
    <n v="9"/>
    <n v="2"/>
    <x v="1"/>
    <n v="1"/>
    <n v="0"/>
    <n v="0"/>
    <n v="0"/>
    <x v="0"/>
    <x v="0"/>
    <n v="0"/>
    <x v="2"/>
    <s v="Master"/>
    <x v="2"/>
    <x v="1"/>
  </r>
  <r>
    <n v="28"/>
    <s v="No"/>
    <x v="0"/>
    <n v="1169"/>
    <x v="2"/>
    <n v="8"/>
    <n v="2"/>
    <s v="Medical"/>
    <n v="869"/>
    <n v="2"/>
    <x v="1"/>
    <n v="63"/>
    <n v="2"/>
    <x v="1"/>
    <x v="8"/>
    <n v="4"/>
    <x v="2"/>
    <n v="4936"/>
    <n v="23965"/>
    <n v="1"/>
    <x v="1"/>
    <n v="13"/>
    <n v="3"/>
    <n v="4"/>
    <n v="1"/>
    <n v="6"/>
    <n v="6"/>
    <x v="1"/>
    <n v="5"/>
    <n v="1"/>
    <n v="0"/>
    <n v="4"/>
    <x v="2"/>
    <x v="0"/>
    <n v="0"/>
    <x v="2"/>
    <s v="College"/>
    <x v="0"/>
    <x v="1"/>
  </r>
  <r>
    <n v="22"/>
    <s v="No"/>
    <x v="0"/>
    <n v="1230"/>
    <x v="1"/>
    <n v="1"/>
    <n v="2"/>
    <s v="Life Sciences"/>
    <n v="872"/>
    <n v="4"/>
    <x v="1"/>
    <n v="33"/>
    <n v="2"/>
    <x v="0"/>
    <x v="3"/>
    <n v="4"/>
    <x v="1"/>
    <n v="4775"/>
    <n v="19146"/>
    <n v="6"/>
    <x v="1"/>
    <n v="22"/>
    <n v="4"/>
    <n v="1"/>
    <n v="2"/>
    <n v="4"/>
    <n v="2"/>
    <x v="0"/>
    <n v="2"/>
    <n v="2"/>
    <n v="2"/>
    <n v="2"/>
    <x v="3"/>
    <x v="0"/>
    <n v="0"/>
    <x v="0"/>
    <s v="College"/>
    <x v="0"/>
    <x v="0"/>
  </r>
  <r>
    <n v="44"/>
    <s v="No"/>
    <x v="0"/>
    <n v="986"/>
    <x v="1"/>
    <n v="8"/>
    <n v="4"/>
    <s v="Life Sciences"/>
    <n v="874"/>
    <n v="1"/>
    <x v="1"/>
    <n v="62"/>
    <n v="4"/>
    <x v="1"/>
    <x v="2"/>
    <n v="4"/>
    <x v="1"/>
    <n v="2818"/>
    <n v="5044"/>
    <n v="2"/>
    <x v="0"/>
    <n v="24"/>
    <n v="4"/>
    <n v="3"/>
    <n v="1"/>
    <n v="10"/>
    <n v="2"/>
    <x v="2"/>
    <n v="3"/>
    <n v="2"/>
    <n v="0"/>
    <n v="2"/>
    <x v="0"/>
    <x v="3"/>
    <n v="0"/>
    <x v="0"/>
    <s v="Master"/>
    <x v="0"/>
    <x v="2"/>
  </r>
  <r>
    <n v="42"/>
    <s v="No"/>
    <x v="1"/>
    <n v="1271"/>
    <x v="1"/>
    <n v="2"/>
    <n v="1"/>
    <s v="Medical"/>
    <n v="875"/>
    <n v="2"/>
    <x v="1"/>
    <n v="35"/>
    <n v="3"/>
    <x v="1"/>
    <x v="1"/>
    <n v="4"/>
    <x v="0"/>
    <n v="2515"/>
    <n v="9068"/>
    <n v="5"/>
    <x v="0"/>
    <n v="14"/>
    <n v="3"/>
    <n v="4"/>
    <n v="0"/>
    <n v="8"/>
    <n v="2"/>
    <x v="1"/>
    <n v="2"/>
    <n v="1"/>
    <n v="2"/>
    <n v="2"/>
    <x v="0"/>
    <x v="2"/>
    <n v="0"/>
    <x v="2"/>
    <s v="Below College"/>
    <x v="0"/>
    <x v="1"/>
  </r>
  <r>
    <n v="36"/>
    <s v="No"/>
    <x v="0"/>
    <n v="1278"/>
    <x v="2"/>
    <n v="8"/>
    <n v="3"/>
    <s v="Life Sciences"/>
    <n v="878"/>
    <n v="1"/>
    <x v="1"/>
    <n v="77"/>
    <n v="2"/>
    <x v="1"/>
    <x v="8"/>
    <n v="1"/>
    <x v="1"/>
    <n v="2342"/>
    <n v="8635"/>
    <n v="0"/>
    <x v="1"/>
    <n v="21"/>
    <n v="4"/>
    <n v="3"/>
    <n v="0"/>
    <n v="6"/>
    <n v="3"/>
    <x v="1"/>
    <n v="5"/>
    <n v="4"/>
    <n v="0"/>
    <n v="3"/>
    <x v="0"/>
    <x v="2"/>
    <n v="0"/>
    <x v="2"/>
    <s v="Bachelor"/>
    <x v="3"/>
    <x v="1"/>
  </r>
  <r>
    <n v="25"/>
    <s v="No"/>
    <x v="0"/>
    <n v="141"/>
    <x v="0"/>
    <n v="3"/>
    <n v="1"/>
    <s v="Other"/>
    <n v="879"/>
    <n v="3"/>
    <x v="1"/>
    <n v="98"/>
    <n v="3"/>
    <x v="0"/>
    <x v="0"/>
    <n v="1"/>
    <x v="1"/>
    <n v="4194"/>
    <n v="14363"/>
    <n v="1"/>
    <x v="0"/>
    <n v="18"/>
    <n v="3"/>
    <n v="4"/>
    <n v="0"/>
    <n v="5"/>
    <n v="3"/>
    <x v="1"/>
    <n v="5"/>
    <n v="3"/>
    <n v="0"/>
    <n v="3"/>
    <x v="3"/>
    <x v="0"/>
    <n v="0"/>
    <x v="2"/>
    <s v="Below College"/>
    <x v="3"/>
    <x v="1"/>
  </r>
  <r>
    <n v="35"/>
    <s v="No"/>
    <x v="0"/>
    <n v="607"/>
    <x v="1"/>
    <n v="9"/>
    <n v="3"/>
    <s v="Life Sciences"/>
    <n v="880"/>
    <n v="4"/>
    <x v="0"/>
    <n v="66"/>
    <n v="2"/>
    <x v="2"/>
    <x v="3"/>
    <n v="3"/>
    <x v="1"/>
    <n v="10685"/>
    <n v="23457"/>
    <n v="1"/>
    <x v="0"/>
    <n v="20"/>
    <n v="4"/>
    <n v="2"/>
    <n v="1"/>
    <n v="17"/>
    <n v="2"/>
    <x v="1"/>
    <n v="17"/>
    <n v="14"/>
    <n v="5"/>
    <n v="15"/>
    <x v="2"/>
    <x v="0"/>
    <n v="0"/>
    <x v="3"/>
    <s v="Bachelor"/>
    <x v="2"/>
    <x v="1"/>
  </r>
  <r>
    <n v="35"/>
    <s v="Yes"/>
    <x v="1"/>
    <n v="130"/>
    <x v="1"/>
    <n v="25"/>
    <n v="4"/>
    <s v="Life Sciences"/>
    <n v="881"/>
    <n v="4"/>
    <x v="0"/>
    <n v="96"/>
    <n v="3"/>
    <x v="1"/>
    <x v="1"/>
    <n v="2"/>
    <x v="2"/>
    <n v="2022"/>
    <n v="16612"/>
    <n v="1"/>
    <x v="0"/>
    <n v="19"/>
    <n v="3"/>
    <n v="1"/>
    <n v="1"/>
    <n v="10"/>
    <n v="3"/>
    <x v="2"/>
    <n v="10"/>
    <n v="2"/>
    <n v="7"/>
    <n v="8"/>
    <x v="2"/>
    <x v="0"/>
    <n v="1"/>
    <x v="0"/>
    <s v="Master"/>
    <x v="1"/>
    <x v="2"/>
  </r>
  <r>
    <n v="32"/>
    <s v="No"/>
    <x v="2"/>
    <n v="300"/>
    <x v="1"/>
    <n v="1"/>
    <n v="3"/>
    <s v="Life Sciences"/>
    <n v="882"/>
    <n v="4"/>
    <x v="1"/>
    <n v="61"/>
    <n v="3"/>
    <x v="1"/>
    <x v="2"/>
    <n v="4"/>
    <x v="2"/>
    <n v="2314"/>
    <n v="9148"/>
    <n v="0"/>
    <x v="1"/>
    <n v="12"/>
    <n v="3"/>
    <n v="2"/>
    <n v="1"/>
    <n v="4"/>
    <n v="2"/>
    <x v="1"/>
    <n v="3"/>
    <n v="0"/>
    <n v="0"/>
    <n v="2"/>
    <x v="2"/>
    <x v="2"/>
    <n v="0"/>
    <x v="2"/>
    <s v="Bachelor"/>
    <x v="0"/>
    <x v="1"/>
  </r>
  <r>
    <n v="25"/>
    <s v="No"/>
    <x v="0"/>
    <n v="583"/>
    <x v="0"/>
    <n v="4"/>
    <n v="1"/>
    <s v="Marketing"/>
    <n v="885"/>
    <n v="3"/>
    <x v="1"/>
    <n v="87"/>
    <n v="2"/>
    <x v="0"/>
    <x v="0"/>
    <n v="1"/>
    <x v="1"/>
    <n v="4256"/>
    <n v="18154"/>
    <n v="1"/>
    <x v="1"/>
    <n v="12"/>
    <n v="3"/>
    <n v="1"/>
    <n v="0"/>
    <n v="5"/>
    <n v="1"/>
    <x v="3"/>
    <n v="5"/>
    <n v="2"/>
    <n v="0"/>
    <n v="3"/>
    <x v="3"/>
    <x v="0"/>
    <n v="0"/>
    <x v="2"/>
    <s v="Below College"/>
    <x v="3"/>
    <x v="3"/>
  </r>
  <r>
    <n v="49"/>
    <s v="No"/>
    <x v="0"/>
    <n v="1418"/>
    <x v="1"/>
    <n v="1"/>
    <n v="3"/>
    <s v="Technical Degree"/>
    <n v="887"/>
    <n v="3"/>
    <x v="0"/>
    <n v="36"/>
    <n v="3"/>
    <x v="1"/>
    <x v="1"/>
    <n v="1"/>
    <x v="1"/>
    <n v="3580"/>
    <n v="10554"/>
    <n v="2"/>
    <x v="1"/>
    <n v="16"/>
    <n v="3"/>
    <n v="2"/>
    <n v="1"/>
    <n v="7"/>
    <n v="2"/>
    <x v="1"/>
    <n v="4"/>
    <n v="2"/>
    <n v="0"/>
    <n v="2"/>
    <x v="1"/>
    <x v="0"/>
    <n v="0"/>
    <x v="2"/>
    <s v="Bachelor"/>
    <x v="3"/>
    <x v="1"/>
  </r>
  <r>
    <n v="24"/>
    <s v="No"/>
    <x v="2"/>
    <n v="1269"/>
    <x v="1"/>
    <n v="4"/>
    <n v="1"/>
    <s v="Life Sciences"/>
    <n v="888"/>
    <n v="1"/>
    <x v="1"/>
    <n v="46"/>
    <n v="2"/>
    <x v="1"/>
    <x v="2"/>
    <n v="4"/>
    <x v="1"/>
    <n v="3162"/>
    <n v="10778"/>
    <n v="0"/>
    <x v="1"/>
    <n v="17"/>
    <n v="3"/>
    <n v="4"/>
    <n v="0"/>
    <n v="6"/>
    <n v="2"/>
    <x v="2"/>
    <n v="5"/>
    <n v="2"/>
    <n v="3"/>
    <n v="4"/>
    <x v="3"/>
    <x v="0"/>
    <n v="0"/>
    <x v="0"/>
    <s v="Below College"/>
    <x v="0"/>
    <x v="2"/>
  </r>
  <r>
    <n v="32"/>
    <s v="No"/>
    <x v="1"/>
    <n v="379"/>
    <x v="0"/>
    <n v="5"/>
    <n v="2"/>
    <s v="Life Sciences"/>
    <n v="889"/>
    <n v="2"/>
    <x v="1"/>
    <n v="48"/>
    <n v="3"/>
    <x v="0"/>
    <x v="0"/>
    <n v="2"/>
    <x v="1"/>
    <n v="6524"/>
    <n v="8891"/>
    <n v="1"/>
    <x v="1"/>
    <n v="14"/>
    <n v="3"/>
    <n v="4"/>
    <n v="1"/>
    <n v="10"/>
    <n v="3"/>
    <x v="1"/>
    <n v="10"/>
    <n v="8"/>
    <n v="5"/>
    <n v="3"/>
    <x v="2"/>
    <x v="2"/>
    <n v="0"/>
    <x v="1"/>
    <s v="College"/>
    <x v="1"/>
    <x v="1"/>
  </r>
  <r>
    <n v="38"/>
    <s v="No"/>
    <x v="0"/>
    <n v="395"/>
    <x v="0"/>
    <n v="9"/>
    <n v="3"/>
    <s v="Marketing"/>
    <n v="893"/>
    <n v="2"/>
    <x v="1"/>
    <n v="98"/>
    <n v="2"/>
    <x v="1"/>
    <x v="6"/>
    <n v="2"/>
    <x v="1"/>
    <n v="2899"/>
    <n v="12102"/>
    <n v="0"/>
    <x v="1"/>
    <n v="19"/>
    <n v="3"/>
    <n v="4"/>
    <n v="1"/>
    <n v="3"/>
    <n v="3"/>
    <x v="1"/>
    <n v="2"/>
    <n v="2"/>
    <n v="1"/>
    <n v="2"/>
    <x v="0"/>
    <x v="0"/>
    <n v="0"/>
    <x v="2"/>
    <s v="Bachelor"/>
    <x v="1"/>
    <x v="1"/>
  </r>
  <r>
    <n v="42"/>
    <s v="No"/>
    <x v="0"/>
    <n v="1265"/>
    <x v="1"/>
    <n v="3"/>
    <n v="3"/>
    <s v="Life Sciences"/>
    <n v="894"/>
    <n v="3"/>
    <x v="0"/>
    <n v="95"/>
    <n v="4"/>
    <x v="0"/>
    <x v="2"/>
    <n v="4"/>
    <x v="1"/>
    <n v="5231"/>
    <n v="23726"/>
    <n v="2"/>
    <x v="0"/>
    <n v="13"/>
    <n v="3"/>
    <n v="2"/>
    <n v="1"/>
    <n v="17"/>
    <n v="1"/>
    <x v="2"/>
    <n v="5"/>
    <n v="3"/>
    <n v="1"/>
    <n v="3"/>
    <x v="0"/>
    <x v="0"/>
    <n v="0"/>
    <x v="0"/>
    <s v="Bachelor"/>
    <x v="0"/>
    <x v="2"/>
  </r>
  <r>
    <n v="31"/>
    <s v="No"/>
    <x v="0"/>
    <n v="1222"/>
    <x v="1"/>
    <n v="11"/>
    <n v="4"/>
    <s v="Life Sciences"/>
    <n v="895"/>
    <n v="4"/>
    <x v="1"/>
    <n v="48"/>
    <n v="3"/>
    <x v="1"/>
    <x v="1"/>
    <n v="4"/>
    <x v="1"/>
    <n v="2356"/>
    <n v="14871"/>
    <n v="3"/>
    <x v="0"/>
    <n v="19"/>
    <n v="3"/>
    <n v="2"/>
    <n v="1"/>
    <n v="8"/>
    <n v="2"/>
    <x v="1"/>
    <n v="6"/>
    <n v="4"/>
    <n v="0"/>
    <n v="2"/>
    <x v="2"/>
    <x v="0"/>
    <n v="0"/>
    <x v="1"/>
    <s v="Master"/>
    <x v="0"/>
    <x v="1"/>
  </r>
  <r>
    <n v="29"/>
    <s v="Yes"/>
    <x v="0"/>
    <n v="341"/>
    <x v="0"/>
    <n v="1"/>
    <n v="3"/>
    <s v="Medical"/>
    <n v="896"/>
    <n v="2"/>
    <x v="0"/>
    <n v="48"/>
    <n v="2"/>
    <x v="1"/>
    <x v="6"/>
    <n v="3"/>
    <x v="2"/>
    <n v="2800"/>
    <n v="23522"/>
    <n v="6"/>
    <x v="0"/>
    <n v="19"/>
    <n v="3"/>
    <n v="3"/>
    <n v="3"/>
    <n v="5"/>
    <n v="3"/>
    <x v="1"/>
    <n v="3"/>
    <n v="2"/>
    <n v="0"/>
    <n v="2"/>
    <x v="2"/>
    <x v="0"/>
    <n v="1"/>
    <x v="2"/>
    <s v="Bachelor"/>
    <x v="2"/>
    <x v="1"/>
  </r>
  <r>
    <n v="53"/>
    <s v="No"/>
    <x v="0"/>
    <n v="868"/>
    <x v="0"/>
    <n v="8"/>
    <n v="3"/>
    <s v="Marketing"/>
    <n v="897"/>
    <n v="1"/>
    <x v="1"/>
    <n v="73"/>
    <n v="3"/>
    <x v="3"/>
    <x v="0"/>
    <n v="4"/>
    <x v="1"/>
    <n v="11836"/>
    <n v="22789"/>
    <n v="5"/>
    <x v="1"/>
    <n v="14"/>
    <n v="3"/>
    <n v="3"/>
    <n v="1"/>
    <n v="28"/>
    <n v="3"/>
    <x v="1"/>
    <n v="2"/>
    <n v="0"/>
    <n v="2"/>
    <n v="2"/>
    <x v="1"/>
    <x v="0"/>
    <n v="0"/>
    <x v="2"/>
    <s v="Bachelor"/>
    <x v="0"/>
    <x v="1"/>
  </r>
  <r>
    <n v="35"/>
    <s v="No"/>
    <x v="0"/>
    <n v="672"/>
    <x v="1"/>
    <n v="25"/>
    <n v="3"/>
    <s v="Technical Degree"/>
    <n v="899"/>
    <n v="4"/>
    <x v="1"/>
    <n v="78"/>
    <n v="2"/>
    <x v="2"/>
    <x v="3"/>
    <n v="2"/>
    <x v="1"/>
    <n v="10903"/>
    <n v="9129"/>
    <n v="3"/>
    <x v="1"/>
    <n v="16"/>
    <n v="3"/>
    <n v="1"/>
    <n v="0"/>
    <n v="16"/>
    <n v="2"/>
    <x v="1"/>
    <n v="13"/>
    <n v="10"/>
    <n v="4"/>
    <n v="8"/>
    <x v="2"/>
    <x v="2"/>
    <n v="0"/>
    <x v="3"/>
    <s v="Bachelor"/>
    <x v="1"/>
    <x v="1"/>
  </r>
  <r>
    <n v="37"/>
    <s v="No"/>
    <x v="1"/>
    <n v="1231"/>
    <x v="0"/>
    <n v="21"/>
    <n v="2"/>
    <s v="Medical"/>
    <n v="900"/>
    <n v="3"/>
    <x v="0"/>
    <n v="54"/>
    <n v="3"/>
    <x v="1"/>
    <x v="6"/>
    <n v="4"/>
    <x v="1"/>
    <n v="2973"/>
    <n v="21222"/>
    <n v="5"/>
    <x v="1"/>
    <n v="15"/>
    <n v="3"/>
    <n v="2"/>
    <n v="1"/>
    <n v="10"/>
    <n v="3"/>
    <x v="1"/>
    <n v="5"/>
    <n v="4"/>
    <n v="0"/>
    <n v="0"/>
    <x v="0"/>
    <x v="0"/>
    <n v="0"/>
    <x v="2"/>
    <s v="College"/>
    <x v="0"/>
    <x v="1"/>
  </r>
  <r>
    <n v="53"/>
    <s v="No"/>
    <x v="0"/>
    <n v="102"/>
    <x v="1"/>
    <n v="23"/>
    <n v="4"/>
    <s v="Life Sciences"/>
    <n v="901"/>
    <n v="4"/>
    <x v="0"/>
    <n v="72"/>
    <n v="3"/>
    <x v="3"/>
    <x v="7"/>
    <n v="4"/>
    <x v="0"/>
    <n v="14275"/>
    <n v="20206"/>
    <n v="6"/>
    <x v="1"/>
    <n v="18"/>
    <n v="3"/>
    <n v="3"/>
    <n v="0"/>
    <n v="33"/>
    <n v="0"/>
    <x v="1"/>
    <n v="12"/>
    <n v="9"/>
    <n v="3"/>
    <n v="8"/>
    <x v="1"/>
    <x v="0"/>
    <n v="0"/>
    <x v="3"/>
    <s v="Master"/>
    <x v="0"/>
    <x v="1"/>
  </r>
  <r>
    <n v="43"/>
    <s v="No"/>
    <x v="1"/>
    <n v="422"/>
    <x v="1"/>
    <n v="1"/>
    <n v="3"/>
    <s v="Life Sciences"/>
    <n v="902"/>
    <n v="4"/>
    <x v="0"/>
    <n v="33"/>
    <n v="3"/>
    <x v="0"/>
    <x v="4"/>
    <n v="4"/>
    <x v="1"/>
    <n v="5562"/>
    <n v="21782"/>
    <n v="4"/>
    <x v="1"/>
    <n v="13"/>
    <n v="3"/>
    <n v="2"/>
    <n v="1"/>
    <n v="12"/>
    <n v="2"/>
    <x v="2"/>
    <n v="5"/>
    <n v="2"/>
    <n v="2"/>
    <n v="2"/>
    <x v="0"/>
    <x v="0"/>
    <n v="0"/>
    <x v="0"/>
    <s v="Bachelor"/>
    <x v="0"/>
    <x v="2"/>
  </r>
  <r>
    <n v="47"/>
    <s v="No"/>
    <x v="0"/>
    <n v="249"/>
    <x v="0"/>
    <n v="2"/>
    <n v="2"/>
    <s v="Marketing"/>
    <n v="903"/>
    <n v="3"/>
    <x v="0"/>
    <n v="35"/>
    <n v="3"/>
    <x v="0"/>
    <x v="0"/>
    <n v="4"/>
    <x v="1"/>
    <n v="4537"/>
    <n v="17783"/>
    <n v="0"/>
    <x v="0"/>
    <n v="22"/>
    <n v="4"/>
    <n v="1"/>
    <n v="1"/>
    <n v="8"/>
    <n v="2"/>
    <x v="1"/>
    <n v="7"/>
    <n v="6"/>
    <n v="7"/>
    <n v="7"/>
    <x v="1"/>
    <x v="0"/>
    <n v="0"/>
    <x v="1"/>
    <s v="College"/>
    <x v="0"/>
    <x v="1"/>
  </r>
  <r>
    <n v="37"/>
    <s v="No"/>
    <x v="2"/>
    <n v="1252"/>
    <x v="0"/>
    <n v="19"/>
    <n v="2"/>
    <s v="Medical"/>
    <n v="904"/>
    <n v="1"/>
    <x v="1"/>
    <n v="32"/>
    <n v="3"/>
    <x v="2"/>
    <x v="0"/>
    <n v="2"/>
    <x v="0"/>
    <n v="7642"/>
    <n v="4814"/>
    <n v="1"/>
    <x v="0"/>
    <n v="13"/>
    <n v="3"/>
    <n v="4"/>
    <n v="0"/>
    <n v="10"/>
    <n v="2"/>
    <x v="1"/>
    <n v="10"/>
    <n v="0"/>
    <n v="0"/>
    <n v="9"/>
    <x v="0"/>
    <x v="3"/>
    <n v="0"/>
    <x v="1"/>
    <s v="College"/>
    <x v="1"/>
    <x v="1"/>
  </r>
  <r>
    <n v="50"/>
    <s v="No"/>
    <x v="2"/>
    <n v="881"/>
    <x v="1"/>
    <n v="2"/>
    <n v="4"/>
    <s v="Life Sciences"/>
    <n v="905"/>
    <n v="1"/>
    <x v="1"/>
    <n v="98"/>
    <n v="3"/>
    <x v="3"/>
    <x v="5"/>
    <n v="1"/>
    <x v="2"/>
    <n v="17924"/>
    <n v="4544"/>
    <n v="1"/>
    <x v="1"/>
    <n v="11"/>
    <n v="3"/>
    <n v="4"/>
    <n v="1"/>
    <n v="31"/>
    <n v="3"/>
    <x v="1"/>
    <n v="31"/>
    <n v="6"/>
    <n v="14"/>
    <n v="7"/>
    <x v="1"/>
    <x v="3"/>
    <n v="0"/>
    <x v="3"/>
    <s v="Master"/>
    <x v="3"/>
    <x v="1"/>
  </r>
  <r>
    <n v="39"/>
    <s v="No"/>
    <x v="0"/>
    <n v="1383"/>
    <x v="2"/>
    <n v="2"/>
    <n v="3"/>
    <s v="Life Sciences"/>
    <n v="909"/>
    <n v="4"/>
    <x v="0"/>
    <n v="42"/>
    <n v="2"/>
    <x v="0"/>
    <x v="8"/>
    <n v="4"/>
    <x v="1"/>
    <n v="5204"/>
    <n v="7790"/>
    <n v="8"/>
    <x v="1"/>
    <n v="11"/>
    <n v="3"/>
    <n v="3"/>
    <n v="2"/>
    <n v="13"/>
    <n v="2"/>
    <x v="1"/>
    <n v="5"/>
    <n v="4"/>
    <n v="0"/>
    <n v="4"/>
    <x v="0"/>
    <x v="2"/>
    <n v="0"/>
    <x v="2"/>
    <s v="Bachelor"/>
    <x v="0"/>
    <x v="1"/>
  </r>
  <r>
    <n v="33"/>
    <s v="No"/>
    <x v="0"/>
    <n v="1075"/>
    <x v="2"/>
    <n v="3"/>
    <n v="2"/>
    <s v="Human Resources"/>
    <n v="910"/>
    <n v="4"/>
    <x v="1"/>
    <n v="57"/>
    <n v="3"/>
    <x v="1"/>
    <x v="8"/>
    <n v="2"/>
    <x v="2"/>
    <n v="2277"/>
    <n v="22650"/>
    <n v="3"/>
    <x v="0"/>
    <n v="11"/>
    <n v="3"/>
    <n v="3"/>
    <n v="1"/>
    <n v="7"/>
    <n v="4"/>
    <x v="3"/>
    <n v="4"/>
    <n v="3"/>
    <n v="0"/>
    <n v="3"/>
    <x v="2"/>
    <x v="0"/>
    <n v="0"/>
    <x v="2"/>
    <s v="College"/>
    <x v="1"/>
    <x v="3"/>
  </r>
  <r>
    <n v="32"/>
    <s v="Yes"/>
    <x v="0"/>
    <n v="374"/>
    <x v="1"/>
    <n v="25"/>
    <n v="4"/>
    <s v="Life Sciences"/>
    <n v="911"/>
    <n v="1"/>
    <x v="1"/>
    <n v="87"/>
    <n v="3"/>
    <x v="1"/>
    <x v="2"/>
    <n v="4"/>
    <x v="0"/>
    <n v="2795"/>
    <n v="18016"/>
    <n v="1"/>
    <x v="0"/>
    <n v="24"/>
    <n v="4"/>
    <n v="3"/>
    <n v="0"/>
    <n v="1"/>
    <n v="2"/>
    <x v="0"/>
    <n v="1"/>
    <n v="0"/>
    <n v="0"/>
    <n v="1"/>
    <x v="2"/>
    <x v="0"/>
    <n v="1"/>
    <x v="0"/>
    <s v="Master"/>
    <x v="0"/>
    <x v="0"/>
  </r>
  <r>
    <n v="29"/>
    <s v="No"/>
    <x v="0"/>
    <n v="1086"/>
    <x v="1"/>
    <n v="7"/>
    <n v="1"/>
    <s v="Medical"/>
    <n v="912"/>
    <n v="1"/>
    <x v="0"/>
    <n v="62"/>
    <n v="2"/>
    <x v="1"/>
    <x v="2"/>
    <n v="4"/>
    <x v="2"/>
    <n v="2532"/>
    <n v="6054"/>
    <n v="6"/>
    <x v="1"/>
    <n v="14"/>
    <n v="3"/>
    <n v="3"/>
    <n v="3"/>
    <n v="8"/>
    <n v="5"/>
    <x v="1"/>
    <n v="4"/>
    <n v="3"/>
    <n v="0"/>
    <n v="3"/>
    <x v="2"/>
    <x v="2"/>
    <n v="0"/>
    <x v="2"/>
    <s v="Below College"/>
    <x v="0"/>
    <x v="1"/>
  </r>
  <r>
    <n v="44"/>
    <s v="No"/>
    <x v="0"/>
    <n v="661"/>
    <x v="1"/>
    <n v="9"/>
    <n v="2"/>
    <s v="Life Sciences"/>
    <n v="913"/>
    <n v="2"/>
    <x v="1"/>
    <n v="61"/>
    <n v="3"/>
    <x v="1"/>
    <x v="1"/>
    <n v="1"/>
    <x v="1"/>
    <n v="2559"/>
    <n v="7508"/>
    <n v="1"/>
    <x v="0"/>
    <n v="13"/>
    <n v="3"/>
    <n v="4"/>
    <n v="0"/>
    <n v="8"/>
    <n v="0"/>
    <x v="1"/>
    <n v="8"/>
    <n v="7"/>
    <n v="7"/>
    <n v="1"/>
    <x v="0"/>
    <x v="2"/>
    <n v="0"/>
    <x v="1"/>
    <s v="College"/>
    <x v="3"/>
    <x v="1"/>
  </r>
  <r>
    <n v="28"/>
    <s v="No"/>
    <x v="0"/>
    <n v="821"/>
    <x v="0"/>
    <n v="5"/>
    <n v="4"/>
    <s v="Medical"/>
    <n v="916"/>
    <n v="1"/>
    <x v="1"/>
    <n v="98"/>
    <n v="3"/>
    <x v="0"/>
    <x v="0"/>
    <n v="4"/>
    <x v="0"/>
    <n v="4908"/>
    <n v="24252"/>
    <n v="1"/>
    <x v="1"/>
    <n v="14"/>
    <n v="3"/>
    <n v="2"/>
    <n v="0"/>
    <n v="4"/>
    <n v="3"/>
    <x v="1"/>
    <n v="4"/>
    <n v="2"/>
    <n v="0"/>
    <n v="2"/>
    <x v="2"/>
    <x v="0"/>
    <n v="0"/>
    <x v="2"/>
    <s v="Master"/>
    <x v="0"/>
    <x v="1"/>
  </r>
  <r>
    <n v="58"/>
    <s v="Yes"/>
    <x v="1"/>
    <n v="781"/>
    <x v="1"/>
    <n v="2"/>
    <n v="1"/>
    <s v="Life Sciences"/>
    <n v="918"/>
    <n v="4"/>
    <x v="1"/>
    <n v="57"/>
    <n v="2"/>
    <x v="1"/>
    <x v="2"/>
    <n v="4"/>
    <x v="2"/>
    <n v="2380"/>
    <n v="13384"/>
    <n v="9"/>
    <x v="0"/>
    <n v="14"/>
    <n v="3"/>
    <n v="4"/>
    <n v="1"/>
    <n v="3"/>
    <n v="3"/>
    <x v="2"/>
    <n v="1"/>
    <n v="0"/>
    <n v="0"/>
    <n v="0"/>
    <x v="1"/>
    <x v="0"/>
    <n v="1"/>
    <x v="0"/>
    <s v="Below College"/>
    <x v="0"/>
    <x v="2"/>
  </r>
  <r>
    <n v="43"/>
    <s v="No"/>
    <x v="0"/>
    <n v="177"/>
    <x v="1"/>
    <n v="8"/>
    <n v="3"/>
    <s v="Life Sciences"/>
    <n v="920"/>
    <n v="1"/>
    <x v="0"/>
    <n v="55"/>
    <n v="3"/>
    <x v="0"/>
    <x v="3"/>
    <n v="2"/>
    <x v="2"/>
    <n v="4765"/>
    <n v="23814"/>
    <n v="4"/>
    <x v="1"/>
    <n v="21"/>
    <n v="4"/>
    <n v="3"/>
    <n v="1"/>
    <n v="4"/>
    <n v="2"/>
    <x v="3"/>
    <n v="1"/>
    <n v="0"/>
    <n v="0"/>
    <n v="0"/>
    <x v="0"/>
    <x v="0"/>
    <n v="0"/>
    <x v="2"/>
    <s v="Bachelor"/>
    <x v="1"/>
    <x v="3"/>
  </r>
  <r>
    <n v="20"/>
    <s v="Yes"/>
    <x v="0"/>
    <n v="500"/>
    <x v="0"/>
    <n v="2"/>
    <n v="3"/>
    <s v="Medical"/>
    <n v="922"/>
    <n v="3"/>
    <x v="0"/>
    <n v="49"/>
    <n v="2"/>
    <x v="1"/>
    <x v="6"/>
    <n v="3"/>
    <x v="0"/>
    <n v="2044"/>
    <n v="22052"/>
    <n v="1"/>
    <x v="1"/>
    <n v="13"/>
    <n v="3"/>
    <n v="4"/>
    <n v="0"/>
    <n v="2"/>
    <n v="3"/>
    <x v="2"/>
    <n v="2"/>
    <n v="2"/>
    <n v="0"/>
    <n v="2"/>
    <x v="3"/>
    <x v="0"/>
    <n v="1"/>
    <x v="0"/>
    <s v="Bachelor"/>
    <x v="2"/>
    <x v="2"/>
  </r>
  <r>
    <n v="21"/>
    <s v="Yes"/>
    <x v="0"/>
    <n v="1427"/>
    <x v="1"/>
    <n v="18"/>
    <n v="1"/>
    <s v="Other"/>
    <n v="923"/>
    <n v="4"/>
    <x v="0"/>
    <n v="65"/>
    <n v="3"/>
    <x v="1"/>
    <x v="1"/>
    <n v="4"/>
    <x v="0"/>
    <n v="2693"/>
    <n v="8870"/>
    <n v="1"/>
    <x v="1"/>
    <n v="19"/>
    <n v="3"/>
    <n v="1"/>
    <n v="0"/>
    <n v="1"/>
    <n v="3"/>
    <x v="2"/>
    <n v="1"/>
    <n v="0"/>
    <n v="0"/>
    <n v="0"/>
    <x v="3"/>
    <x v="2"/>
    <n v="1"/>
    <x v="0"/>
    <s v="Below College"/>
    <x v="0"/>
    <x v="2"/>
  </r>
  <r>
    <n v="36"/>
    <s v="No"/>
    <x v="0"/>
    <n v="1425"/>
    <x v="1"/>
    <n v="14"/>
    <n v="1"/>
    <s v="Life Sciences"/>
    <n v="924"/>
    <n v="3"/>
    <x v="1"/>
    <n v="68"/>
    <n v="3"/>
    <x v="0"/>
    <x v="4"/>
    <n v="4"/>
    <x v="1"/>
    <n v="6586"/>
    <n v="4821"/>
    <n v="0"/>
    <x v="0"/>
    <n v="17"/>
    <n v="3"/>
    <n v="1"/>
    <n v="1"/>
    <n v="17"/>
    <n v="2"/>
    <x v="2"/>
    <n v="16"/>
    <n v="8"/>
    <n v="4"/>
    <n v="11"/>
    <x v="0"/>
    <x v="3"/>
    <n v="0"/>
    <x v="0"/>
    <s v="Below College"/>
    <x v="0"/>
    <x v="2"/>
  </r>
  <r>
    <n v="47"/>
    <s v="No"/>
    <x v="0"/>
    <n v="1454"/>
    <x v="0"/>
    <n v="2"/>
    <n v="4"/>
    <s v="Life Sciences"/>
    <n v="925"/>
    <n v="4"/>
    <x v="0"/>
    <n v="65"/>
    <n v="2"/>
    <x v="1"/>
    <x v="6"/>
    <n v="4"/>
    <x v="0"/>
    <n v="3294"/>
    <n v="13137"/>
    <n v="1"/>
    <x v="0"/>
    <n v="18"/>
    <n v="3"/>
    <n v="1"/>
    <n v="0"/>
    <n v="3"/>
    <n v="3"/>
    <x v="2"/>
    <n v="3"/>
    <n v="2"/>
    <n v="1"/>
    <n v="2"/>
    <x v="1"/>
    <x v="0"/>
    <n v="0"/>
    <x v="0"/>
    <s v="Master"/>
    <x v="0"/>
    <x v="2"/>
  </r>
  <r>
    <n v="22"/>
    <s v="Yes"/>
    <x v="0"/>
    <n v="617"/>
    <x v="1"/>
    <n v="3"/>
    <n v="1"/>
    <s v="Life Sciences"/>
    <n v="926"/>
    <n v="2"/>
    <x v="0"/>
    <n v="34"/>
    <n v="3"/>
    <x v="0"/>
    <x v="3"/>
    <n v="3"/>
    <x v="1"/>
    <n v="4171"/>
    <n v="10022"/>
    <n v="0"/>
    <x v="0"/>
    <n v="19"/>
    <n v="3"/>
    <n v="1"/>
    <n v="1"/>
    <n v="4"/>
    <n v="3"/>
    <x v="3"/>
    <n v="3"/>
    <n v="2"/>
    <n v="0"/>
    <n v="2"/>
    <x v="3"/>
    <x v="0"/>
    <n v="1"/>
    <x v="2"/>
    <s v="Below College"/>
    <x v="2"/>
    <x v="3"/>
  </r>
  <r>
    <n v="41"/>
    <s v="Yes"/>
    <x v="0"/>
    <n v="1085"/>
    <x v="1"/>
    <n v="2"/>
    <n v="4"/>
    <s v="Life Sciences"/>
    <n v="927"/>
    <n v="2"/>
    <x v="0"/>
    <n v="57"/>
    <n v="1"/>
    <x v="1"/>
    <x v="2"/>
    <n v="4"/>
    <x v="2"/>
    <n v="2778"/>
    <n v="17725"/>
    <n v="4"/>
    <x v="0"/>
    <n v="13"/>
    <n v="3"/>
    <n v="3"/>
    <n v="1"/>
    <n v="10"/>
    <n v="1"/>
    <x v="2"/>
    <n v="7"/>
    <n v="7"/>
    <n v="1"/>
    <n v="0"/>
    <x v="0"/>
    <x v="0"/>
    <n v="1"/>
    <x v="0"/>
    <s v="Master"/>
    <x v="0"/>
    <x v="2"/>
  </r>
  <r>
    <n v="28"/>
    <s v="No"/>
    <x v="0"/>
    <n v="995"/>
    <x v="1"/>
    <n v="9"/>
    <n v="3"/>
    <s v="Medical"/>
    <n v="930"/>
    <n v="3"/>
    <x v="0"/>
    <n v="77"/>
    <n v="3"/>
    <x v="1"/>
    <x v="1"/>
    <n v="3"/>
    <x v="2"/>
    <n v="2377"/>
    <n v="9834"/>
    <n v="5"/>
    <x v="1"/>
    <n v="18"/>
    <n v="3"/>
    <n v="2"/>
    <n v="1"/>
    <n v="6"/>
    <n v="2"/>
    <x v="1"/>
    <n v="2"/>
    <n v="2"/>
    <n v="2"/>
    <n v="2"/>
    <x v="2"/>
    <x v="2"/>
    <n v="0"/>
    <x v="2"/>
    <s v="Bachelor"/>
    <x v="2"/>
    <x v="1"/>
  </r>
  <r>
    <n v="39"/>
    <s v="Yes"/>
    <x v="0"/>
    <n v="1122"/>
    <x v="1"/>
    <n v="6"/>
    <n v="3"/>
    <s v="Medical"/>
    <n v="932"/>
    <n v="4"/>
    <x v="1"/>
    <n v="70"/>
    <n v="3"/>
    <x v="1"/>
    <x v="2"/>
    <n v="1"/>
    <x v="1"/>
    <n v="2404"/>
    <n v="4303"/>
    <n v="7"/>
    <x v="0"/>
    <n v="21"/>
    <n v="4"/>
    <n v="4"/>
    <n v="0"/>
    <n v="8"/>
    <n v="2"/>
    <x v="0"/>
    <n v="2"/>
    <n v="2"/>
    <n v="2"/>
    <n v="2"/>
    <x v="0"/>
    <x v="3"/>
    <n v="1"/>
    <x v="0"/>
    <s v="Bachelor"/>
    <x v="3"/>
    <x v="0"/>
  </r>
  <r>
    <n v="27"/>
    <s v="No"/>
    <x v="0"/>
    <n v="618"/>
    <x v="1"/>
    <n v="4"/>
    <n v="3"/>
    <s v="Life Sciences"/>
    <n v="933"/>
    <n v="2"/>
    <x v="0"/>
    <n v="76"/>
    <n v="3"/>
    <x v="1"/>
    <x v="1"/>
    <n v="3"/>
    <x v="0"/>
    <n v="2318"/>
    <n v="17808"/>
    <n v="1"/>
    <x v="1"/>
    <n v="19"/>
    <n v="3"/>
    <n v="3"/>
    <n v="0"/>
    <n v="1"/>
    <n v="2"/>
    <x v="1"/>
    <n v="1"/>
    <n v="1"/>
    <n v="0"/>
    <n v="0"/>
    <x v="2"/>
    <x v="0"/>
    <n v="0"/>
    <x v="2"/>
    <s v="Bachelor"/>
    <x v="2"/>
    <x v="1"/>
  </r>
  <r>
    <n v="34"/>
    <s v="No"/>
    <x v="0"/>
    <n v="546"/>
    <x v="1"/>
    <n v="10"/>
    <n v="3"/>
    <s v="Life Sciences"/>
    <n v="934"/>
    <n v="2"/>
    <x v="1"/>
    <n v="83"/>
    <n v="3"/>
    <x v="1"/>
    <x v="2"/>
    <n v="2"/>
    <x v="2"/>
    <n v="2008"/>
    <n v="6896"/>
    <n v="1"/>
    <x v="1"/>
    <n v="14"/>
    <n v="3"/>
    <n v="2"/>
    <n v="2"/>
    <n v="1"/>
    <n v="3"/>
    <x v="1"/>
    <n v="1"/>
    <n v="0"/>
    <n v="1"/>
    <n v="0"/>
    <x v="2"/>
    <x v="2"/>
    <n v="0"/>
    <x v="2"/>
    <s v="Bachelor"/>
    <x v="1"/>
    <x v="1"/>
  </r>
  <r>
    <n v="42"/>
    <s v="No"/>
    <x v="0"/>
    <n v="462"/>
    <x v="0"/>
    <n v="14"/>
    <n v="2"/>
    <s v="Medical"/>
    <n v="936"/>
    <n v="3"/>
    <x v="0"/>
    <n v="68"/>
    <n v="2"/>
    <x v="0"/>
    <x v="0"/>
    <n v="3"/>
    <x v="0"/>
    <n v="6244"/>
    <n v="7824"/>
    <n v="7"/>
    <x v="1"/>
    <n v="17"/>
    <n v="3"/>
    <n v="1"/>
    <n v="0"/>
    <n v="10"/>
    <n v="6"/>
    <x v="1"/>
    <n v="5"/>
    <n v="4"/>
    <n v="0"/>
    <n v="3"/>
    <x v="0"/>
    <x v="2"/>
    <n v="0"/>
    <x v="2"/>
    <s v="College"/>
    <x v="2"/>
    <x v="1"/>
  </r>
  <r>
    <n v="33"/>
    <s v="No"/>
    <x v="0"/>
    <n v="1198"/>
    <x v="1"/>
    <n v="1"/>
    <n v="4"/>
    <s v="Other"/>
    <n v="939"/>
    <n v="3"/>
    <x v="1"/>
    <n v="100"/>
    <n v="2"/>
    <x v="1"/>
    <x v="1"/>
    <n v="1"/>
    <x v="0"/>
    <n v="2799"/>
    <n v="3339"/>
    <n v="3"/>
    <x v="0"/>
    <n v="11"/>
    <n v="3"/>
    <n v="2"/>
    <n v="0"/>
    <n v="6"/>
    <n v="1"/>
    <x v="1"/>
    <n v="3"/>
    <n v="2"/>
    <n v="0"/>
    <n v="2"/>
    <x v="2"/>
    <x v="3"/>
    <n v="0"/>
    <x v="2"/>
    <s v="Master"/>
    <x v="3"/>
    <x v="1"/>
  </r>
  <r>
    <n v="58"/>
    <s v="No"/>
    <x v="0"/>
    <n v="1272"/>
    <x v="1"/>
    <n v="5"/>
    <n v="3"/>
    <s v="Technical Degree"/>
    <n v="940"/>
    <n v="3"/>
    <x v="0"/>
    <n v="37"/>
    <n v="2"/>
    <x v="2"/>
    <x v="4"/>
    <n v="2"/>
    <x v="2"/>
    <n v="10552"/>
    <n v="9255"/>
    <n v="2"/>
    <x v="0"/>
    <n v="13"/>
    <n v="3"/>
    <n v="4"/>
    <n v="1"/>
    <n v="24"/>
    <n v="3"/>
    <x v="1"/>
    <n v="6"/>
    <n v="0"/>
    <n v="0"/>
    <n v="4"/>
    <x v="1"/>
    <x v="2"/>
    <n v="0"/>
    <x v="1"/>
    <s v="Bachelor"/>
    <x v="1"/>
    <x v="1"/>
  </r>
  <r>
    <n v="31"/>
    <s v="No"/>
    <x v="0"/>
    <n v="154"/>
    <x v="0"/>
    <n v="7"/>
    <n v="4"/>
    <s v="Life Sciences"/>
    <n v="941"/>
    <n v="2"/>
    <x v="1"/>
    <n v="41"/>
    <n v="2"/>
    <x v="1"/>
    <x v="6"/>
    <n v="3"/>
    <x v="1"/>
    <n v="2329"/>
    <n v="11737"/>
    <n v="3"/>
    <x v="1"/>
    <n v="15"/>
    <n v="3"/>
    <n v="2"/>
    <n v="0"/>
    <n v="13"/>
    <n v="2"/>
    <x v="3"/>
    <n v="7"/>
    <n v="7"/>
    <n v="5"/>
    <n v="2"/>
    <x v="2"/>
    <x v="0"/>
    <n v="0"/>
    <x v="1"/>
    <s v="Master"/>
    <x v="2"/>
    <x v="3"/>
  </r>
  <r>
    <n v="35"/>
    <s v="No"/>
    <x v="0"/>
    <n v="1137"/>
    <x v="1"/>
    <n v="21"/>
    <n v="1"/>
    <s v="Life Sciences"/>
    <n v="942"/>
    <n v="4"/>
    <x v="0"/>
    <n v="51"/>
    <n v="3"/>
    <x v="0"/>
    <x v="4"/>
    <n v="4"/>
    <x v="1"/>
    <n v="4014"/>
    <n v="19170"/>
    <n v="1"/>
    <x v="0"/>
    <n v="25"/>
    <n v="4"/>
    <n v="4"/>
    <n v="1"/>
    <n v="10"/>
    <n v="2"/>
    <x v="0"/>
    <n v="10"/>
    <n v="6"/>
    <n v="0"/>
    <n v="7"/>
    <x v="2"/>
    <x v="0"/>
    <n v="0"/>
    <x v="0"/>
    <s v="Below College"/>
    <x v="0"/>
    <x v="0"/>
  </r>
  <r>
    <n v="49"/>
    <s v="No"/>
    <x v="0"/>
    <n v="527"/>
    <x v="1"/>
    <n v="8"/>
    <n v="2"/>
    <s v="Other"/>
    <n v="944"/>
    <n v="1"/>
    <x v="0"/>
    <n v="51"/>
    <n v="3"/>
    <x v="2"/>
    <x v="2"/>
    <n v="2"/>
    <x v="1"/>
    <n v="7403"/>
    <n v="22477"/>
    <n v="4"/>
    <x v="1"/>
    <n v="11"/>
    <n v="3"/>
    <n v="3"/>
    <n v="1"/>
    <n v="29"/>
    <n v="3"/>
    <x v="2"/>
    <n v="26"/>
    <n v="9"/>
    <n v="1"/>
    <n v="7"/>
    <x v="1"/>
    <x v="0"/>
    <n v="0"/>
    <x v="0"/>
    <s v="College"/>
    <x v="1"/>
    <x v="2"/>
  </r>
  <r>
    <n v="48"/>
    <s v="No"/>
    <x v="0"/>
    <n v="1469"/>
    <x v="1"/>
    <n v="20"/>
    <n v="4"/>
    <s v="Medical"/>
    <n v="945"/>
    <n v="4"/>
    <x v="1"/>
    <n v="51"/>
    <n v="3"/>
    <x v="1"/>
    <x v="1"/>
    <n v="3"/>
    <x v="1"/>
    <n v="2259"/>
    <n v="5543"/>
    <n v="4"/>
    <x v="1"/>
    <n v="17"/>
    <n v="3"/>
    <n v="1"/>
    <n v="2"/>
    <n v="13"/>
    <n v="2"/>
    <x v="2"/>
    <n v="0"/>
    <n v="0"/>
    <n v="0"/>
    <n v="0"/>
    <x v="1"/>
    <x v="3"/>
    <n v="0"/>
    <x v="0"/>
    <s v="Master"/>
    <x v="2"/>
    <x v="2"/>
  </r>
  <r>
    <n v="31"/>
    <s v="No"/>
    <x v="2"/>
    <n v="1188"/>
    <x v="0"/>
    <n v="20"/>
    <n v="2"/>
    <s v="Marketing"/>
    <n v="947"/>
    <n v="4"/>
    <x v="0"/>
    <n v="45"/>
    <n v="3"/>
    <x v="0"/>
    <x v="0"/>
    <n v="3"/>
    <x v="1"/>
    <n v="6932"/>
    <n v="24406"/>
    <n v="1"/>
    <x v="1"/>
    <n v="13"/>
    <n v="3"/>
    <n v="4"/>
    <n v="1"/>
    <n v="9"/>
    <n v="2"/>
    <x v="2"/>
    <n v="9"/>
    <n v="8"/>
    <n v="0"/>
    <n v="0"/>
    <x v="2"/>
    <x v="0"/>
    <n v="0"/>
    <x v="0"/>
    <s v="College"/>
    <x v="2"/>
    <x v="2"/>
  </r>
  <r>
    <n v="36"/>
    <s v="No"/>
    <x v="0"/>
    <n v="188"/>
    <x v="1"/>
    <n v="7"/>
    <n v="4"/>
    <s v="Other"/>
    <n v="949"/>
    <n v="2"/>
    <x v="1"/>
    <n v="65"/>
    <n v="3"/>
    <x v="1"/>
    <x v="1"/>
    <n v="4"/>
    <x v="0"/>
    <n v="4678"/>
    <n v="23293"/>
    <n v="2"/>
    <x v="1"/>
    <n v="18"/>
    <n v="3"/>
    <n v="3"/>
    <n v="0"/>
    <n v="8"/>
    <n v="6"/>
    <x v="1"/>
    <n v="6"/>
    <n v="2"/>
    <n v="0"/>
    <n v="1"/>
    <x v="0"/>
    <x v="0"/>
    <n v="0"/>
    <x v="1"/>
    <s v="Master"/>
    <x v="0"/>
    <x v="1"/>
  </r>
  <r>
    <n v="38"/>
    <s v="No"/>
    <x v="0"/>
    <n v="1333"/>
    <x v="1"/>
    <n v="1"/>
    <n v="3"/>
    <s v="Technical Degree"/>
    <n v="950"/>
    <n v="4"/>
    <x v="0"/>
    <n v="80"/>
    <n v="3"/>
    <x v="2"/>
    <x v="7"/>
    <n v="1"/>
    <x v="1"/>
    <n v="13582"/>
    <n v="16292"/>
    <n v="1"/>
    <x v="1"/>
    <n v="13"/>
    <n v="3"/>
    <n v="2"/>
    <n v="1"/>
    <n v="15"/>
    <n v="3"/>
    <x v="1"/>
    <n v="15"/>
    <n v="12"/>
    <n v="5"/>
    <n v="11"/>
    <x v="0"/>
    <x v="0"/>
    <n v="0"/>
    <x v="3"/>
    <s v="Bachelor"/>
    <x v="3"/>
    <x v="1"/>
  </r>
  <r>
    <n v="32"/>
    <s v="No"/>
    <x v="2"/>
    <n v="1184"/>
    <x v="1"/>
    <n v="1"/>
    <n v="3"/>
    <s v="Life Sciences"/>
    <n v="951"/>
    <n v="3"/>
    <x v="0"/>
    <n v="70"/>
    <n v="2"/>
    <x v="1"/>
    <x v="2"/>
    <n v="2"/>
    <x v="1"/>
    <n v="2332"/>
    <n v="3974"/>
    <n v="6"/>
    <x v="1"/>
    <n v="20"/>
    <n v="4"/>
    <n v="3"/>
    <n v="0"/>
    <n v="5"/>
    <n v="3"/>
    <x v="1"/>
    <n v="3"/>
    <n v="0"/>
    <n v="0"/>
    <n v="2"/>
    <x v="2"/>
    <x v="3"/>
    <n v="0"/>
    <x v="2"/>
    <s v="Bachelor"/>
    <x v="1"/>
    <x v="1"/>
  </r>
  <r>
    <n v="25"/>
    <s v="Yes"/>
    <x v="0"/>
    <n v="867"/>
    <x v="0"/>
    <n v="19"/>
    <n v="2"/>
    <s v="Marketing"/>
    <n v="952"/>
    <n v="3"/>
    <x v="1"/>
    <n v="36"/>
    <n v="2"/>
    <x v="1"/>
    <x v="6"/>
    <n v="2"/>
    <x v="1"/>
    <n v="2413"/>
    <n v="18798"/>
    <n v="1"/>
    <x v="0"/>
    <n v="18"/>
    <n v="3"/>
    <n v="3"/>
    <n v="3"/>
    <n v="1"/>
    <n v="2"/>
    <x v="1"/>
    <n v="1"/>
    <n v="0"/>
    <n v="0"/>
    <n v="0"/>
    <x v="3"/>
    <x v="0"/>
    <n v="1"/>
    <x v="2"/>
    <s v="College"/>
    <x v="1"/>
    <x v="1"/>
  </r>
  <r>
    <n v="40"/>
    <s v="No"/>
    <x v="0"/>
    <n v="658"/>
    <x v="0"/>
    <n v="10"/>
    <n v="4"/>
    <s v="Marketing"/>
    <n v="954"/>
    <n v="1"/>
    <x v="1"/>
    <n v="67"/>
    <n v="2"/>
    <x v="2"/>
    <x v="0"/>
    <n v="2"/>
    <x v="2"/>
    <n v="9705"/>
    <n v="20652"/>
    <n v="2"/>
    <x v="1"/>
    <n v="12"/>
    <n v="3"/>
    <n v="2"/>
    <n v="1"/>
    <n v="11"/>
    <n v="2"/>
    <x v="2"/>
    <n v="1"/>
    <n v="0"/>
    <n v="0"/>
    <n v="0"/>
    <x v="0"/>
    <x v="0"/>
    <n v="0"/>
    <x v="0"/>
    <s v="Master"/>
    <x v="1"/>
    <x v="2"/>
  </r>
  <r>
    <n v="26"/>
    <s v="No"/>
    <x v="1"/>
    <n v="1283"/>
    <x v="0"/>
    <n v="1"/>
    <n v="3"/>
    <s v="Medical"/>
    <n v="956"/>
    <n v="3"/>
    <x v="1"/>
    <n v="52"/>
    <n v="2"/>
    <x v="0"/>
    <x v="0"/>
    <n v="1"/>
    <x v="0"/>
    <n v="4294"/>
    <n v="11148"/>
    <n v="1"/>
    <x v="1"/>
    <n v="12"/>
    <n v="3"/>
    <n v="2"/>
    <n v="0"/>
    <n v="7"/>
    <n v="2"/>
    <x v="1"/>
    <n v="7"/>
    <n v="7"/>
    <n v="0"/>
    <n v="7"/>
    <x v="2"/>
    <x v="0"/>
    <n v="0"/>
    <x v="1"/>
    <s v="Bachelor"/>
    <x v="3"/>
    <x v="1"/>
  </r>
  <r>
    <n v="41"/>
    <s v="No"/>
    <x v="0"/>
    <n v="263"/>
    <x v="1"/>
    <n v="6"/>
    <n v="3"/>
    <s v="Medical"/>
    <n v="957"/>
    <n v="4"/>
    <x v="1"/>
    <n v="59"/>
    <n v="3"/>
    <x v="1"/>
    <x v="2"/>
    <n v="1"/>
    <x v="0"/>
    <n v="4721"/>
    <n v="3119"/>
    <n v="2"/>
    <x v="0"/>
    <n v="13"/>
    <n v="3"/>
    <n v="3"/>
    <n v="0"/>
    <n v="20"/>
    <n v="3"/>
    <x v="1"/>
    <n v="18"/>
    <n v="13"/>
    <n v="2"/>
    <n v="17"/>
    <x v="0"/>
    <x v="3"/>
    <n v="0"/>
    <x v="3"/>
    <s v="Bachelor"/>
    <x v="3"/>
    <x v="1"/>
  </r>
  <r>
    <n v="36"/>
    <s v="No"/>
    <x v="0"/>
    <n v="938"/>
    <x v="1"/>
    <n v="2"/>
    <n v="4"/>
    <s v="Medical"/>
    <n v="958"/>
    <n v="3"/>
    <x v="1"/>
    <n v="79"/>
    <n v="3"/>
    <x v="1"/>
    <x v="2"/>
    <n v="3"/>
    <x v="0"/>
    <n v="2519"/>
    <n v="12287"/>
    <n v="4"/>
    <x v="1"/>
    <n v="21"/>
    <n v="4"/>
    <n v="3"/>
    <n v="0"/>
    <n v="16"/>
    <n v="6"/>
    <x v="1"/>
    <n v="11"/>
    <n v="8"/>
    <n v="3"/>
    <n v="9"/>
    <x v="0"/>
    <x v="0"/>
    <n v="0"/>
    <x v="3"/>
    <s v="Master"/>
    <x v="2"/>
    <x v="1"/>
  </r>
  <r>
    <n v="19"/>
    <s v="Yes"/>
    <x v="0"/>
    <n v="419"/>
    <x v="0"/>
    <n v="21"/>
    <n v="3"/>
    <s v="Other"/>
    <n v="959"/>
    <n v="4"/>
    <x v="1"/>
    <n v="37"/>
    <n v="2"/>
    <x v="1"/>
    <x v="6"/>
    <n v="2"/>
    <x v="0"/>
    <n v="2121"/>
    <n v="9947"/>
    <n v="1"/>
    <x v="0"/>
    <n v="13"/>
    <n v="3"/>
    <n v="2"/>
    <n v="0"/>
    <n v="1"/>
    <n v="3"/>
    <x v="3"/>
    <n v="1"/>
    <n v="0"/>
    <n v="0"/>
    <n v="0"/>
    <x v="3"/>
    <x v="2"/>
    <n v="1"/>
    <x v="2"/>
    <s v="Bachelor"/>
    <x v="1"/>
    <x v="3"/>
  </r>
  <r>
    <n v="20"/>
    <s v="Yes"/>
    <x v="0"/>
    <n v="129"/>
    <x v="1"/>
    <n v="4"/>
    <n v="3"/>
    <s v="Technical Degree"/>
    <n v="960"/>
    <n v="1"/>
    <x v="1"/>
    <n v="84"/>
    <n v="3"/>
    <x v="1"/>
    <x v="2"/>
    <n v="1"/>
    <x v="0"/>
    <n v="2973"/>
    <n v="13008"/>
    <n v="1"/>
    <x v="1"/>
    <n v="19"/>
    <n v="3"/>
    <n v="2"/>
    <n v="0"/>
    <n v="1"/>
    <n v="2"/>
    <x v="1"/>
    <n v="1"/>
    <n v="0"/>
    <n v="0"/>
    <n v="0"/>
    <x v="3"/>
    <x v="0"/>
    <n v="1"/>
    <x v="2"/>
    <s v="Bachelor"/>
    <x v="3"/>
    <x v="1"/>
  </r>
  <r>
    <n v="31"/>
    <s v="No"/>
    <x v="0"/>
    <n v="616"/>
    <x v="1"/>
    <n v="12"/>
    <n v="3"/>
    <s v="Medical"/>
    <n v="961"/>
    <n v="4"/>
    <x v="0"/>
    <n v="41"/>
    <n v="3"/>
    <x v="0"/>
    <x v="4"/>
    <n v="4"/>
    <x v="1"/>
    <n v="5855"/>
    <n v="17369"/>
    <n v="0"/>
    <x v="0"/>
    <n v="11"/>
    <n v="3"/>
    <n v="3"/>
    <n v="2"/>
    <n v="10"/>
    <n v="2"/>
    <x v="0"/>
    <n v="9"/>
    <n v="7"/>
    <n v="8"/>
    <n v="5"/>
    <x v="2"/>
    <x v="0"/>
    <n v="0"/>
    <x v="0"/>
    <s v="Bachelor"/>
    <x v="0"/>
    <x v="0"/>
  </r>
  <r>
    <n v="40"/>
    <s v="No"/>
    <x v="1"/>
    <n v="1469"/>
    <x v="1"/>
    <n v="9"/>
    <n v="4"/>
    <s v="Medical"/>
    <n v="964"/>
    <n v="4"/>
    <x v="1"/>
    <n v="35"/>
    <n v="3"/>
    <x v="1"/>
    <x v="1"/>
    <n v="2"/>
    <x v="2"/>
    <n v="3617"/>
    <n v="25063"/>
    <n v="8"/>
    <x v="0"/>
    <n v="14"/>
    <n v="3"/>
    <n v="4"/>
    <n v="1"/>
    <n v="3"/>
    <n v="2"/>
    <x v="1"/>
    <n v="1"/>
    <n v="1"/>
    <n v="0"/>
    <n v="0"/>
    <x v="0"/>
    <x v="0"/>
    <n v="0"/>
    <x v="2"/>
    <s v="Master"/>
    <x v="1"/>
    <x v="1"/>
  </r>
  <r>
    <n v="32"/>
    <s v="No"/>
    <x v="0"/>
    <n v="498"/>
    <x v="1"/>
    <n v="3"/>
    <n v="4"/>
    <s v="Medical"/>
    <n v="966"/>
    <n v="3"/>
    <x v="0"/>
    <n v="93"/>
    <n v="3"/>
    <x v="0"/>
    <x v="3"/>
    <n v="1"/>
    <x v="1"/>
    <n v="6725"/>
    <n v="13554"/>
    <n v="1"/>
    <x v="1"/>
    <n v="12"/>
    <n v="3"/>
    <n v="3"/>
    <n v="1"/>
    <n v="8"/>
    <n v="2"/>
    <x v="3"/>
    <n v="8"/>
    <n v="7"/>
    <n v="6"/>
    <n v="3"/>
    <x v="2"/>
    <x v="0"/>
    <n v="0"/>
    <x v="1"/>
    <s v="Master"/>
    <x v="3"/>
    <x v="3"/>
  </r>
  <r>
    <n v="36"/>
    <s v="Yes"/>
    <x v="0"/>
    <n v="530"/>
    <x v="0"/>
    <n v="3"/>
    <n v="1"/>
    <s v="Life Sciences"/>
    <n v="967"/>
    <n v="3"/>
    <x v="1"/>
    <n v="51"/>
    <n v="2"/>
    <x v="2"/>
    <x v="0"/>
    <n v="4"/>
    <x v="1"/>
    <n v="10325"/>
    <n v="5518"/>
    <n v="1"/>
    <x v="0"/>
    <n v="11"/>
    <n v="3"/>
    <n v="1"/>
    <n v="1"/>
    <n v="16"/>
    <n v="6"/>
    <x v="1"/>
    <n v="16"/>
    <n v="7"/>
    <n v="3"/>
    <n v="7"/>
    <x v="0"/>
    <x v="3"/>
    <n v="1"/>
    <x v="3"/>
    <s v="Below College"/>
    <x v="0"/>
    <x v="1"/>
  </r>
  <r>
    <n v="33"/>
    <s v="No"/>
    <x v="0"/>
    <n v="1069"/>
    <x v="1"/>
    <n v="1"/>
    <n v="3"/>
    <s v="Life Sciences"/>
    <n v="969"/>
    <n v="2"/>
    <x v="0"/>
    <n v="42"/>
    <n v="2"/>
    <x v="0"/>
    <x v="4"/>
    <n v="4"/>
    <x v="0"/>
    <n v="6949"/>
    <n v="12291"/>
    <n v="0"/>
    <x v="1"/>
    <n v="14"/>
    <n v="3"/>
    <n v="1"/>
    <n v="0"/>
    <n v="6"/>
    <n v="3"/>
    <x v="1"/>
    <n v="5"/>
    <n v="0"/>
    <n v="1"/>
    <n v="4"/>
    <x v="2"/>
    <x v="0"/>
    <n v="0"/>
    <x v="2"/>
    <s v="Bachelor"/>
    <x v="0"/>
    <x v="1"/>
  </r>
  <r>
    <n v="37"/>
    <s v="Yes"/>
    <x v="0"/>
    <n v="625"/>
    <x v="0"/>
    <n v="1"/>
    <n v="4"/>
    <s v="Life Sciences"/>
    <n v="970"/>
    <n v="1"/>
    <x v="1"/>
    <n v="46"/>
    <n v="2"/>
    <x v="2"/>
    <x v="0"/>
    <n v="3"/>
    <x v="1"/>
    <n v="10609"/>
    <n v="14922"/>
    <n v="5"/>
    <x v="1"/>
    <n v="11"/>
    <n v="3"/>
    <n v="3"/>
    <n v="0"/>
    <n v="17"/>
    <n v="2"/>
    <x v="0"/>
    <n v="14"/>
    <n v="1"/>
    <n v="11"/>
    <n v="7"/>
    <x v="0"/>
    <x v="0"/>
    <n v="1"/>
    <x v="0"/>
    <s v="Master"/>
    <x v="2"/>
    <x v="0"/>
  </r>
  <r>
    <n v="45"/>
    <s v="No"/>
    <x v="2"/>
    <n v="805"/>
    <x v="1"/>
    <n v="4"/>
    <n v="2"/>
    <s v="Life Sciences"/>
    <n v="972"/>
    <n v="3"/>
    <x v="1"/>
    <n v="57"/>
    <n v="3"/>
    <x v="0"/>
    <x v="2"/>
    <n v="2"/>
    <x v="1"/>
    <n v="4447"/>
    <n v="23163"/>
    <n v="1"/>
    <x v="1"/>
    <n v="12"/>
    <n v="3"/>
    <n v="2"/>
    <n v="0"/>
    <n v="9"/>
    <n v="5"/>
    <x v="2"/>
    <n v="9"/>
    <n v="7"/>
    <n v="0"/>
    <n v="8"/>
    <x v="0"/>
    <x v="0"/>
    <n v="0"/>
    <x v="0"/>
    <s v="College"/>
    <x v="1"/>
    <x v="2"/>
  </r>
  <r>
    <n v="29"/>
    <s v="No"/>
    <x v="1"/>
    <n v="1404"/>
    <x v="0"/>
    <n v="20"/>
    <n v="3"/>
    <s v="Technical Degree"/>
    <n v="974"/>
    <n v="3"/>
    <x v="0"/>
    <n v="84"/>
    <n v="3"/>
    <x v="1"/>
    <x v="6"/>
    <n v="4"/>
    <x v="1"/>
    <n v="2157"/>
    <n v="18203"/>
    <n v="1"/>
    <x v="1"/>
    <n v="15"/>
    <n v="3"/>
    <n v="2"/>
    <n v="1"/>
    <n v="3"/>
    <n v="5"/>
    <x v="1"/>
    <n v="3"/>
    <n v="1"/>
    <n v="0"/>
    <n v="2"/>
    <x v="2"/>
    <x v="0"/>
    <n v="0"/>
    <x v="2"/>
    <s v="Bachelor"/>
    <x v="0"/>
    <x v="1"/>
  </r>
  <r>
    <n v="35"/>
    <s v="No"/>
    <x v="0"/>
    <n v="1219"/>
    <x v="0"/>
    <n v="18"/>
    <n v="3"/>
    <s v="Medical"/>
    <n v="975"/>
    <n v="3"/>
    <x v="0"/>
    <n v="86"/>
    <n v="3"/>
    <x v="0"/>
    <x v="0"/>
    <n v="3"/>
    <x v="1"/>
    <n v="4601"/>
    <n v="6179"/>
    <n v="1"/>
    <x v="1"/>
    <n v="16"/>
    <n v="3"/>
    <n v="2"/>
    <n v="0"/>
    <n v="5"/>
    <n v="3"/>
    <x v="1"/>
    <n v="5"/>
    <n v="2"/>
    <n v="1"/>
    <n v="0"/>
    <x v="2"/>
    <x v="2"/>
    <n v="0"/>
    <x v="2"/>
    <s v="Bachelor"/>
    <x v="2"/>
    <x v="1"/>
  </r>
  <r>
    <n v="52"/>
    <s v="No"/>
    <x v="0"/>
    <n v="1053"/>
    <x v="1"/>
    <n v="1"/>
    <n v="2"/>
    <s v="Life Sciences"/>
    <n v="976"/>
    <n v="4"/>
    <x v="1"/>
    <n v="70"/>
    <n v="3"/>
    <x v="3"/>
    <x v="5"/>
    <n v="4"/>
    <x v="1"/>
    <n v="17099"/>
    <n v="13829"/>
    <n v="2"/>
    <x v="1"/>
    <n v="15"/>
    <n v="3"/>
    <n v="2"/>
    <n v="1"/>
    <n v="26"/>
    <n v="2"/>
    <x v="2"/>
    <n v="9"/>
    <n v="8"/>
    <n v="7"/>
    <n v="8"/>
    <x v="1"/>
    <x v="0"/>
    <n v="0"/>
    <x v="0"/>
    <s v="College"/>
    <x v="0"/>
    <x v="2"/>
  </r>
  <r>
    <n v="58"/>
    <s v="Yes"/>
    <x v="0"/>
    <n v="289"/>
    <x v="1"/>
    <n v="2"/>
    <n v="3"/>
    <s v="Technical Degree"/>
    <n v="977"/>
    <n v="4"/>
    <x v="1"/>
    <n v="51"/>
    <n v="3"/>
    <x v="1"/>
    <x v="1"/>
    <n v="3"/>
    <x v="0"/>
    <n v="2479"/>
    <n v="26227"/>
    <n v="4"/>
    <x v="1"/>
    <n v="24"/>
    <n v="4"/>
    <n v="1"/>
    <n v="0"/>
    <n v="7"/>
    <n v="4"/>
    <x v="1"/>
    <n v="1"/>
    <n v="0"/>
    <n v="0"/>
    <n v="0"/>
    <x v="1"/>
    <x v="0"/>
    <n v="1"/>
    <x v="2"/>
    <s v="Bachelor"/>
    <x v="2"/>
    <x v="1"/>
  </r>
  <r>
    <n v="53"/>
    <s v="No"/>
    <x v="0"/>
    <n v="1376"/>
    <x v="0"/>
    <n v="2"/>
    <n v="2"/>
    <s v="Medical"/>
    <n v="981"/>
    <n v="3"/>
    <x v="1"/>
    <n v="45"/>
    <n v="3"/>
    <x v="3"/>
    <x v="5"/>
    <n v="3"/>
    <x v="2"/>
    <n v="14852"/>
    <n v="13938"/>
    <n v="6"/>
    <x v="1"/>
    <n v="13"/>
    <n v="3"/>
    <n v="3"/>
    <n v="1"/>
    <n v="22"/>
    <n v="3"/>
    <x v="3"/>
    <n v="17"/>
    <n v="13"/>
    <n v="15"/>
    <n v="2"/>
    <x v="1"/>
    <x v="0"/>
    <n v="0"/>
    <x v="3"/>
    <s v="College"/>
    <x v="2"/>
    <x v="3"/>
  </r>
  <r>
    <n v="30"/>
    <s v="No"/>
    <x v="0"/>
    <n v="231"/>
    <x v="0"/>
    <n v="8"/>
    <n v="2"/>
    <s v="Other"/>
    <n v="982"/>
    <n v="3"/>
    <x v="1"/>
    <n v="62"/>
    <n v="3"/>
    <x v="2"/>
    <x v="0"/>
    <n v="3"/>
    <x v="2"/>
    <n v="7264"/>
    <n v="9977"/>
    <n v="5"/>
    <x v="1"/>
    <n v="11"/>
    <n v="3"/>
    <n v="1"/>
    <n v="1"/>
    <n v="10"/>
    <n v="2"/>
    <x v="3"/>
    <n v="8"/>
    <n v="4"/>
    <n v="7"/>
    <n v="7"/>
    <x v="2"/>
    <x v="2"/>
    <n v="0"/>
    <x v="1"/>
    <s v="College"/>
    <x v="2"/>
    <x v="3"/>
  </r>
  <r>
    <n v="38"/>
    <s v="No"/>
    <x v="2"/>
    <n v="152"/>
    <x v="0"/>
    <n v="10"/>
    <n v="3"/>
    <s v="Technical Degree"/>
    <n v="983"/>
    <n v="3"/>
    <x v="0"/>
    <n v="85"/>
    <n v="3"/>
    <x v="0"/>
    <x v="0"/>
    <n v="4"/>
    <x v="0"/>
    <n v="5666"/>
    <n v="19899"/>
    <n v="1"/>
    <x v="0"/>
    <n v="13"/>
    <n v="3"/>
    <n v="2"/>
    <n v="0"/>
    <n v="6"/>
    <n v="1"/>
    <x v="1"/>
    <n v="5"/>
    <n v="3"/>
    <n v="1"/>
    <n v="3"/>
    <x v="0"/>
    <x v="0"/>
    <n v="0"/>
    <x v="2"/>
    <s v="Bachelor"/>
    <x v="0"/>
    <x v="1"/>
  </r>
  <r>
    <n v="35"/>
    <s v="No"/>
    <x v="0"/>
    <n v="882"/>
    <x v="0"/>
    <n v="3"/>
    <n v="4"/>
    <s v="Life Sciences"/>
    <n v="984"/>
    <n v="4"/>
    <x v="1"/>
    <n v="92"/>
    <n v="3"/>
    <x v="2"/>
    <x v="0"/>
    <n v="4"/>
    <x v="2"/>
    <n v="7823"/>
    <n v="6812"/>
    <n v="6"/>
    <x v="1"/>
    <n v="13"/>
    <n v="3"/>
    <n v="2"/>
    <n v="1"/>
    <n v="12"/>
    <n v="2"/>
    <x v="1"/>
    <n v="10"/>
    <n v="9"/>
    <n v="0"/>
    <n v="8"/>
    <x v="2"/>
    <x v="2"/>
    <n v="0"/>
    <x v="1"/>
    <s v="Master"/>
    <x v="0"/>
    <x v="1"/>
  </r>
  <r>
    <n v="39"/>
    <s v="No"/>
    <x v="0"/>
    <n v="903"/>
    <x v="0"/>
    <n v="2"/>
    <n v="5"/>
    <s v="Life Sciences"/>
    <n v="985"/>
    <n v="1"/>
    <x v="1"/>
    <n v="41"/>
    <n v="4"/>
    <x v="2"/>
    <x v="0"/>
    <n v="3"/>
    <x v="0"/>
    <n v="7880"/>
    <n v="2560"/>
    <n v="0"/>
    <x v="1"/>
    <n v="18"/>
    <n v="3"/>
    <n v="4"/>
    <n v="0"/>
    <n v="9"/>
    <n v="3"/>
    <x v="1"/>
    <n v="8"/>
    <n v="7"/>
    <n v="0"/>
    <n v="7"/>
    <x v="0"/>
    <x v="1"/>
    <n v="0"/>
    <x v="1"/>
    <s v="Doctor"/>
    <x v="2"/>
    <x v="1"/>
  </r>
  <r>
    <n v="40"/>
    <s v="Yes"/>
    <x v="2"/>
    <n v="1479"/>
    <x v="0"/>
    <n v="24"/>
    <n v="3"/>
    <s v="Life Sciences"/>
    <n v="986"/>
    <n v="2"/>
    <x v="0"/>
    <n v="100"/>
    <n v="4"/>
    <x v="3"/>
    <x v="0"/>
    <n v="2"/>
    <x v="0"/>
    <n v="13194"/>
    <n v="17071"/>
    <n v="4"/>
    <x v="0"/>
    <n v="16"/>
    <n v="3"/>
    <n v="4"/>
    <n v="0"/>
    <n v="22"/>
    <n v="2"/>
    <x v="2"/>
    <n v="1"/>
    <n v="0"/>
    <n v="0"/>
    <n v="0"/>
    <x v="0"/>
    <x v="0"/>
    <n v="1"/>
    <x v="0"/>
    <s v="Bachelor"/>
    <x v="1"/>
    <x v="2"/>
  </r>
  <r>
    <n v="47"/>
    <s v="No"/>
    <x v="1"/>
    <n v="1379"/>
    <x v="1"/>
    <n v="16"/>
    <n v="4"/>
    <s v="Medical"/>
    <n v="987"/>
    <n v="3"/>
    <x v="1"/>
    <n v="64"/>
    <n v="4"/>
    <x v="0"/>
    <x v="3"/>
    <n v="3"/>
    <x v="2"/>
    <n v="5067"/>
    <n v="6759"/>
    <n v="1"/>
    <x v="0"/>
    <n v="19"/>
    <n v="3"/>
    <n v="3"/>
    <n v="0"/>
    <n v="20"/>
    <n v="3"/>
    <x v="3"/>
    <n v="19"/>
    <n v="10"/>
    <n v="2"/>
    <n v="7"/>
    <x v="1"/>
    <x v="2"/>
    <n v="0"/>
    <x v="3"/>
    <s v="Master"/>
    <x v="2"/>
    <x v="3"/>
  </r>
  <r>
    <n v="36"/>
    <s v="No"/>
    <x v="2"/>
    <n v="1229"/>
    <x v="0"/>
    <n v="8"/>
    <n v="4"/>
    <s v="Technical Degree"/>
    <n v="990"/>
    <n v="1"/>
    <x v="1"/>
    <n v="84"/>
    <n v="3"/>
    <x v="0"/>
    <x v="0"/>
    <n v="4"/>
    <x v="2"/>
    <n v="5079"/>
    <n v="25952"/>
    <n v="4"/>
    <x v="1"/>
    <n v="13"/>
    <n v="3"/>
    <n v="4"/>
    <n v="2"/>
    <n v="12"/>
    <n v="3"/>
    <x v="1"/>
    <n v="7"/>
    <n v="7"/>
    <n v="0"/>
    <n v="7"/>
    <x v="0"/>
    <x v="0"/>
    <n v="0"/>
    <x v="1"/>
    <s v="Master"/>
    <x v="0"/>
    <x v="1"/>
  </r>
  <r>
    <n v="31"/>
    <s v="Yes"/>
    <x v="2"/>
    <n v="335"/>
    <x v="1"/>
    <n v="9"/>
    <n v="2"/>
    <s v="Medical"/>
    <n v="991"/>
    <n v="3"/>
    <x v="1"/>
    <n v="46"/>
    <n v="2"/>
    <x v="1"/>
    <x v="1"/>
    <n v="1"/>
    <x v="0"/>
    <n v="2321"/>
    <n v="10322"/>
    <n v="0"/>
    <x v="0"/>
    <n v="22"/>
    <n v="4"/>
    <n v="1"/>
    <n v="0"/>
    <n v="4"/>
    <n v="0"/>
    <x v="1"/>
    <n v="3"/>
    <n v="2"/>
    <n v="1"/>
    <n v="2"/>
    <x v="2"/>
    <x v="0"/>
    <n v="1"/>
    <x v="2"/>
    <s v="College"/>
    <x v="3"/>
    <x v="1"/>
  </r>
  <r>
    <n v="33"/>
    <s v="No"/>
    <x v="2"/>
    <n v="722"/>
    <x v="0"/>
    <n v="17"/>
    <n v="3"/>
    <s v="Life Sciences"/>
    <n v="992"/>
    <n v="4"/>
    <x v="1"/>
    <n v="38"/>
    <n v="3"/>
    <x v="3"/>
    <x v="5"/>
    <n v="3"/>
    <x v="0"/>
    <n v="17444"/>
    <n v="20489"/>
    <n v="1"/>
    <x v="1"/>
    <n v="11"/>
    <n v="3"/>
    <n v="4"/>
    <n v="0"/>
    <n v="10"/>
    <n v="2"/>
    <x v="1"/>
    <n v="10"/>
    <n v="8"/>
    <n v="6"/>
    <n v="0"/>
    <x v="2"/>
    <x v="0"/>
    <n v="0"/>
    <x v="1"/>
    <s v="Bachelor"/>
    <x v="2"/>
    <x v="1"/>
  </r>
  <r>
    <n v="29"/>
    <s v="Yes"/>
    <x v="0"/>
    <n v="906"/>
    <x v="1"/>
    <n v="10"/>
    <n v="3"/>
    <s v="Life Sciences"/>
    <n v="994"/>
    <n v="4"/>
    <x v="0"/>
    <n v="92"/>
    <n v="2"/>
    <x v="1"/>
    <x v="1"/>
    <n v="1"/>
    <x v="0"/>
    <n v="2404"/>
    <n v="11479"/>
    <n v="6"/>
    <x v="0"/>
    <n v="20"/>
    <n v="4"/>
    <n v="3"/>
    <n v="0"/>
    <n v="3"/>
    <n v="5"/>
    <x v="1"/>
    <n v="0"/>
    <n v="0"/>
    <n v="0"/>
    <n v="0"/>
    <x v="2"/>
    <x v="0"/>
    <n v="1"/>
    <x v="2"/>
    <s v="Bachelor"/>
    <x v="3"/>
    <x v="1"/>
  </r>
  <r>
    <n v="33"/>
    <s v="No"/>
    <x v="0"/>
    <n v="461"/>
    <x v="1"/>
    <n v="13"/>
    <n v="1"/>
    <s v="Life Sciences"/>
    <n v="995"/>
    <n v="2"/>
    <x v="0"/>
    <n v="53"/>
    <n v="3"/>
    <x v="1"/>
    <x v="1"/>
    <n v="4"/>
    <x v="0"/>
    <n v="3452"/>
    <n v="17241"/>
    <n v="3"/>
    <x v="1"/>
    <n v="18"/>
    <n v="3"/>
    <n v="1"/>
    <n v="0"/>
    <n v="5"/>
    <n v="4"/>
    <x v="1"/>
    <n v="3"/>
    <n v="2"/>
    <n v="0"/>
    <n v="2"/>
    <x v="2"/>
    <x v="0"/>
    <n v="0"/>
    <x v="2"/>
    <s v="Below College"/>
    <x v="0"/>
    <x v="1"/>
  </r>
  <r>
    <n v="45"/>
    <s v="No"/>
    <x v="0"/>
    <n v="974"/>
    <x v="1"/>
    <n v="1"/>
    <n v="4"/>
    <s v="Medical"/>
    <n v="996"/>
    <n v="4"/>
    <x v="0"/>
    <n v="91"/>
    <n v="3"/>
    <x v="1"/>
    <x v="2"/>
    <n v="4"/>
    <x v="2"/>
    <n v="2270"/>
    <n v="11005"/>
    <n v="3"/>
    <x v="1"/>
    <n v="14"/>
    <n v="3"/>
    <n v="4"/>
    <n v="2"/>
    <n v="8"/>
    <n v="2"/>
    <x v="1"/>
    <n v="5"/>
    <n v="3"/>
    <n v="0"/>
    <n v="2"/>
    <x v="0"/>
    <x v="0"/>
    <n v="0"/>
    <x v="2"/>
    <s v="Master"/>
    <x v="0"/>
    <x v="1"/>
  </r>
  <r>
    <n v="50"/>
    <s v="No"/>
    <x v="0"/>
    <n v="1126"/>
    <x v="1"/>
    <n v="1"/>
    <n v="2"/>
    <s v="Medical"/>
    <n v="997"/>
    <n v="4"/>
    <x v="1"/>
    <n v="66"/>
    <n v="3"/>
    <x v="3"/>
    <x v="7"/>
    <n v="4"/>
    <x v="2"/>
    <n v="17399"/>
    <n v="6615"/>
    <n v="9"/>
    <x v="1"/>
    <n v="22"/>
    <n v="4"/>
    <n v="3"/>
    <n v="1"/>
    <n v="32"/>
    <n v="1"/>
    <x v="2"/>
    <n v="5"/>
    <n v="4"/>
    <n v="1"/>
    <n v="3"/>
    <x v="1"/>
    <x v="2"/>
    <n v="0"/>
    <x v="0"/>
    <s v="College"/>
    <x v="0"/>
    <x v="2"/>
  </r>
  <r>
    <n v="33"/>
    <s v="No"/>
    <x v="1"/>
    <n v="827"/>
    <x v="1"/>
    <n v="1"/>
    <n v="4"/>
    <s v="Other"/>
    <n v="998"/>
    <n v="3"/>
    <x v="0"/>
    <n v="84"/>
    <n v="4"/>
    <x v="0"/>
    <x v="4"/>
    <n v="2"/>
    <x v="1"/>
    <n v="5488"/>
    <n v="20161"/>
    <n v="1"/>
    <x v="0"/>
    <n v="13"/>
    <n v="3"/>
    <n v="1"/>
    <n v="1"/>
    <n v="6"/>
    <n v="2"/>
    <x v="1"/>
    <n v="6"/>
    <n v="5"/>
    <n v="1"/>
    <n v="2"/>
    <x v="2"/>
    <x v="0"/>
    <n v="0"/>
    <x v="1"/>
    <s v="Master"/>
    <x v="1"/>
    <x v="1"/>
  </r>
  <r>
    <n v="41"/>
    <s v="No"/>
    <x v="1"/>
    <n v="840"/>
    <x v="1"/>
    <n v="9"/>
    <n v="3"/>
    <s v="Medical"/>
    <n v="999"/>
    <n v="1"/>
    <x v="1"/>
    <n v="64"/>
    <n v="3"/>
    <x v="4"/>
    <x v="7"/>
    <n v="3"/>
    <x v="2"/>
    <n v="19419"/>
    <n v="3735"/>
    <n v="2"/>
    <x v="1"/>
    <n v="17"/>
    <n v="3"/>
    <n v="2"/>
    <n v="1"/>
    <n v="21"/>
    <n v="2"/>
    <x v="3"/>
    <n v="18"/>
    <n v="16"/>
    <n v="0"/>
    <n v="11"/>
    <x v="0"/>
    <x v="3"/>
    <n v="0"/>
    <x v="3"/>
    <s v="Bachelor"/>
    <x v="2"/>
    <x v="3"/>
  </r>
  <r>
    <n v="27"/>
    <s v="No"/>
    <x v="0"/>
    <n v="1134"/>
    <x v="1"/>
    <n v="16"/>
    <n v="4"/>
    <s v="Technical Degree"/>
    <n v="1001"/>
    <n v="3"/>
    <x v="0"/>
    <n v="37"/>
    <n v="3"/>
    <x v="1"/>
    <x v="2"/>
    <n v="2"/>
    <x v="1"/>
    <n v="2811"/>
    <n v="12086"/>
    <n v="9"/>
    <x v="1"/>
    <n v="14"/>
    <n v="3"/>
    <n v="2"/>
    <n v="1"/>
    <n v="4"/>
    <n v="2"/>
    <x v="1"/>
    <n v="2"/>
    <n v="2"/>
    <n v="2"/>
    <n v="2"/>
    <x v="2"/>
    <x v="0"/>
    <n v="0"/>
    <x v="2"/>
    <s v="Master"/>
    <x v="1"/>
    <x v="1"/>
  </r>
  <r>
    <n v="45"/>
    <s v="No"/>
    <x v="2"/>
    <n v="248"/>
    <x v="1"/>
    <n v="23"/>
    <n v="2"/>
    <s v="Life Sciences"/>
    <n v="1002"/>
    <n v="4"/>
    <x v="1"/>
    <n v="42"/>
    <n v="3"/>
    <x v="0"/>
    <x v="2"/>
    <n v="1"/>
    <x v="1"/>
    <n v="3633"/>
    <n v="14039"/>
    <n v="1"/>
    <x v="0"/>
    <n v="15"/>
    <n v="3"/>
    <n v="3"/>
    <n v="1"/>
    <n v="9"/>
    <n v="2"/>
    <x v="1"/>
    <n v="9"/>
    <n v="8"/>
    <n v="0"/>
    <n v="8"/>
    <x v="0"/>
    <x v="0"/>
    <n v="0"/>
    <x v="1"/>
    <s v="College"/>
    <x v="3"/>
    <x v="1"/>
  </r>
  <r>
    <n v="47"/>
    <s v="No"/>
    <x v="0"/>
    <n v="955"/>
    <x v="0"/>
    <n v="4"/>
    <n v="2"/>
    <s v="Life Sciences"/>
    <n v="1003"/>
    <n v="4"/>
    <x v="0"/>
    <n v="83"/>
    <n v="3"/>
    <x v="0"/>
    <x v="0"/>
    <n v="4"/>
    <x v="0"/>
    <n v="4163"/>
    <n v="8571"/>
    <n v="1"/>
    <x v="0"/>
    <n v="17"/>
    <n v="3"/>
    <n v="3"/>
    <n v="0"/>
    <n v="9"/>
    <n v="0"/>
    <x v="1"/>
    <n v="9"/>
    <n v="0"/>
    <n v="0"/>
    <n v="7"/>
    <x v="1"/>
    <x v="2"/>
    <n v="0"/>
    <x v="1"/>
    <s v="College"/>
    <x v="0"/>
    <x v="1"/>
  </r>
  <r>
    <n v="30"/>
    <s v="Yes"/>
    <x v="0"/>
    <n v="138"/>
    <x v="1"/>
    <n v="22"/>
    <n v="3"/>
    <s v="Life Sciences"/>
    <n v="1004"/>
    <n v="1"/>
    <x v="0"/>
    <n v="48"/>
    <n v="3"/>
    <x v="1"/>
    <x v="1"/>
    <n v="3"/>
    <x v="1"/>
    <n v="2132"/>
    <n v="11539"/>
    <n v="4"/>
    <x v="0"/>
    <n v="11"/>
    <n v="3"/>
    <n v="2"/>
    <n v="0"/>
    <n v="7"/>
    <n v="2"/>
    <x v="1"/>
    <n v="5"/>
    <n v="2"/>
    <n v="0"/>
    <n v="1"/>
    <x v="2"/>
    <x v="0"/>
    <n v="1"/>
    <x v="2"/>
    <s v="Bachelor"/>
    <x v="2"/>
    <x v="1"/>
  </r>
  <r>
    <n v="50"/>
    <s v="No"/>
    <x v="0"/>
    <n v="939"/>
    <x v="1"/>
    <n v="24"/>
    <n v="3"/>
    <s v="Life Sciences"/>
    <n v="1005"/>
    <n v="4"/>
    <x v="1"/>
    <n v="95"/>
    <n v="3"/>
    <x v="3"/>
    <x v="3"/>
    <n v="3"/>
    <x v="1"/>
    <n v="13973"/>
    <n v="4161"/>
    <n v="3"/>
    <x v="0"/>
    <n v="18"/>
    <n v="3"/>
    <n v="4"/>
    <n v="1"/>
    <n v="22"/>
    <n v="2"/>
    <x v="1"/>
    <n v="12"/>
    <n v="11"/>
    <n v="1"/>
    <n v="5"/>
    <x v="1"/>
    <x v="3"/>
    <n v="0"/>
    <x v="3"/>
    <s v="Bachelor"/>
    <x v="2"/>
    <x v="1"/>
  </r>
  <r>
    <n v="38"/>
    <s v="No"/>
    <x v="1"/>
    <n v="1391"/>
    <x v="1"/>
    <n v="10"/>
    <n v="1"/>
    <s v="Medical"/>
    <n v="1006"/>
    <n v="3"/>
    <x v="1"/>
    <n v="66"/>
    <n v="3"/>
    <x v="1"/>
    <x v="1"/>
    <n v="3"/>
    <x v="1"/>
    <n v="2684"/>
    <n v="12127"/>
    <n v="0"/>
    <x v="1"/>
    <n v="17"/>
    <n v="3"/>
    <n v="2"/>
    <n v="1"/>
    <n v="3"/>
    <n v="0"/>
    <x v="2"/>
    <n v="2"/>
    <n v="1"/>
    <n v="0"/>
    <n v="2"/>
    <x v="0"/>
    <x v="0"/>
    <n v="0"/>
    <x v="0"/>
    <s v="Below College"/>
    <x v="2"/>
    <x v="2"/>
  </r>
  <r>
    <n v="46"/>
    <s v="No"/>
    <x v="0"/>
    <n v="566"/>
    <x v="1"/>
    <n v="7"/>
    <n v="2"/>
    <s v="Medical"/>
    <n v="1007"/>
    <n v="4"/>
    <x v="1"/>
    <n v="75"/>
    <n v="3"/>
    <x v="2"/>
    <x v="3"/>
    <n v="3"/>
    <x v="2"/>
    <n v="10845"/>
    <n v="24208"/>
    <n v="6"/>
    <x v="1"/>
    <n v="13"/>
    <n v="3"/>
    <n v="2"/>
    <n v="1"/>
    <n v="13"/>
    <n v="3"/>
    <x v="1"/>
    <n v="8"/>
    <n v="7"/>
    <n v="0"/>
    <n v="7"/>
    <x v="1"/>
    <x v="0"/>
    <n v="0"/>
    <x v="1"/>
    <s v="College"/>
    <x v="2"/>
    <x v="1"/>
  </r>
  <r>
    <n v="24"/>
    <s v="No"/>
    <x v="0"/>
    <n v="1206"/>
    <x v="1"/>
    <n v="17"/>
    <n v="1"/>
    <s v="Medical"/>
    <n v="1009"/>
    <n v="4"/>
    <x v="0"/>
    <n v="41"/>
    <n v="2"/>
    <x v="0"/>
    <x v="3"/>
    <n v="3"/>
    <x v="2"/>
    <n v="4377"/>
    <n v="24117"/>
    <n v="1"/>
    <x v="1"/>
    <n v="15"/>
    <n v="3"/>
    <n v="2"/>
    <n v="2"/>
    <n v="5"/>
    <n v="6"/>
    <x v="1"/>
    <n v="4"/>
    <n v="2"/>
    <n v="3"/>
    <n v="2"/>
    <x v="3"/>
    <x v="0"/>
    <n v="0"/>
    <x v="2"/>
    <s v="Below College"/>
    <x v="2"/>
    <x v="1"/>
  </r>
  <r>
    <n v="35"/>
    <s v="Yes"/>
    <x v="0"/>
    <n v="622"/>
    <x v="1"/>
    <n v="14"/>
    <n v="4"/>
    <s v="Other"/>
    <n v="1010"/>
    <n v="3"/>
    <x v="1"/>
    <n v="39"/>
    <n v="2"/>
    <x v="1"/>
    <x v="2"/>
    <n v="2"/>
    <x v="2"/>
    <n v="3743"/>
    <n v="10074"/>
    <n v="1"/>
    <x v="0"/>
    <n v="24"/>
    <n v="4"/>
    <n v="4"/>
    <n v="1"/>
    <n v="5"/>
    <n v="2"/>
    <x v="0"/>
    <n v="4"/>
    <n v="2"/>
    <n v="0"/>
    <n v="2"/>
    <x v="2"/>
    <x v="0"/>
    <n v="1"/>
    <x v="0"/>
    <s v="Master"/>
    <x v="1"/>
    <x v="0"/>
  </r>
  <r>
    <n v="31"/>
    <s v="No"/>
    <x v="1"/>
    <n v="853"/>
    <x v="1"/>
    <n v="1"/>
    <n v="1"/>
    <s v="Life Sciences"/>
    <n v="1011"/>
    <n v="3"/>
    <x v="0"/>
    <n v="96"/>
    <n v="3"/>
    <x v="0"/>
    <x v="3"/>
    <n v="1"/>
    <x v="1"/>
    <n v="4148"/>
    <n v="11275"/>
    <n v="1"/>
    <x v="1"/>
    <n v="12"/>
    <n v="3"/>
    <n v="3"/>
    <n v="1"/>
    <n v="4"/>
    <n v="1"/>
    <x v="1"/>
    <n v="4"/>
    <n v="3"/>
    <n v="0"/>
    <n v="3"/>
    <x v="2"/>
    <x v="0"/>
    <n v="0"/>
    <x v="2"/>
    <s v="Below College"/>
    <x v="3"/>
    <x v="1"/>
  </r>
  <r>
    <n v="18"/>
    <s v="No"/>
    <x v="2"/>
    <n v="287"/>
    <x v="1"/>
    <n v="5"/>
    <n v="2"/>
    <s v="Life Sciences"/>
    <n v="1012"/>
    <n v="2"/>
    <x v="1"/>
    <n v="73"/>
    <n v="3"/>
    <x v="1"/>
    <x v="1"/>
    <n v="4"/>
    <x v="0"/>
    <n v="1051"/>
    <n v="13493"/>
    <n v="1"/>
    <x v="1"/>
    <n v="15"/>
    <n v="3"/>
    <n v="4"/>
    <n v="0"/>
    <n v="0"/>
    <n v="2"/>
    <x v="1"/>
    <n v="0"/>
    <n v="0"/>
    <n v="0"/>
    <n v="0"/>
    <x v="3"/>
    <x v="0"/>
    <n v="0"/>
    <x v="2"/>
    <s v="College"/>
    <x v="0"/>
    <x v="1"/>
  </r>
  <r>
    <n v="54"/>
    <s v="No"/>
    <x v="0"/>
    <n v="1441"/>
    <x v="1"/>
    <n v="17"/>
    <n v="3"/>
    <s v="Technical Degree"/>
    <n v="1013"/>
    <n v="3"/>
    <x v="0"/>
    <n v="56"/>
    <n v="3"/>
    <x v="2"/>
    <x v="3"/>
    <n v="3"/>
    <x v="1"/>
    <n v="10739"/>
    <n v="13943"/>
    <n v="8"/>
    <x v="1"/>
    <n v="11"/>
    <n v="3"/>
    <n v="3"/>
    <n v="1"/>
    <n v="22"/>
    <n v="2"/>
    <x v="1"/>
    <n v="10"/>
    <n v="7"/>
    <n v="0"/>
    <n v="8"/>
    <x v="1"/>
    <x v="0"/>
    <n v="0"/>
    <x v="1"/>
    <s v="Bachelor"/>
    <x v="2"/>
    <x v="1"/>
  </r>
  <r>
    <n v="35"/>
    <s v="No"/>
    <x v="0"/>
    <n v="583"/>
    <x v="1"/>
    <n v="25"/>
    <n v="4"/>
    <s v="Medical"/>
    <n v="1014"/>
    <n v="3"/>
    <x v="0"/>
    <n v="57"/>
    <n v="3"/>
    <x v="2"/>
    <x v="4"/>
    <n v="3"/>
    <x v="2"/>
    <n v="10388"/>
    <n v="6975"/>
    <n v="1"/>
    <x v="0"/>
    <n v="11"/>
    <n v="3"/>
    <n v="3"/>
    <n v="1"/>
    <n v="16"/>
    <n v="3"/>
    <x v="2"/>
    <n v="16"/>
    <n v="10"/>
    <n v="10"/>
    <n v="1"/>
    <x v="2"/>
    <x v="2"/>
    <n v="0"/>
    <x v="0"/>
    <s v="Master"/>
    <x v="2"/>
    <x v="2"/>
  </r>
  <r>
    <n v="30"/>
    <s v="No"/>
    <x v="0"/>
    <n v="153"/>
    <x v="1"/>
    <n v="8"/>
    <n v="2"/>
    <s v="Life Sciences"/>
    <n v="1015"/>
    <n v="2"/>
    <x v="0"/>
    <n v="73"/>
    <n v="4"/>
    <x v="2"/>
    <x v="7"/>
    <n v="1"/>
    <x v="1"/>
    <n v="11416"/>
    <n v="17802"/>
    <n v="0"/>
    <x v="0"/>
    <n v="12"/>
    <n v="3"/>
    <n v="3"/>
    <n v="3"/>
    <n v="9"/>
    <n v="4"/>
    <x v="2"/>
    <n v="8"/>
    <n v="7"/>
    <n v="1"/>
    <n v="7"/>
    <x v="2"/>
    <x v="0"/>
    <n v="0"/>
    <x v="0"/>
    <s v="College"/>
    <x v="3"/>
    <x v="2"/>
  </r>
  <r>
    <n v="20"/>
    <s v="Yes"/>
    <x v="0"/>
    <n v="1097"/>
    <x v="1"/>
    <n v="11"/>
    <n v="3"/>
    <s v="Medical"/>
    <n v="1016"/>
    <n v="4"/>
    <x v="0"/>
    <n v="98"/>
    <n v="2"/>
    <x v="1"/>
    <x v="1"/>
    <n v="1"/>
    <x v="0"/>
    <n v="2600"/>
    <n v="18275"/>
    <n v="1"/>
    <x v="0"/>
    <n v="15"/>
    <n v="3"/>
    <n v="1"/>
    <n v="0"/>
    <n v="1"/>
    <n v="2"/>
    <x v="1"/>
    <n v="1"/>
    <n v="0"/>
    <n v="0"/>
    <n v="0"/>
    <x v="3"/>
    <x v="0"/>
    <n v="1"/>
    <x v="2"/>
    <s v="Bachelor"/>
    <x v="3"/>
    <x v="1"/>
  </r>
  <r>
    <n v="30"/>
    <s v="Yes"/>
    <x v="1"/>
    <n v="109"/>
    <x v="1"/>
    <n v="5"/>
    <n v="3"/>
    <s v="Medical"/>
    <n v="1017"/>
    <n v="2"/>
    <x v="0"/>
    <n v="60"/>
    <n v="3"/>
    <x v="1"/>
    <x v="2"/>
    <n v="2"/>
    <x v="0"/>
    <n v="2422"/>
    <n v="25725"/>
    <n v="0"/>
    <x v="1"/>
    <n v="17"/>
    <n v="3"/>
    <n v="1"/>
    <n v="0"/>
    <n v="4"/>
    <n v="3"/>
    <x v="1"/>
    <n v="3"/>
    <n v="2"/>
    <n v="1"/>
    <n v="2"/>
    <x v="2"/>
    <x v="0"/>
    <n v="1"/>
    <x v="2"/>
    <s v="Bachelor"/>
    <x v="1"/>
    <x v="1"/>
  </r>
  <r>
    <n v="26"/>
    <s v="No"/>
    <x v="0"/>
    <n v="1066"/>
    <x v="1"/>
    <n v="2"/>
    <n v="2"/>
    <s v="Medical"/>
    <n v="1018"/>
    <n v="4"/>
    <x v="1"/>
    <n v="32"/>
    <n v="4"/>
    <x v="0"/>
    <x v="3"/>
    <n v="4"/>
    <x v="1"/>
    <n v="5472"/>
    <n v="3334"/>
    <n v="1"/>
    <x v="1"/>
    <n v="12"/>
    <n v="3"/>
    <n v="2"/>
    <n v="0"/>
    <n v="8"/>
    <n v="2"/>
    <x v="1"/>
    <n v="8"/>
    <n v="7"/>
    <n v="1"/>
    <n v="3"/>
    <x v="2"/>
    <x v="3"/>
    <n v="0"/>
    <x v="1"/>
    <s v="College"/>
    <x v="0"/>
    <x v="1"/>
  </r>
  <r>
    <n v="22"/>
    <s v="No"/>
    <x v="0"/>
    <n v="217"/>
    <x v="1"/>
    <n v="8"/>
    <n v="1"/>
    <s v="Life Sciences"/>
    <n v="1019"/>
    <n v="2"/>
    <x v="1"/>
    <n v="94"/>
    <n v="1"/>
    <x v="1"/>
    <x v="2"/>
    <n v="1"/>
    <x v="1"/>
    <n v="2451"/>
    <n v="6881"/>
    <n v="1"/>
    <x v="1"/>
    <n v="15"/>
    <n v="3"/>
    <n v="1"/>
    <n v="1"/>
    <n v="4"/>
    <n v="3"/>
    <x v="2"/>
    <n v="4"/>
    <n v="3"/>
    <n v="1"/>
    <n v="1"/>
    <x v="3"/>
    <x v="2"/>
    <n v="0"/>
    <x v="0"/>
    <s v="Below College"/>
    <x v="3"/>
    <x v="2"/>
  </r>
  <r>
    <n v="48"/>
    <s v="No"/>
    <x v="0"/>
    <n v="277"/>
    <x v="1"/>
    <n v="6"/>
    <n v="3"/>
    <s v="Life Sciences"/>
    <n v="1022"/>
    <n v="1"/>
    <x v="1"/>
    <n v="97"/>
    <n v="2"/>
    <x v="0"/>
    <x v="4"/>
    <n v="3"/>
    <x v="0"/>
    <n v="4240"/>
    <n v="13119"/>
    <n v="2"/>
    <x v="1"/>
    <n v="13"/>
    <n v="3"/>
    <n v="4"/>
    <n v="0"/>
    <n v="19"/>
    <n v="0"/>
    <x v="1"/>
    <n v="2"/>
    <n v="2"/>
    <n v="2"/>
    <n v="2"/>
    <x v="1"/>
    <x v="0"/>
    <n v="0"/>
    <x v="2"/>
    <s v="Bachelor"/>
    <x v="2"/>
    <x v="1"/>
  </r>
  <r>
    <n v="48"/>
    <s v="No"/>
    <x v="0"/>
    <n v="1355"/>
    <x v="1"/>
    <n v="4"/>
    <n v="4"/>
    <s v="Life Sciences"/>
    <n v="1024"/>
    <n v="3"/>
    <x v="1"/>
    <n v="78"/>
    <n v="2"/>
    <x v="2"/>
    <x v="4"/>
    <n v="3"/>
    <x v="0"/>
    <n v="10999"/>
    <n v="22245"/>
    <n v="7"/>
    <x v="1"/>
    <n v="14"/>
    <n v="3"/>
    <n v="2"/>
    <n v="0"/>
    <n v="27"/>
    <n v="3"/>
    <x v="1"/>
    <n v="15"/>
    <n v="11"/>
    <n v="4"/>
    <n v="8"/>
    <x v="1"/>
    <x v="0"/>
    <n v="0"/>
    <x v="3"/>
    <s v="Master"/>
    <x v="2"/>
    <x v="1"/>
  </r>
  <r>
    <n v="41"/>
    <s v="No"/>
    <x v="0"/>
    <n v="549"/>
    <x v="1"/>
    <n v="7"/>
    <n v="2"/>
    <s v="Medical"/>
    <n v="1025"/>
    <n v="4"/>
    <x v="0"/>
    <n v="42"/>
    <n v="3"/>
    <x v="0"/>
    <x v="3"/>
    <n v="3"/>
    <x v="0"/>
    <n v="5003"/>
    <n v="23371"/>
    <n v="6"/>
    <x v="1"/>
    <n v="14"/>
    <n v="3"/>
    <n v="2"/>
    <n v="0"/>
    <n v="8"/>
    <n v="6"/>
    <x v="1"/>
    <n v="2"/>
    <n v="2"/>
    <n v="2"/>
    <n v="1"/>
    <x v="0"/>
    <x v="0"/>
    <n v="0"/>
    <x v="2"/>
    <s v="College"/>
    <x v="2"/>
    <x v="1"/>
  </r>
  <r>
    <n v="39"/>
    <s v="No"/>
    <x v="0"/>
    <n v="466"/>
    <x v="1"/>
    <n v="1"/>
    <n v="1"/>
    <s v="Life Sciences"/>
    <n v="1026"/>
    <n v="4"/>
    <x v="0"/>
    <n v="65"/>
    <n v="2"/>
    <x v="3"/>
    <x v="3"/>
    <n v="4"/>
    <x v="1"/>
    <n v="12742"/>
    <n v="7060"/>
    <n v="1"/>
    <x v="1"/>
    <n v="16"/>
    <n v="3"/>
    <n v="3"/>
    <n v="1"/>
    <n v="21"/>
    <n v="3"/>
    <x v="1"/>
    <n v="21"/>
    <n v="6"/>
    <n v="11"/>
    <n v="8"/>
    <x v="0"/>
    <x v="2"/>
    <n v="0"/>
    <x v="3"/>
    <s v="Below College"/>
    <x v="0"/>
    <x v="1"/>
  </r>
  <r>
    <n v="27"/>
    <s v="No"/>
    <x v="0"/>
    <n v="1055"/>
    <x v="1"/>
    <n v="2"/>
    <n v="4"/>
    <s v="Life Sciences"/>
    <n v="1027"/>
    <n v="1"/>
    <x v="0"/>
    <n v="47"/>
    <n v="3"/>
    <x v="0"/>
    <x v="3"/>
    <n v="4"/>
    <x v="1"/>
    <n v="4227"/>
    <n v="4658"/>
    <n v="0"/>
    <x v="1"/>
    <n v="18"/>
    <n v="3"/>
    <n v="2"/>
    <n v="1"/>
    <n v="4"/>
    <n v="2"/>
    <x v="1"/>
    <n v="3"/>
    <n v="2"/>
    <n v="2"/>
    <n v="2"/>
    <x v="2"/>
    <x v="3"/>
    <n v="0"/>
    <x v="2"/>
    <s v="Master"/>
    <x v="0"/>
    <x v="1"/>
  </r>
  <r>
    <n v="35"/>
    <s v="No"/>
    <x v="0"/>
    <n v="802"/>
    <x v="1"/>
    <n v="10"/>
    <n v="3"/>
    <s v="Other"/>
    <n v="1028"/>
    <n v="2"/>
    <x v="1"/>
    <n v="45"/>
    <n v="3"/>
    <x v="1"/>
    <x v="2"/>
    <n v="4"/>
    <x v="2"/>
    <n v="3917"/>
    <n v="9541"/>
    <n v="1"/>
    <x v="1"/>
    <n v="20"/>
    <n v="4"/>
    <n v="1"/>
    <n v="1"/>
    <n v="3"/>
    <n v="4"/>
    <x v="2"/>
    <n v="3"/>
    <n v="2"/>
    <n v="1"/>
    <n v="2"/>
    <x v="2"/>
    <x v="2"/>
    <n v="0"/>
    <x v="0"/>
    <s v="Bachelor"/>
    <x v="0"/>
    <x v="2"/>
  </r>
  <r>
    <n v="42"/>
    <s v="No"/>
    <x v="0"/>
    <n v="265"/>
    <x v="0"/>
    <n v="5"/>
    <n v="2"/>
    <s v="Marketing"/>
    <n v="1029"/>
    <n v="4"/>
    <x v="1"/>
    <n v="90"/>
    <n v="3"/>
    <x v="4"/>
    <x v="5"/>
    <n v="3"/>
    <x v="1"/>
    <n v="18303"/>
    <n v="7770"/>
    <n v="6"/>
    <x v="1"/>
    <n v="13"/>
    <n v="3"/>
    <n v="2"/>
    <n v="0"/>
    <n v="21"/>
    <n v="3"/>
    <x v="3"/>
    <n v="1"/>
    <n v="0"/>
    <n v="0"/>
    <n v="0"/>
    <x v="0"/>
    <x v="2"/>
    <n v="0"/>
    <x v="2"/>
    <s v="College"/>
    <x v="2"/>
    <x v="3"/>
  </r>
  <r>
    <n v="50"/>
    <s v="No"/>
    <x v="0"/>
    <n v="804"/>
    <x v="1"/>
    <n v="9"/>
    <n v="3"/>
    <s v="Life Sciences"/>
    <n v="1030"/>
    <n v="1"/>
    <x v="1"/>
    <n v="64"/>
    <n v="3"/>
    <x v="1"/>
    <x v="2"/>
    <n v="4"/>
    <x v="1"/>
    <n v="2380"/>
    <n v="20165"/>
    <n v="4"/>
    <x v="1"/>
    <n v="18"/>
    <n v="3"/>
    <n v="2"/>
    <n v="0"/>
    <n v="8"/>
    <n v="5"/>
    <x v="1"/>
    <n v="1"/>
    <n v="0"/>
    <n v="0"/>
    <n v="0"/>
    <x v="1"/>
    <x v="0"/>
    <n v="0"/>
    <x v="2"/>
    <s v="Bachelor"/>
    <x v="0"/>
    <x v="1"/>
  </r>
  <r>
    <n v="59"/>
    <s v="No"/>
    <x v="0"/>
    <n v="715"/>
    <x v="1"/>
    <n v="2"/>
    <n v="3"/>
    <s v="Life Sciences"/>
    <n v="1032"/>
    <n v="3"/>
    <x v="0"/>
    <n v="69"/>
    <n v="2"/>
    <x v="3"/>
    <x v="3"/>
    <n v="4"/>
    <x v="0"/>
    <n v="13726"/>
    <n v="21829"/>
    <n v="3"/>
    <x v="0"/>
    <n v="13"/>
    <n v="3"/>
    <n v="1"/>
    <n v="0"/>
    <n v="30"/>
    <n v="4"/>
    <x v="1"/>
    <n v="5"/>
    <n v="3"/>
    <n v="4"/>
    <n v="3"/>
    <x v="1"/>
    <x v="0"/>
    <n v="0"/>
    <x v="2"/>
    <s v="Bachelor"/>
    <x v="0"/>
    <x v="1"/>
  </r>
  <r>
    <n v="37"/>
    <s v="Yes"/>
    <x v="0"/>
    <n v="1141"/>
    <x v="1"/>
    <n v="11"/>
    <n v="2"/>
    <s v="Medical"/>
    <n v="1033"/>
    <n v="1"/>
    <x v="0"/>
    <n v="61"/>
    <n v="1"/>
    <x v="0"/>
    <x v="4"/>
    <n v="2"/>
    <x v="1"/>
    <n v="4777"/>
    <n v="14382"/>
    <n v="5"/>
    <x v="1"/>
    <n v="15"/>
    <n v="3"/>
    <n v="1"/>
    <n v="0"/>
    <n v="15"/>
    <n v="2"/>
    <x v="0"/>
    <n v="1"/>
    <n v="0"/>
    <n v="0"/>
    <n v="0"/>
    <x v="0"/>
    <x v="0"/>
    <n v="1"/>
    <x v="0"/>
    <s v="College"/>
    <x v="1"/>
    <x v="0"/>
  </r>
  <r>
    <n v="55"/>
    <s v="No"/>
    <x v="1"/>
    <n v="135"/>
    <x v="1"/>
    <n v="18"/>
    <n v="4"/>
    <s v="Medical"/>
    <n v="1034"/>
    <n v="3"/>
    <x v="1"/>
    <n v="62"/>
    <n v="3"/>
    <x v="0"/>
    <x v="4"/>
    <n v="2"/>
    <x v="1"/>
    <n v="6385"/>
    <n v="12992"/>
    <n v="3"/>
    <x v="0"/>
    <n v="14"/>
    <n v="3"/>
    <n v="4"/>
    <n v="2"/>
    <n v="17"/>
    <n v="3"/>
    <x v="1"/>
    <n v="8"/>
    <n v="7"/>
    <n v="6"/>
    <n v="7"/>
    <x v="1"/>
    <x v="0"/>
    <n v="0"/>
    <x v="1"/>
    <s v="Master"/>
    <x v="1"/>
    <x v="1"/>
  </r>
  <r>
    <n v="41"/>
    <s v="No"/>
    <x v="2"/>
    <n v="247"/>
    <x v="1"/>
    <n v="7"/>
    <n v="1"/>
    <s v="Life Sciences"/>
    <n v="1035"/>
    <n v="2"/>
    <x v="0"/>
    <n v="55"/>
    <n v="1"/>
    <x v="4"/>
    <x v="7"/>
    <n v="3"/>
    <x v="2"/>
    <n v="19973"/>
    <n v="20284"/>
    <n v="1"/>
    <x v="1"/>
    <n v="22"/>
    <n v="4"/>
    <n v="2"/>
    <n v="2"/>
    <n v="21"/>
    <n v="3"/>
    <x v="1"/>
    <n v="21"/>
    <n v="16"/>
    <n v="5"/>
    <n v="10"/>
    <x v="0"/>
    <x v="0"/>
    <n v="0"/>
    <x v="3"/>
    <s v="Below College"/>
    <x v="2"/>
    <x v="1"/>
  </r>
  <r>
    <n v="38"/>
    <s v="No"/>
    <x v="0"/>
    <n v="1035"/>
    <x v="0"/>
    <n v="3"/>
    <n v="4"/>
    <s v="Life Sciences"/>
    <n v="1036"/>
    <n v="2"/>
    <x v="1"/>
    <n v="42"/>
    <n v="3"/>
    <x v="0"/>
    <x v="0"/>
    <n v="4"/>
    <x v="0"/>
    <n v="6861"/>
    <n v="4981"/>
    <n v="8"/>
    <x v="0"/>
    <n v="12"/>
    <n v="3"/>
    <n v="3"/>
    <n v="0"/>
    <n v="19"/>
    <n v="1"/>
    <x v="1"/>
    <n v="1"/>
    <n v="0"/>
    <n v="0"/>
    <n v="0"/>
    <x v="0"/>
    <x v="3"/>
    <n v="0"/>
    <x v="2"/>
    <s v="Master"/>
    <x v="0"/>
    <x v="1"/>
  </r>
  <r>
    <n v="26"/>
    <s v="Yes"/>
    <x v="2"/>
    <n v="265"/>
    <x v="0"/>
    <n v="29"/>
    <n v="2"/>
    <s v="Medical"/>
    <n v="1037"/>
    <n v="2"/>
    <x v="1"/>
    <n v="79"/>
    <n v="1"/>
    <x v="0"/>
    <x v="0"/>
    <n v="1"/>
    <x v="0"/>
    <n v="4969"/>
    <n v="21813"/>
    <n v="8"/>
    <x v="1"/>
    <n v="18"/>
    <n v="3"/>
    <n v="4"/>
    <n v="0"/>
    <n v="7"/>
    <n v="6"/>
    <x v="1"/>
    <n v="2"/>
    <n v="2"/>
    <n v="2"/>
    <n v="2"/>
    <x v="2"/>
    <x v="0"/>
    <n v="1"/>
    <x v="2"/>
    <s v="College"/>
    <x v="3"/>
    <x v="1"/>
  </r>
  <r>
    <n v="52"/>
    <s v="Yes"/>
    <x v="0"/>
    <n v="266"/>
    <x v="0"/>
    <n v="2"/>
    <n v="1"/>
    <s v="Marketing"/>
    <n v="1038"/>
    <n v="1"/>
    <x v="0"/>
    <n v="57"/>
    <n v="1"/>
    <x v="4"/>
    <x v="5"/>
    <n v="4"/>
    <x v="1"/>
    <n v="19845"/>
    <n v="25846"/>
    <n v="1"/>
    <x v="1"/>
    <n v="15"/>
    <n v="3"/>
    <n v="4"/>
    <n v="1"/>
    <n v="33"/>
    <n v="3"/>
    <x v="1"/>
    <n v="32"/>
    <n v="14"/>
    <n v="6"/>
    <n v="9"/>
    <x v="1"/>
    <x v="0"/>
    <n v="1"/>
    <x v="3"/>
    <s v="Below College"/>
    <x v="0"/>
    <x v="1"/>
  </r>
  <r>
    <n v="44"/>
    <s v="No"/>
    <x v="0"/>
    <n v="1448"/>
    <x v="0"/>
    <n v="28"/>
    <n v="3"/>
    <s v="Medical"/>
    <n v="1039"/>
    <n v="4"/>
    <x v="0"/>
    <n v="53"/>
    <n v="4"/>
    <x v="3"/>
    <x v="0"/>
    <n v="4"/>
    <x v="1"/>
    <n v="13320"/>
    <n v="11737"/>
    <n v="3"/>
    <x v="0"/>
    <n v="18"/>
    <n v="3"/>
    <n v="3"/>
    <n v="1"/>
    <n v="23"/>
    <n v="2"/>
    <x v="1"/>
    <n v="12"/>
    <n v="11"/>
    <n v="11"/>
    <n v="11"/>
    <x v="0"/>
    <x v="0"/>
    <n v="0"/>
    <x v="3"/>
    <s v="Bachelor"/>
    <x v="0"/>
    <x v="1"/>
  </r>
  <r>
    <n v="50"/>
    <s v="No"/>
    <x v="2"/>
    <n v="145"/>
    <x v="0"/>
    <n v="1"/>
    <n v="3"/>
    <s v="Life Sciences"/>
    <n v="1040"/>
    <n v="4"/>
    <x v="0"/>
    <n v="95"/>
    <n v="3"/>
    <x v="0"/>
    <x v="0"/>
    <n v="3"/>
    <x v="1"/>
    <n v="6347"/>
    <n v="24920"/>
    <n v="0"/>
    <x v="1"/>
    <n v="12"/>
    <n v="3"/>
    <n v="1"/>
    <n v="1"/>
    <n v="19"/>
    <n v="3"/>
    <x v="1"/>
    <n v="18"/>
    <n v="7"/>
    <n v="0"/>
    <n v="13"/>
    <x v="1"/>
    <x v="0"/>
    <n v="0"/>
    <x v="3"/>
    <s v="Bachelor"/>
    <x v="2"/>
    <x v="1"/>
  </r>
  <r>
    <n v="36"/>
    <s v="Yes"/>
    <x v="0"/>
    <n v="885"/>
    <x v="1"/>
    <n v="16"/>
    <n v="4"/>
    <s v="Life Sciences"/>
    <n v="1042"/>
    <n v="3"/>
    <x v="0"/>
    <n v="43"/>
    <n v="4"/>
    <x v="1"/>
    <x v="2"/>
    <n v="1"/>
    <x v="0"/>
    <n v="2743"/>
    <n v="8269"/>
    <n v="1"/>
    <x v="1"/>
    <n v="16"/>
    <n v="3"/>
    <n v="3"/>
    <n v="0"/>
    <n v="18"/>
    <n v="1"/>
    <x v="1"/>
    <n v="17"/>
    <n v="13"/>
    <n v="15"/>
    <n v="14"/>
    <x v="0"/>
    <x v="2"/>
    <n v="1"/>
    <x v="3"/>
    <s v="Master"/>
    <x v="3"/>
    <x v="1"/>
  </r>
  <r>
    <n v="39"/>
    <s v="No"/>
    <x v="1"/>
    <n v="945"/>
    <x v="1"/>
    <n v="22"/>
    <n v="3"/>
    <s v="Medical"/>
    <n v="1043"/>
    <n v="4"/>
    <x v="0"/>
    <n v="82"/>
    <n v="3"/>
    <x v="2"/>
    <x v="3"/>
    <n v="1"/>
    <x v="0"/>
    <n v="10880"/>
    <n v="5083"/>
    <n v="1"/>
    <x v="0"/>
    <n v="13"/>
    <n v="3"/>
    <n v="3"/>
    <n v="0"/>
    <n v="21"/>
    <n v="2"/>
    <x v="1"/>
    <n v="21"/>
    <n v="6"/>
    <n v="2"/>
    <n v="8"/>
    <x v="0"/>
    <x v="3"/>
    <n v="0"/>
    <x v="3"/>
    <s v="Bachelor"/>
    <x v="3"/>
    <x v="1"/>
  </r>
  <r>
    <n v="33"/>
    <s v="No"/>
    <x v="2"/>
    <n v="1038"/>
    <x v="0"/>
    <n v="8"/>
    <n v="1"/>
    <s v="Life Sciences"/>
    <n v="1044"/>
    <n v="2"/>
    <x v="0"/>
    <n v="88"/>
    <n v="2"/>
    <x v="1"/>
    <x v="6"/>
    <n v="4"/>
    <x v="0"/>
    <n v="2342"/>
    <n v="21437"/>
    <n v="0"/>
    <x v="1"/>
    <n v="19"/>
    <n v="3"/>
    <n v="4"/>
    <n v="0"/>
    <n v="3"/>
    <n v="2"/>
    <x v="2"/>
    <n v="2"/>
    <n v="2"/>
    <n v="2"/>
    <n v="2"/>
    <x v="2"/>
    <x v="0"/>
    <n v="0"/>
    <x v="0"/>
    <s v="Below College"/>
    <x v="0"/>
    <x v="2"/>
  </r>
  <r>
    <n v="45"/>
    <s v="No"/>
    <x v="0"/>
    <n v="1234"/>
    <x v="0"/>
    <n v="11"/>
    <n v="2"/>
    <s v="Life Sciences"/>
    <n v="1045"/>
    <n v="4"/>
    <x v="0"/>
    <n v="90"/>
    <n v="3"/>
    <x v="3"/>
    <x v="5"/>
    <n v="4"/>
    <x v="1"/>
    <n v="17650"/>
    <n v="5404"/>
    <n v="3"/>
    <x v="1"/>
    <n v="13"/>
    <n v="3"/>
    <n v="2"/>
    <n v="1"/>
    <n v="26"/>
    <n v="4"/>
    <x v="3"/>
    <n v="9"/>
    <n v="3"/>
    <n v="1"/>
    <n v="1"/>
    <x v="0"/>
    <x v="3"/>
    <n v="0"/>
    <x v="1"/>
    <s v="College"/>
    <x v="0"/>
    <x v="3"/>
  </r>
  <r>
    <n v="32"/>
    <s v="No"/>
    <x v="2"/>
    <n v="1109"/>
    <x v="1"/>
    <n v="29"/>
    <n v="4"/>
    <s v="Medical"/>
    <n v="1046"/>
    <n v="4"/>
    <x v="0"/>
    <n v="69"/>
    <n v="3"/>
    <x v="1"/>
    <x v="2"/>
    <n v="3"/>
    <x v="0"/>
    <n v="4025"/>
    <n v="11135"/>
    <n v="9"/>
    <x v="1"/>
    <n v="12"/>
    <n v="3"/>
    <n v="2"/>
    <n v="0"/>
    <n v="10"/>
    <n v="2"/>
    <x v="1"/>
    <n v="8"/>
    <n v="7"/>
    <n v="7"/>
    <n v="7"/>
    <x v="2"/>
    <x v="0"/>
    <n v="0"/>
    <x v="1"/>
    <s v="Master"/>
    <x v="2"/>
    <x v="1"/>
  </r>
  <r>
    <n v="34"/>
    <s v="No"/>
    <x v="0"/>
    <n v="216"/>
    <x v="0"/>
    <n v="1"/>
    <n v="4"/>
    <s v="Marketing"/>
    <n v="1047"/>
    <n v="2"/>
    <x v="1"/>
    <n v="75"/>
    <n v="4"/>
    <x v="0"/>
    <x v="0"/>
    <n v="4"/>
    <x v="2"/>
    <n v="9725"/>
    <n v="12278"/>
    <n v="0"/>
    <x v="1"/>
    <n v="11"/>
    <n v="3"/>
    <n v="4"/>
    <n v="1"/>
    <n v="16"/>
    <n v="2"/>
    <x v="2"/>
    <n v="15"/>
    <n v="1"/>
    <n v="0"/>
    <n v="9"/>
    <x v="2"/>
    <x v="0"/>
    <n v="0"/>
    <x v="0"/>
    <s v="Master"/>
    <x v="0"/>
    <x v="2"/>
  </r>
  <r>
    <n v="59"/>
    <s v="No"/>
    <x v="0"/>
    <n v="1089"/>
    <x v="0"/>
    <n v="1"/>
    <n v="2"/>
    <s v="Technical Degree"/>
    <n v="1048"/>
    <n v="2"/>
    <x v="1"/>
    <n v="66"/>
    <n v="3"/>
    <x v="2"/>
    <x v="5"/>
    <n v="4"/>
    <x v="1"/>
    <n v="11904"/>
    <n v="11038"/>
    <n v="3"/>
    <x v="0"/>
    <n v="14"/>
    <n v="3"/>
    <n v="3"/>
    <n v="1"/>
    <n v="14"/>
    <n v="1"/>
    <x v="0"/>
    <n v="6"/>
    <n v="4"/>
    <n v="0"/>
    <n v="4"/>
    <x v="1"/>
    <x v="0"/>
    <n v="0"/>
    <x v="0"/>
    <s v="College"/>
    <x v="0"/>
    <x v="0"/>
  </r>
  <r>
    <n v="45"/>
    <s v="No"/>
    <x v="0"/>
    <n v="788"/>
    <x v="2"/>
    <n v="24"/>
    <n v="4"/>
    <s v="Medical"/>
    <n v="1049"/>
    <n v="2"/>
    <x v="1"/>
    <n v="36"/>
    <n v="3"/>
    <x v="1"/>
    <x v="8"/>
    <n v="2"/>
    <x v="0"/>
    <n v="2177"/>
    <n v="8318"/>
    <n v="1"/>
    <x v="1"/>
    <n v="16"/>
    <n v="3"/>
    <n v="1"/>
    <n v="0"/>
    <n v="6"/>
    <n v="3"/>
    <x v="1"/>
    <n v="6"/>
    <n v="3"/>
    <n v="0"/>
    <n v="4"/>
    <x v="0"/>
    <x v="2"/>
    <n v="0"/>
    <x v="1"/>
    <s v="Master"/>
    <x v="1"/>
    <x v="1"/>
  </r>
  <r>
    <n v="53"/>
    <s v="No"/>
    <x v="1"/>
    <n v="124"/>
    <x v="0"/>
    <n v="2"/>
    <n v="3"/>
    <s v="Marketing"/>
    <n v="1050"/>
    <n v="3"/>
    <x v="0"/>
    <n v="38"/>
    <n v="2"/>
    <x v="2"/>
    <x v="0"/>
    <n v="2"/>
    <x v="1"/>
    <n v="7525"/>
    <n v="23537"/>
    <n v="2"/>
    <x v="1"/>
    <n v="12"/>
    <n v="3"/>
    <n v="1"/>
    <n v="1"/>
    <n v="30"/>
    <n v="2"/>
    <x v="1"/>
    <n v="15"/>
    <n v="7"/>
    <n v="6"/>
    <n v="12"/>
    <x v="1"/>
    <x v="0"/>
    <n v="0"/>
    <x v="3"/>
    <s v="Bachelor"/>
    <x v="1"/>
    <x v="1"/>
  </r>
  <r>
    <n v="36"/>
    <s v="Yes"/>
    <x v="0"/>
    <n v="660"/>
    <x v="1"/>
    <n v="15"/>
    <n v="3"/>
    <s v="Other"/>
    <n v="1052"/>
    <n v="1"/>
    <x v="1"/>
    <n v="81"/>
    <n v="3"/>
    <x v="0"/>
    <x v="2"/>
    <n v="3"/>
    <x v="2"/>
    <n v="4834"/>
    <n v="7858"/>
    <n v="7"/>
    <x v="1"/>
    <n v="14"/>
    <n v="3"/>
    <n v="2"/>
    <n v="1"/>
    <n v="9"/>
    <n v="3"/>
    <x v="2"/>
    <n v="1"/>
    <n v="0"/>
    <n v="0"/>
    <n v="0"/>
    <x v="0"/>
    <x v="2"/>
    <n v="1"/>
    <x v="0"/>
    <s v="Bachelor"/>
    <x v="2"/>
    <x v="2"/>
  </r>
  <r>
    <n v="26"/>
    <s v="Yes"/>
    <x v="1"/>
    <n v="342"/>
    <x v="1"/>
    <n v="2"/>
    <n v="3"/>
    <s v="Life Sciences"/>
    <n v="1053"/>
    <n v="1"/>
    <x v="1"/>
    <n v="57"/>
    <n v="3"/>
    <x v="1"/>
    <x v="1"/>
    <n v="1"/>
    <x v="1"/>
    <n v="2042"/>
    <n v="15346"/>
    <n v="6"/>
    <x v="0"/>
    <n v="14"/>
    <n v="3"/>
    <n v="2"/>
    <n v="1"/>
    <n v="6"/>
    <n v="2"/>
    <x v="1"/>
    <n v="3"/>
    <n v="2"/>
    <n v="1"/>
    <n v="2"/>
    <x v="2"/>
    <x v="0"/>
    <n v="1"/>
    <x v="2"/>
    <s v="Bachelor"/>
    <x v="3"/>
    <x v="1"/>
  </r>
  <r>
    <n v="34"/>
    <s v="No"/>
    <x v="0"/>
    <n v="1333"/>
    <x v="0"/>
    <n v="10"/>
    <n v="4"/>
    <s v="Life Sciences"/>
    <n v="1055"/>
    <n v="3"/>
    <x v="0"/>
    <n v="87"/>
    <n v="3"/>
    <x v="1"/>
    <x v="6"/>
    <n v="3"/>
    <x v="1"/>
    <n v="2220"/>
    <n v="18410"/>
    <n v="1"/>
    <x v="0"/>
    <n v="19"/>
    <n v="3"/>
    <n v="4"/>
    <n v="1"/>
    <n v="1"/>
    <n v="2"/>
    <x v="1"/>
    <n v="1"/>
    <n v="1"/>
    <n v="0"/>
    <n v="0"/>
    <x v="2"/>
    <x v="0"/>
    <n v="0"/>
    <x v="2"/>
    <s v="Master"/>
    <x v="2"/>
    <x v="1"/>
  </r>
  <r>
    <n v="28"/>
    <s v="No"/>
    <x v="0"/>
    <n v="1144"/>
    <x v="0"/>
    <n v="10"/>
    <n v="1"/>
    <s v="Medical"/>
    <n v="1056"/>
    <n v="4"/>
    <x v="1"/>
    <n v="74"/>
    <n v="3"/>
    <x v="1"/>
    <x v="6"/>
    <n v="2"/>
    <x v="1"/>
    <n v="1052"/>
    <n v="23384"/>
    <n v="1"/>
    <x v="1"/>
    <n v="22"/>
    <n v="4"/>
    <n v="2"/>
    <n v="0"/>
    <n v="1"/>
    <n v="5"/>
    <x v="1"/>
    <n v="1"/>
    <n v="0"/>
    <n v="0"/>
    <n v="0"/>
    <x v="2"/>
    <x v="0"/>
    <n v="0"/>
    <x v="2"/>
    <s v="Below College"/>
    <x v="1"/>
    <x v="1"/>
  </r>
  <r>
    <n v="38"/>
    <s v="No"/>
    <x v="1"/>
    <n v="1186"/>
    <x v="1"/>
    <n v="3"/>
    <n v="4"/>
    <s v="Other"/>
    <n v="1060"/>
    <n v="3"/>
    <x v="1"/>
    <n v="44"/>
    <n v="3"/>
    <x v="1"/>
    <x v="1"/>
    <n v="3"/>
    <x v="1"/>
    <n v="2821"/>
    <n v="2997"/>
    <n v="3"/>
    <x v="1"/>
    <n v="16"/>
    <n v="3"/>
    <n v="1"/>
    <n v="1"/>
    <n v="8"/>
    <n v="2"/>
    <x v="1"/>
    <n v="2"/>
    <n v="2"/>
    <n v="2"/>
    <n v="2"/>
    <x v="0"/>
    <x v="1"/>
    <n v="0"/>
    <x v="2"/>
    <s v="Master"/>
    <x v="2"/>
    <x v="1"/>
  </r>
  <r>
    <n v="50"/>
    <s v="No"/>
    <x v="0"/>
    <n v="1464"/>
    <x v="1"/>
    <n v="2"/>
    <n v="4"/>
    <s v="Medical"/>
    <n v="1061"/>
    <n v="2"/>
    <x v="1"/>
    <n v="62"/>
    <n v="3"/>
    <x v="4"/>
    <x v="7"/>
    <n v="3"/>
    <x v="1"/>
    <n v="19237"/>
    <n v="12853"/>
    <n v="2"/>
    <x v="0"/>
    <n v="11"/>
    <n v="3"/>
    <n v="4"/>
    <n v="1"/>
    <n v="29"/>
    <n v="2"/>
    <x v="2"/>
    <n v="8"/>
    <n v="1"/>
    <n v="7"/>
    <n v="7"/>
    <x v="1"/>
    <x v="0"/>
    <n v="0"/>
    <x v="0"/>
    <s v="Master"/>
    <x v="2"/>
    <x v="2"/>
  </r>
  <r>
    <n v="37"/>
    <s v="No"/>
    <x v="0"/>
    <n v="124"/>
    <x v="1"/>
    <n v="3"/>
    <n v="3"/>
    <s v="Other"/>
    <n v="1062"/>
    <n v="4"/>
    <x v="0"/>
    <n v="35"/>
    <n v="3"/>
    <x v="0"/>
    <x v="4"/>
    <n v="2"/>
    <x v="0"/>
    <n v="4107"/>
    <n v="13848"/>
    <n v="3"/>
    <x v="1"/>
    <n v="15"/>
    <n v="3"/>
    <n v="1"/>
    <n v="0"/>
    <n v="8"/>
    <n v="3"/>
    <x v="2"/>
    <n v="4"/>
    <n v="3"/>
    <n v="0"/>
    <n v="1"/>
    <x v="0"/>
    <x v="0"/>
    <n v="0"/>
    <x v="0"/>
    <s v="Bachelor"/>
    <x v="1"/>
    <x v="2"/>
  </r>
  <r>
    <n v="40"/>
    <s v="No"/>
    <x v="0"/>
    <n v="300"/>
    <x v="0"/>
    <n v="26"/>
    <n v="3"/>
    <s v="Marketing"/>
    <n v="1066"/>
    <n v="3"/>
    <x v="1"/>
    <n v="74"/>
    <n v="3"/>
    <x v="0"/>
    <x v="0"/>
    <n v="1"/>
    <x v="1"/>
    <n v="8396"/>
    <n v="22217"/>
    <n v="1"/>
    <x v="1"/>
    <n v="14"/>
    <n v="3"/>
    <n v="2"/>
    <n v="1"/>
    <n v="8"/>
    <n v="3"/>
    <x v="2"/>
    <n v="7"/>
    <n v="7"/>
    <n v="7"/>
    <n v="5"/>
    <x v="0"/>
    <x v="0"/>
    <n v="0"/>
    <x v="0"/>
    <s v="Bachelor"/>
    <x v="3"/>
    <x v="2"/>
  </r>
  <r>
    <n v="26"/>
    <s v="No"/>
    <x v="1"/>
    <n v="921"/>
    <x v="1"/>
    <n v="1"/>
    <n v="1"/>
    <s v="Medical"/>
    <n v="1068"/>
    <n v="1"/>
    <x v="0"/>
    <n v="66"/>
    <n v="2"/>
    <x v="1"/>
    <x v="1"/>
    <n v="3"/>
    <x v="2"/>
    <n v="2007"/>
    <n v="25265"/>
    <n v="1"/>
    <x v="1"/>
    <n v="13"/>
    <n v="3"/>
    <n v="3"/>
    <n v="2"/>
    <n v="5"/>
    <n v="5"/>
    <x v="1"/>
    <n v="5"/>
    <n v="3"/>
    <n v="1"/>
    <n v="3"/>
    <x v="2"/>
    <x v="0"/>
    <n v="0"/>
    <x v="2"/>
    <s v="Below College"/>
    <x v="2"/>
    <x v="1"/>
  </r>
  <r>
    <n v="46"/>
    <s v="No"/>
    <x v="0"/>
    <n v="430"/>
    <x v="1"/>
    <n v="1"/>
    <n v="4"/>
    <s v="Medical"/>
    <n v="1069"/>
    <n v="4"/>
    <x v="1"/>
    <n v="40"/>
    <n v="3"/>
    <x v="4"/>
    <x v="7"/>
    <n v="4"/>
    <x v="2"/>
    <n v="19627"/>
    <n v="21445"/>
    <n v="9"/>
    <x v="1"/>
    <n v="17"/>
    <n v="3"/>
    <n v="4"/>
    <n v="2"/>
    <n v="23"/>
    <n v="0"/>
    <x v="1"/>
    <n v="2"/>
    <n v="2"/>
    <n v="2"/>
    <n v="2"/>
    <x v="1"/>
    <x v="0"/>
    <n v="0"/>
    <x v="2"/>
    <s v="Master"/>
    <x v="0"/>
    <x v="1"/>
  </r>
  <r>
    <n v="54"/>
    <s v="No"/>
    <x v="0"/>
    <n v="1082"/>
    <x v="0"/>
    <n v="2"/>
    <n v="4"/>
    <s v="Life Sciences"/>
    <n v="1070"/>
    <n v="3"/>
    <x v="0"/>
    <n v="41"/>
    <n v="2"/>
    <x v="2"/>
    <x v="0"/>
    <n v="3"/>
    <x v="1"/>
    <n v="10686"/>
    <n v="8392"/>
    <n v="6"/>
    <x v="1"/>
    <n v="11"/>
    <n v="3"/>
    <n v="2"/>
    <n v="1"/>
    <n v="13"/>
    <n v="4"/>
    <x v="1"/>
    <n v="9"/>
    <n v="4"/>
    <n v="7"/>
    <n v="0"/>
    <x v="1"/>
    <x v="2"/>
    <n v="0"/>
    <x v="1"/>
    <s v="Master"/>
    <x v="2"/>
    <x v="1"/>
  </r>
  <r>
    <n v="56"/>
    <s v="No"/>
    <x v="1"/>
    <n v="1240"/>
    <x v="1"/>
    <n v="9"/>
    <n v="3"/>
    <s v="Medical"/>
    <n v="1071"/>
    <n v="1"/>
    <x v="0"/>
    <n v="63"/>
    <n v="3"/>
    <x v="1"/>
    <x v="1"/>
    <n v="3"/>
    <x v="1"/>
    <n v="2942"/>
    <n v="12154"/>
    <n v="2"/>
    <x v="1"/>
    <n v="19"/>
    <n v="3"/>
    <n v="2"/>
    <n v="1"/>
    <n v="18"/>
    <n v="4"/>
    <x v="1"/>
    <n v="5"/>
    <n v="4"/>
    <n v="0"/>
    <n v="3"/>
    <x v="1"/>
    <x v="0"/>
    <n v="0"/>
    <x v="2"/>
    <s v="Bachelor"/>
    <x v="2"/>
    <x v="1"/>
  </r>
  <r>
    <n v="36"/>
    <s v="No"/>
    <x v="0"/>
    <n v="796"/>
    <x v="1"/>
    <n v="12"/>
    <n v="5"/>
    <s v="Medical"/>
    <n v="1073"/>
    <n v="4"/>
    <x v="0"/>
    <n v="51"/>
    <n v="2"/>
    <x v="2"/>
    <x v="3"/>
    <n v="4"/>
    <x v="0"/>
    <n v="8858"/>
    <n v="15669"/>
    <n v="0"/>
    <x v="1"/>
    <n v="11"/>
    <n v="3"/>
    <n v="2"/>
    <n v="0"/>
    <n v="15"/>
    <n v="2"/>
    <x v="2"/>
    <n v="14"/>
    <n v="8"/>
    <n v="7"/>
    <n v="8"/>
    <x v="0"/>
    <x v="0"/>
    <n v="0"/>
    <x v="0"/>
    <s v="Doctor"/>
    <x v="0"/>
    <x v="2"/>
  </r>
  <r>
    <n v="55"/>
    <s v="No"/>
    <x v="2"/>
    <n v="444"/>
    <x v="1"/>
    <n v="2"/>
    <n v="1"/>
    <s v="Medical"/>
    <n v="1074"/>
    <n v="3"/>
    <x v="1"/>
    <n v="40"/>
    <n v="2"/>
    <x v="3"/>
    <x v="5"/>
    <n v="1"/>
    <x v="0"/>
    <n v="16756"/>
    <n v="17323"/>
    <n v="7"/>
    <x v="1"/>
    <n v="15"/>
    <n v="3"/>
    <n v="2"/>
    <n v="0"/>
    <n v="31"/>
    <n v="3"/>
    <x v="3"/>
    <n v="9"/>
    <n v="7"/>
    <n v="6"/>
    <n v="2"/>
    <x v="1"/>
    <x v="0"/>
    <n v="0"/>
    <x v="1"/>
    <s v="Below College"/>
    <x v="3"/>
    <x v="3"/>
  </r>
  <r>
    <n v="43"/>
    <s v="No"/>
    <x v="0"/>
    <n v="415"/>
    <x v="0"/>
    <n v="25"/>
    <n v="3"/>
    <s v="Medical"/>
    <n v="1076"/>
    <n v="3"/>
    <x v="1"/>
    <n v="79"/>
    <n v="2"/>
    <x v="2"/>
    <x v="0"/>
    <n v="4"/>
    <x v="2"/>
    <n v="10798"/>
    <n v="5268"/>
    <n v="5"/>
    <x v="1"/>
    <n v="13"/>
    <n v="3"/>
    <n v="3"/>
    <n v="1"/>
    <n v="18"/>
    <n v="5"/>
    <x v="1"/>
    <n v="1"/>
    <n v="0"/>
    <n v="0"/>
    <n v="0"/>
    <x v="0"/>
    <x v="3"/>
    <n v="0"/>
    <x v="2"/>
    <s v="Bachelor"/>
    <x v="0"/>
    <x v="1"/>
  </r>
  <r>
    <n v="20"/>
    <s v="Yes"/>
    <x v="1"/>
    <n v="769"/>
    <x v="0"/>
    <n v="9"/>
    <n v="3"/>
    <s v="Marketing"/>
    <n v="1077"/>
    <n v="4"/>
    <x v="0"/>
    <n v="54"/>
    <n v="3"/>
    <x v="1"/>
    <x v="6"/>
    <n v="4"/>
    <x v="0"/>
    <n v="2323"/>
    <n v="17205"/>
    <n v="1"/>
    <x v="0"/>
    <n v="14"/>
    <n v="3"/>
    <n v="2"/>
    <n v="0"/>
    <n v="2"/>
    <n v="3"/>
    <x v="1"/>
    <n v="2"/>
    <n v="2"/>
    <n v="0"/>
    <n v="2"/>
    <x v="3"/>
    <x v="0"/>
    <n v="1"/>
    <x v="2"/>
    <s v="Bachelor"/>
    <x v="0"/>
    <x v="1"/>
  </r>
  <r>
    <n v="21"/>
    <s v="Yes"/>
    <x v="0"/>
    <n v="1334"/>
    <x v="1"/>
    <n v="10"/>
    <n v="3"/>
    <s v="Life Sciences"/>
    <n v="1079"/>
    <n v="3"/>
    <x v="0"/>
    <n v="36"/>
    <n v="2"/>
    <x v="1"/>
    <x v="2"/>
    <n v="1"/>
    <x v="0"/>
    <n v="1416"/>
    <n v="17258"/>
    <n v="1"/>
    <x v="1"/>
    <n v="13"/>
    <n v="3"/>
    <n v="1"/>
    <n v="0"/>
    <n v="1"/>
    <n v="6"/>
    <x v="2"/>
    <n v="1"/>
    <n v="0"/>
    <n v="1"/>
    <n v="0"/>
    <x v="3"/>
    <x v="0"/>
    <n v="1"/>
    <x v="0"/>
    <s v="Bachelor"/>
    <x v="3"/>
    <x v="2"/>
  </r>
  <r>
    <n v="46"/>
    <s v="No"/>
    <x v="0"/>
    <n v="1003"/>
    <x v="1"/>
    <n v="8"/>
    <n v="4"/>
    <s v="Life Sciences"/>
    <n v="1080"/>
    <n v="4"/>
    <x v="0"/>
    <n v="74"/>
    <n v="2"/>
    <x v="0"/>
    <x v="1"/>
    <n v="1"/>
    <x v="2"/>
    <n v="4615"/>
    <n v="21029"/>
    <n v="8"/>
    <x v="0"/>
    <n v="23"/>
    <n v="4"/>
    <n v="1"/>
    <n v="3"/>
    <n v="19"/>
    <n v="2"/>
    <x v="1"/>
    <n v="16"/>
    <n v="13"/>
    <n v="1"/>
    <n v="7"/>
    <x v="1"/>
    <x v="0"/>
    <n v="0"/>
    <x v="3"/>
    <s v="Master"/>
    <x v="3"/>
    <x v="1"/>
  </r>
  <r>
    <n v="51"/>
    <s v="Yes"/>
    <x v="0"/>
    <n v="1323"/>
    <x v="1"/>
    <n v="4"/>
    <n v="4"/>
    <s v="Life Sciences"/>
    <n v="1081"/>
    <n v="1"/>
    <x v="1"/>
    <n v="34"/>
    <n v="3"/>
    <x v="1"/>
    <x v="1"/>
    <n v="3"/>
    <x v="1"/>
    <n v="2461"/>
    <n v="10332"/>
    <n v="9"/>
    <x v="0"/>
    <n v="12"/>
    <n v="3"/>
    <n v="3"/>
    <n v="3"/>
    <n v="18"/>
    <n v="2"/>
    <x v="3"/>
    <n v="10"/>
    <n v="0"/>
    <n v="2"/>
    <n v="7"/>
    <x v="1"/>
    <x v="0"/>
    <n v="1"/>
    <x v="1"/>
    <s v="Master"/>
    <x v="2"/>
    <x v="3"/>
  </r>
  <r>
    <n v="28"/>
    <s v="Yes"/>
    <x v="2"/>
    <n v="1366"/>
    <x v="1"/>
    <n v="24"/>
    <n v="2"/>
    <s v="Technical Degree"/>
    <n v="1082"/>
    <n v="2"/>
    <x v="1"/>
    <n v="72"/>
    <n v="2"/>
    <x v="2"/>
    <x v="4"/>
    <n v="1"/>
    <x v="0"/>
    <n v="8722"/>
    <n v="12355"/>
    <n v="1"/>
    <x v="1"/>
    <n v="12"/>
    <n v="3"/>
    <n v="1"/>
    <n v="0"/>
    <n v="10"/>
    <n v="2"/>
    <x v="2"/>
    <n v="10"/>
    <n v="7"/>
    <n v="1"/>
    <n v="9"/>
    <x v="2"/>
    <x v="0"/>
    <n v="1"/>
    <x v="0"/>
    <s v="College"/>
    <x v="3"/>
    <x v="2"/>
  </r>
  <r>
    <n v="26"/>
    <s v="No"/>
    <x v="0"/>
    <n v="192"/>
    <x v="1"/>
    <n v="1"/>
    <n v="2"/>
    <s v="Medical"/>
    <n v="1083"/>
    <n v="1"/>
    <x v="1"/>
    <n v="59"/>
    <n v="2"/>
    <x v="1"/>
    <x v="2"/>
    <n v="1"/>
    <x v="1"/>
    <n v="3955"/>
    <n v="11141"/>
    <n v="1"/>
    <x v="1"/>
    <n v="16"/>
    <n v="3"/>
    <n v="1"/>
    <n v="2"/>
    <n v="6"/>
    <n v="2"/>
    <x v="1"/>
    <n v="5"/>
    <n v="3"/>
    <n v="1"/>
    <n v="3"/>
    <x v="2"/>
    <x v="0"/>
    <n v="0"/>
    <x v="2"/>
    <s v="College"/>
    <x v="3"/>
    <x v="1"/>
  </r>
  <r>
    <n v="30"/>
    <s v="No"/>
    <x v="0"/>
    <n v="1176"/>
    <x v="1"/>
    <n v="20"/>
    <n v="3"/>
    <s v="Other"/>
    <n v="1084"/>
    <n v="3"/>
    <x v="1"/>
    <n v="85"/>
    <n v="3"/>
    <x v="0"/>
    <x v="3"/>
    <n v="1"/>
    <x v="1"/>
    <n v="9957"/>
    <n v="9096"/>
    <n v="0"/>
    <x v="1"/>
    <n v="15"/>
    <n v="3"/>
    <n v="3"/>
    <n v="1"/>
    <n v="7"/>
    <n v="1"/>
    <x v="2"/>
    <n v="6"/>
    <n v="2"/>
    <n v="0"/>
    <n v="2"/>
    <x v="2"/>
    <x v="2"/>
    <n v="0"/>
    <x v="0"/>
    <s v="Bachelor"/>
    <x v="3"/>
    <x v="2"/>
  </r>
  <r>
    <n v="41"/>
    <s v="No"/>
    <x v="0"/>
    <n v="509"/>
    <x v="1"/>
    <n v="7"/>
    <n v="2"/>
    <s v="Technical Degree"/>
    <n v="1085"/>
    <n v="2"/>
    <x v="0"/>
    <n v="43"/>
    <n v="4"/>
    <x v="1"/>
    <x v="1"/>
    <n v="3"/>
    <x v="1"/>
    <n v="3376"/>
    <n v="18863"/>
    <n v="1"/>
    <x v="1"/>
    <n v="13"/>
    <n v="3"/>
    <n v="3"/>
    <n v="0"/>
    <n v="10"/>
    <n v="3"/>
    <x v="1"/>
    <n v="10"/>
    <n v="6"/>
    <n v="0"/>
    <n v="8"/>
    <x v="0"/>
    <x v="0"/>
    <n v="0"/>
    <x v="1"/>
    <s v="College"/>
    <x v="2"/>
    <x v="1"/>
  </r>
  <r>
    <n v="38"/>
    <s v="No"/>
    <x v="0"/>
    <n v="330"/>
    <x v="1"/>
    <n v="17"/>
    <n v="1"/>
    <s v="Life Sciences"/>
    <n v="1088"/>
    <n v="3"/>
    <x v="0"/>
    <n v="65"/>
    <n v="2"/>
    <x v="2"/>
    <x v="4"/>
    <n v="3"/>
    <x v="1"/>
    <n v="8823"/>
    <n v="24608"/>
    <n v="0"/>
    <x v="1"/>
    <n v="18"/>
    <n v="3"/>
    <n v="1"/>
    <n v="1"/>
    <n v="20"/>
    <n v="4"/>
    <x v="2"/>
    <n v="19"/>
    <n v="9"/>
    <n v="1"/>
    <n v="9"/>
    <x v="0"/>
    <x v="0"/>
    <n v="0"/>
    <x v="0"/>
    <s v="Below College"/>
    <x v="2"/>
    <x v="2"/>
  </r>
  <r>
    <n v="40"/>
    <s v="No"/>
    <x v="0"/>
    <n v="1492"/>
    <x v="1"/>
    <n v="20"/>
    <n v="4"/>
    <s v="Technical Degree"/>
    <n v="1092"/>
    <n v="1"/>
    <x v="1"/>
    <n v="61"/>
    <n v="3"/>
    <x v="2"/>
    <x v="4"/>
    <n v="4"/>
    <x v="1"/>
    <n v="10322"/>
    <n v="26542"/>
    <n v="4"/>
    <x v="1"/>
    <n v="20"/>
    <n v="4"/>
    <n v="4"/>
    <n v="1"/>
    <n v="14"/>
    <n v="6"/>
    <x v="1"/>
    <n v="11"/>
    <n v="10"/>
    <n v="11"/>
    <n v="1"/>
    <x v="0"/>
    <x v="0"/>
    <n v="0"/>
    <x v="3"/>
    <s v="Master"/>
    <x v="0"/>
    <x v="1"/>
  </r>
  <r>
    <n v="27"/>
    <s v="No"/>
    <x v="2"/>
    <n v="1277"/>
    <x v="1"/>
    <n v="8"/>
    <n v="5"/>
    <s v="Life Sciences"/>
    <n v="1094"/>
    <n v="1"/>
    <x v="1"/>
    <n v="87"/>
    <n v="1"/>
    <x v="1"/>
    <x v="2"/>
    <n v="3"/>
    <x v="1"/>
    <n v="4621"/>
    <n v="5869"/>
    <n v="1"/>
    <x v="1"/>
    <n v="19"/>
    <n v="3"/>
    <n v="4"/>
    <n v="3"/>
    <n v="3"/>
    <n v="4"/>
    <x v="1"/>
    <n v="3"/>
    <n v="2"/>
    <n v="1"/>
    <n v="2"/>
    <x v="2"/>
    <x v="3"/>
    <n v="0"/>
    <x v="2"/>
    <s v="Doctor"/>
    <x v="2"/>
    <x v="1"/>
  </r>
  <r>
    <n v="55"/>
    <s v="No"/>
    <x v="1"/>
    <n v="1091"/>
    <x v="1"/>
    <n v="2"/>
    <n v="1"/>
    <s v="Life Sciences"/>
    <n v="1096"/>
    <n v="4"/>
    <x v="1"/>
    <n v="65"/>
    <n v="3"/>
    <x v="2"/>
    <x v="3"/>
    <n v="2"/>
    <x v="1"/>
    <n v="10976"/>
    <n v="15813"/>
    <n v="3"/>
    <x v="1"/>
    <n v="18"/>
    <n v="3"/>
    <n v="2"/>
    <n v="1"/>
    <n v="23"/>
    <n v="4"/>
    <x v="1"/>
    <n v="3"/>
    <n v="2"/>
    <n v="1"/>
    <n v="2"/>
    <x v="1"/>
    <x v="0"/>
    <n v="0"/>
    <x v="2"/>
    <s v="Below College"/>
    <x v="1"/>
    <x v="1"/>
  </r>
  <r>
    <n v="28"/>
    <s v="No"/>
    <x v="0"/>
    <n v="857"/>
    <x v="1"/>
    <n v="10"/>
    <n v="3"/>
    <s v="Other"/>
    <n v="1097"/>
    <n v="3"/>
    <x v="0"/>
    <n v="59"/>
    <n v="3"/>
    <x v="0"/>
    <x v="1"/>
    <n v="3"/>
    <x v="0"/>
    <n v="3660"/>
    <n v="7909"/>
    <n v="3"/>
    <x v="1"/>
    <n v="13"/>
    <n v="3"/>
    <n v="4"/>
    <n v="0"/>
    <n v="10"/>
    <n v="4"/>
    <x v="3"/>
    <n v="8"/>
    <n v="7"/>
    <n v="1"/>
    <n v="7"/>
    <x v="2"/>
    <x v="2"/>
    <n v="0"/>
    <x v="1"/>
    <s v="Bachelor"/>
    <x v="2"/>
    <x v="3"/>
  </r>
  <r>
    <n v="44"/>
    <s v="Yes"/>
    <x v="0"/>
    <n v="1376"/>
    <x v="2"/>
    <n v="1"/>
    <n v="2"/>
    <s v="Medical"/>
    <n v="1098"/>
    <n v="2"/>
    <x v="1"/>
    <n v="91"/>
    <n v="2"/>
    <x v="2"/>
    <x v="8"/>
    <n v="1"/>
    <x v="1"/>
    <n v="10482"/>
    <n v="2326"/>
    <n v="9"/>
    <x v="1"/>
    <n v="14"/>
    <n v="3"/>
    <n v="4"/>
    <n v="1"/>
    <n v="24"/>
    <n v="1"/>
    <x v="1"/>
    <n v="20"/>
    <n v="6"/>
    <n v="3"/>
    <n v="6"/>
    <x v="0"/>
    <x v="1"/>
    <n v="1"/>
    <x v="3"/>
    <s v="College"/>
    <x v="3"/>
    <x v="1"/>
  </r>
  <r>
    <n v="33"/>
    <s v="No"/>
    <x v="0"/>
    <n v="654"/>
    <x v="1"/>
    <n v="5"/>
    <n v="3"/>
    <s v="Life Sciences"/>
    <n v="1099"/>
    <n v="4"/>
    <x v="1"/>
    <n v="34"/>
    <n v="2"/>
    <x v="2"/>
    <x v="4"/>
    <n v="4"/>
    <x v="2"/>
    <n v="7119"/>
    <n v="21214"/>
    <n v="4"/>
    <x v="1"/>
    <n v="15"/>
    <n v="3"/>
    <n v="3"/>
    <n v="1"/>
    <n v="9"/>
    <n v="2"/>
    <x v="1"/>
    <n v="3"/>
    <n v="2"/>
    <n v="1"/>
    <n v="2"/>
    <x v="2"/>
    <x v="0"/>
    <n v="0"/>
    <x v="2"/>
    <s v="Bachelor"/>
    <x v="0"/>
    <x v="1"/>
  </r>
  <r>
    <n v="35"/>
    <s v="Yes"/>
    <x v="0"/>
    <n v="1204"/>
    <x v="0"/>
    <n v="4"/>
    <n v="3"/>
    <s v="Technical Degree"/>
    <n v="1100"/>
    <n v="4"/>
    <x v="1"/>
    <n v="86"/>
    <n v="3"/>
    <x v="2"/>
    <x v="0"/>
    <n v="1"/>
    <x v="0"/>
    <n v="9582"/>
    <n v="10333"/>
    <n v="0"/>
    <x v="0"/>
    <n v="22"/>
    <n v="4"/>
    <n v="1"/>
    <n v="0"/>
    <n v="9"/>
    <n v="2"/>
    <x v="1"/>
    <n v="8"/>
    <n v="7"/>
    <n v="4"/>
    <n v="7"/>
    <x v="2"/>
    <x v="0"/>
    <n v="1"/>
    <x v="1"/>
    <s v="Bachelor"/>
    <x v="3"/>
    <x v="1"/>
  </r>
  <r>
    <n v="33"/>
    <s v="Yes"/>
    <x v="1"/>
    <n v="827"/>
    <x v="1"/>
    <n v="29"/>
    <n v="4"/>
    <s v="Medical"/>
    <n v="1101"/>
    <n v="1"/>
    <x v="0"/>
    <n v="54"/>
    <n v="2"/>
    <x v="0"/>
    <x v="1"/>
    <n v="3"/>
    <x v="0"/>
    <n v="4508"/>
    <n v="3129"/>
    <n v="1"/>
    <x v="1"/>
    <n v="22"/>
    <n v="4"/>
    <n v="2"/>
    <n v="0"/>
    <n v="14"/>
    <n v="4"/>
    <x v="1"/>
    <n v="13"/>
    <n v="7"/>
    <n v="3"/>
    <n v="8"/>
    <x v="2"/>
    <x v="3"/>
    <n v="1"/>
    <x v="3"/>
    <s v="Master"/>
    <x v="2"/>
    <x v="1"/>
  </r>
  <r>
    <n v="28"/>
    <s v="No"/>
    <x v="0"/>
    <n v="895"/>
    <x v="1"/>
    <n v="15"/>
    <n v="2"/>
    <s v="Life Sciences"/>
    <n v="1102"/>
    <n v="1"/>
    <x v="1"/>
    <n v="50"/>
    <n v="3"/>
    <x v="1"/>
    <x v="2"/>
    <n v="3"/>
    <x v="2"/>
    <n v="2207"/>
    <n v="22482"/>
    <n v="1"/>
    <x v="1"/>
    <n v="16"/>
    <n v="3"/>
    <n v="4"/>
    <n v="1"/>
    <n v="4"/>
    <n v="5"/>
    <x v="2"/>
    <n v="4"/>
    <n v="2"/>
    <n v="2"/>
    <n v="2"/>
    <x v="2"/>
    <x v="0"/>
    <n v="0"/>
    <x v="0"/>
    <s v="College"/>
    <x v="2"/>
    <x v="2"/>
  </r>
  <r>
    <n v="34"/>
    <s v="No"/>
    <x v="1"/>
    <n v="618"/>
    <x v="1"/>
    <n v="3"/>
    <n v="1"/>
    <s v="Life Sciences"/>
    <n v="1103"/>
    <n v="1"/>
    <x v="1"/>
    <n v="45"/>
    <n v="3"/>
    <x v="0"/>
    <x v="4"/>
    <n v="4"/>
    <x v="0"/>
    <n v="7756"/>
    <n v="22266"/>
    <n v="0"/>
    <x v="1"/>
    <n v="17"/>
    <n v="3"/>
    <n v="3"/>
    <n v="0"/>
    <n v="7"/>
    <n v="1"/>
    <x v="2"/>
    <n v="6"/>
    <n v="2"/>
    <n v="0"/>
    <n v="4"/>
    <x v="2"/>
    <x v="0"/>
    <n v="0"/>
    <x v="0"/>
    <s v="Below College"/>
    <x v="0"/>
    <x v="2"/>
  </r>
  <r>
    <n v="37"/>
    <s v="No"/>
    <x v="0"/>
    <n v="309"/>
    <x v="0"/>
    <n v="10"/>
    <n v="4"/>
    <s v="Life Sciences"/>
    <n v="1105"/>
    <n v="4"/>
    <x v="0"/>
    <n v="88"/>
    <n v="2"/>
    <x v="0"/>
    <x v="0"/>
    <n v="4"/>
    <x v="2"/>
    <n v="6694"/>
    <n v="24223"/>
    <n v="2"/>
    <x v="0"/>
    <n v="14"/>
    <n v="3"/>
    <n v="3"/>
    <n v="3"/>
    <n v="8"/>
    <n v="5"/>
    <x v="1"/>
    <n v="1"/>
    <n v="0"/>
    <n v="0"/>
    <n v="0"/>
    <x v="0"/>
    <x v="0"/>
    <n v="0"/>
    <x v="2"/>
    <s v="Master"/>
    <x v="0"/>
    <x v="1"/>
  </r>
  <r>
    <n v="25"/>
    <s v="Yes"/>
    <x v="0"/>
    <n v="1219"/>
    <x v="1"/>
    <n v="4"/>
    <n v="1"/>
    <s v="Technical Degree"/>
    <n v="1106"/>
    <n v="4"/>
    <x v="1"/>
    <n v="32"/>
    <n v="3"/>
    <x v="1"/>
    <x v="2"/>
    <n v="4"/>
    <x v="1"/>
    <n v="3691"/>
    <n v="4605"/>
    <n v="1"/>
    <x v="0"/>
    <n v="15"/>
    <n v="3"/>
    <n v="2"/>
    <n v="1"/>
    <n v="7"/>
    <n v="3"/>
    <x v="3"/>
    <n v="7"/>
    <n v="7"/>
    <n v="5"/>
    <n v="6"/>
    <x v="3"/>
    <x v="3"/>
    <n v="1"/>
    <x v="1"/>
    <s v="Below College"/>
    <x v="0"/>
    <x v="3"/>
  </r>
  <r>
    <n v="26"/>
    <s v="Yes"/>
    <x v="0"/>
    <n v="1330"/>
    <x v="1"/>
    <n v="21"/>
    <n v="3"/>
    <s v="Medical"/>
    <n v="1107"/>
    <n v="1"/>
    <x v="1"/>
    <n v="37"/>
    <n v="3"/>
    <x v="1"/>
    <x v="2"/>
    <n v="3"/>
    <x v="2"/>
    <n v="2377"/>
    <n v="19373"/>
    <n v="1"/>
    <x v="1"/>
    <n v="20"/>
    <n v="4"/>
    <n v="3"/>
    <n v="1"/>
    <n v="1"/>
    <n v="0"/>
    <x v="2"/>
    <n v="1"/>
    <n v="1"/>
    <n v="0"/>
    <n v="0"/>
    <x v="2"/>
    <x v="0"/>
    <n v="1"/>
    <x v="0"/>
    <s v="Bachelor"/>
    <x v="2"/>
    <x v="2"/>
  </r>
  <r>
    <n v="33"/>
    <s v="Yes"/>
    <x v="0"/>
    <n v="1017"/>
    <x v="1"/>
    <n v="25"/>
    <n v="3"/>
    <s v="Medical"/>
    <n v="1108"/>
    <n v="1"/>
    <x v="1"/>
    <n v="55"/>
    <n v="2"/>
    <x v="1"/>
    <x v="1"/>
    <n v="2"/>
    <x v="0"/>
    <n v="2313"/>
    <n v="2993"/>
    <n v="4"/>
    <x v="0"/>
    <n v="20"/>
    <n v="4"/>
    <n v="2"/>
    <n v="0"/>
    <n v="5"/>
    <n v="0"/>
    <x v="1"/>
    <n v="2"/>
    <n v="2"/>
    <n v="2"/>
    <n v="2"/>
    <x v="2"/>
    <x v="1"/>
    <n v="1"/>
    <x v="2"/>
    <s v="Bachelor"/>
    <x v="1"/>
    <x v="1"/>
  </r>
  <r>
    <n v="42"/>
    <s v="No"/>
    <x v="0"/>
    <n v="469"/>
    <x v="1"/>
    <n v="2"/>
    <n v="2"/>
    <s v="Medical"/>
    <n v="1109"/>
    <n v="4"/>
    <x v="1"/>
    <n v="35"/>
    <n v="3"/>
    <x v="3"/>
    <x v="5"/>
    <n v="1"/>
    <x v="1"/>
    <n v="17665"/>
    <n v="14399"/>
    <n v="0"/>
    <x v="1"/>
    <n v="17"/>
    <n v="3"/>
    <n v="4"/>
    <n v="1"/>
    <n v="23"/>
    <n v="3"/>
    <x v="1"/>
    <n v="22"/>
    <n v="6"/>
    <n v="13"/>
    <n v="7"/>
    <x v="0"/>
    <x v="0"/>
    <n v="0"/>
    <x v="3"/>
    <s v="College"/>
    <x v="3"/>
    <x v="1"/>
  </r>
  <r>
    <n v="28"/>
    <s v="Yes"/>
    <x v="1"/>
    <n v="1009"/>
    <x v="1"/>
    <n v="1"/>
    <n v="3"/>
    <s v="Medical"/>
    <n v="1111"/>
    <n v="1"/>
    <x v="1"/>
    <n v="45"/>
    <n v="2"/>
    <x v="1"/>
    <x v="2"/>
    <n v="2"/>
    <x v="2"/>
    <n v="2596"/>
    <n v="7160"/>
    <n v="1"/>
    <x v="1"/>
    <n v="15"/>
    <n v="3"/>
    <n v="1"/>
    <n v="2"/>
    <n v="1"/>
    <n v="2"/>
    <x v="1"/>
    <n v="1"/>
    <n v="0"/>
    <n v="0"/>
    <n v="0"/>
    <x v="2"/>
    <x v="2"/>
    <n v="1"/>
    <x v="2"/>
    <s v="Bachelor"/>
    <x v="1"/>
    <x v="1"/>
  </r>
  <r>
    <n v="50"/>
    <s v="Yes"/>
    <x v="1"/>
    <n v="959"/>
    <x v="0"/>
    <n v="1"/>
    <n v="4"/>
    <s v="Other"/>
    <n v="1113"/>
    <n v="4"/>
    <x v="1"/>
    <n v="81"/>
    <n v="3"/>
    <x v="0"/>
    <x v="0"/>
    <n v="3"/>
    <x v="0"/>
    <n v="4728"/>
    <n v="17251"/>
    <n v="3"/>
    <x v="0"/>
    <n v="14"/>
    <n v="3"/>
    <n v="4"/>
    <n v="0"/>
    <n v="5"/>
    <n v="4"/>
    <x v="1"/>
    <n v="0"/>
    <n v="0"/>
    <n v="0"/>
    <n v="0"/>
    <x v="1"/>
    <x v="0"/>
    <n v="1"/>
    <x v="2"/>
    <s v="Master"/>
    <x v="2"/>
    <x v="1"/>
  </r>
  <r>
    <n v="33"/>
    <s v="No"/>
    <x v="1"/>
    <n v="970"/>
    <x v="0"/>
    <n v="7"/>
    <n v="3"/>
    <s v="Life Sciences"/>
    <n v="1114"/>
    <n v="4"/>
    <x v="0"/>
    <n v="30"/>
    <n v="3"/>
    <x v="0"/>
    <x v="0"/>
    <n v="2"/>
    <x v="1"/>
    <n v="4302"/>
    <n v="13401"/>
    <n v="0"/>
    <x v="1"/>
    <n v="17"/>
    <n v="3"/>
    <n v="3"/>
    <n v="1"/>
    <n v="4"/>
    <n v="3"/>
    <x v="1"/>
    <n v="3"/>
    <n v="2"/>
    <n v="0"/>
    <n v="2"/>
    <x v="2"/>
    <x v="0"/>
    <n v="0"/>
    <x v="2"/>
    <s v="Bachelor"/>
    <x v="1"/>
    <x v="1"/>
  </r>
  <r>
    <n v="34"/>
    <s v="No"/>
    <x v="2"/>
    <n v="697"/>
    <x v="1"/>
    <n v="3"/>
    <n v="4"/>
    <s v="Life Sciences"/>
    <n v="1115"/>
    <n v="3"/>
    <x v="1"/>
    <n v="40"/>
    <n v="2"/>
    <x v="1"/>
    <x v="1"/>
    <n v="4"/>
    <x v="1"/>
    <n v="2979"/>
    <n v="22478"/>
    <n v="3"/>
    <x v="1"/>
    <n v="17"/>
    <n v="3"/>
    <n v="4"/>
    <n v="3"/>
    <n v="6"/>
    <n v="2"/>
    <x v="1"/>
    <n v="0"/>
    <n v="0"/>
    <n v="0"/>
    <n v="0"/>
    <x v="2"/>
    <x v="0"/>
    <n v="0"/>
    <x v="2"/>
    <s v="Master"/>
    <x v="0"/>
    <x v="1"/>
  </r>
  <r>
    <n v="48"/>
    <s v="No"/>
    <x v="2"/>
    <n v="1262"/>
    <x v="1"/>
    <n v="1"/>
    <n v="4"/>
    <s v="Medical"/>
    <n v="1116"/>
    <n v="1"/>
    <x v="1"/>
    <n v="35"/>
    <n v="4"/>
    <x v="3"/>
    <x v="5"/>
    <n v="4"/>
    <x v="0"/>
    <n v="16885"/>
    <n v="16154"/>
    <n v="2"/>
    <x v="1"/>
    <n v="22"/>
    <n v="4"/>
    <n v="3"/>
    <n v="0"/>
    <n v="27"/>
    <n v="3"/>
    <x v="2"/>
    <n v="5"/>
    <n v="4"/>
    <n v="2"/>
    <n v="1"/>
    <x v="1"/>
    <x v="0"/>
    <n v="0"/>
    <x v="0"/>
    <s v="Master"/>
    <x v="0"/>
    <x v="2"/>
  </r>
  <r>
    <n v="45"/>
    <s v="No"/>
    <x v="2"/>
    <n v="1050"/>
    <x v="0"/>
    <n v="9"/>
    <n v="4"/>
    <s v="Life Sciences"/>
    <n v="1117"/>
    <n v="2"/>
    <x v="0"/>
    <n v="65"/>
    <n v="2"/>
    <x v="0"/>
    <x v="0"/>
    <n v="3"/>
    <x v="1"/>
    <n v="5593"/>
    <n v="17970"/>
    <n v="1"/>
    <x v="1"/>
    <n v="13"/>
    <n v="3"/>
    <n v="4"/>
    <n v="1"/>
    <n v="15"/>
    <n v="2"/>
    <x v="1"/>
    <n v="15"/>
    <n v="10"/>
    <n v="4"/>
    <n v="12"/>
    <x v="0"/>
    <x v="0"/>
    <n v="0"/>
    <x v="3"/>
    <s v="Master"/>
    <x v="2"/>
    <x v="1"/>
  </r>
  <r>
    <n v="52"/>
    <s v="No"/>
    <x v="0"/>
    <n v="994"/>
    <x v="1"/>
    <n v="7"/>
    <n v="4"/>
    <s v="Life Sciences"/>
    <n v="1118"/>
    <n v="2"/>
    <x v="1"/>
    <n v="87"/>
    <n v="3"/>
    <x v="2"/>
    <x v="4"/>
    <n v="2"/>
    <x v="0"/>
    <n v="10445"/>
    <n v="15322"/>
    <n v="7"/>
    <x v="1"/>
    <n v="19"/>
    <n v="3"/>
    <n v="4"/>
    <n v="0"/>
    <n v="18"/>
    <n v="4"/>
    <x v="1"/>
    <n v="8"/>
    <n v="6"/>
    <n v="4"/>
    <n v="0"/>
    <x v="1"/>
    <x v="0"/>
    <n v="0"/>
    <x v="1"/>
    <s v="Master"/>
    <x v="1"/>
    <x v="1"/>
  </r>
  <r>
    <n v="38"/>
    <s v="No"/>
    <x v="0"/>
    <n v="770"/>
    <x v="0"/>
    <n v="10"/>
    <n v="4"/>
    <s v="Marketing"/>
    <n v="1119"/>
    <n v="3"/>
    <x v="1"/>
    <n v="73"/>
    <n v="2"/>
    <x v="2"/>
    <x v="0"/>
    <n v="3"/>
    <x v="2"/>
    <n v="8740"/>
    <n v="5569"/>
    <n v="0"/>
    <x v="0"/>
    <n v="14"/>
    <n v="3"/>
    <n v="2"/>
    <n v="2"/>
    <n v="9"/>
    <n v="2"/>
    <x v="1"/>
    <n v="8"/>
    <n v="7"/>
    <n v="2"/>
    <n v="7"/>
    <x v="0"/>
    <x v="3"/>
    <n v="0"/>
    <x v="1"/>
    <s v="Master"/>
    <x v="2"/>
    <x v="1"/>
  </r>
  <r>
    <n v="29"/>
    <s v="No"/>
    <x v="0"/>
    <n v="1107"/>
    <x v="1"/>
    <n v="28"/>
    <n v="4"/>
    <s v="Life Sciences"/>
    <n v="1120"/>
    <n v="3"/>
    <x v="0"/>
    <n v="93"/>
    <n v="3"/>
    <x v="1"/>
    <x v="1"/>
    <n v="4"/>
    <x v="2"/>
    <n v="2514"/>
    <n v="26968"/>
    <n v="4"/>
    <x v="1"/>
    <n v="22"/>
    <n v="4"/>
    <n v="1"/>
    <n v="1"/>
    <n v="11"/>
    <n v="1"/>
    <x v="1"/>
    <n v="7"/>
    <n v="5"/>
    <n v="1"/>
    <n v="7"/>
    <x v="2"/>
    <x v="0"/>
    <n v="0"/>
    <x v="1"/>
    <s v="Master"/>
    <x v="0"/>
    <x v="1"/>
  </r>
  <r>
    <n v="28"/>
    <s v="No"/>
    <x v="0"/>
    <n v="950"/>
    <x v="1"/>
    <n v="3"/>
    <n v="3"/>
    <s v="Medical"/>
    <n v="1121"/>
    <n v="4"/>
    <x v="0"/>
    <n v="93"/>
    <n v="3"/>
    <x v="2"/>
    <x v="3"/>
    <n v="2"/>
    <x v="2"/>
    <n v="7655"/>
    <n v="8039"/>
    <n v="0"/>
    <x v="1"/>
    <n v="17"/>
    <n v="3"/>
    <n v="2"/>
    <n v="3"/>
    <n v="10"/>
    <n v="3"/>
    <x v="2"/>
    <n v="9"/>
    <n v="7"/>
    <n v="1"/>
    <n v="7"/>
    <x v="2"/>
    <x v="2"/>
    <n v="0"/>
    <x v="0"/>
    <s v="Bachelor"/>
    <x v="1"/>
    <x v="2"/>
  </r>
  <r>
    <n v="46"/>
    <s v="No"/>
    <x v="0"/>
    <n v="406"/>
    <x v="0"/>
    <n v="3"/>
    <n v="1"/>
    <s v="Marketing"/>
    <n v="1124"/>
    <n v="1"/>
    <x v="1"/>
    <n v="52"/>
    <n v="3"/>
    <x v="3"/>
    <x v="5"/>
    <n v="3"/>
    <x v="1"/>
    <n v="17465"/>
    <n v="15596"/>
    <n v="3"/>
    <x v="1"/>
    <n v="12"/>
    <n v="3"/>
    <n v="4"/>
    <n v="1"/>
    <n v="23"/>
    <n v="3"/>
    <x v="1"/>
    <n v="12"/>
    <n v="9"/>
    <n v="4"/>
    <n v="9"/>
    <x v="1"/>
    <x v="0"/>
    <n v="0"/>
    <x v="3"/>
    <s v="Below College"/>
    <x v="2"/>
    <x v="1"/>
  </r>
  <r>
    <n v="38"/>
    <s v="No"/>
    <x v="0"/>
    <n v="130"/>
    <x v="0"/>
    <n v="2"/>
    <n v="2"/>
    <s v="Marketing"/>
    <n v="1125"/>
    <n v="4"/>
    <x v="1"/>
    <n v="32"/>
    <n v="3"/>
    <x v="2"/>
    <x v="0"/>
    <n v="2"/>
    <x v="0"/>
    <n v="7351"/>
    <n v="20619"/>
    <n v="7"/>
    <x v="1"/>
    <n v="16"/>
    <n v="3"/>
    <n v="3"/>
    <n v="0"/>
    <n v="10"/>
    <n v="2"/>
    <x v="1"/>
    <n v="1"/>
    <n v="0"/>
    <n v="0"/>
    <n v="0"/>
    <x v="0"/>
    <x v="0"/>
    <n v="0"/>
    <x v="2"/>
    <s v="College"/>
    <x v="1"/>
    <x v="1"/>
  </r>
  <r>
    <n v="43"/>
    <s v="No"/>
    <x v="1"/>
    <n v="1082"/>
    <x v="1"/>
    <n v="27"/>
    <n v="3"/>
    <s v="Life Sciences"/>
    <n v="1126"/>
    <n v="3"/>
    <x v="0"/>
    <n v="83"/>
    <n v="3"/>
    <x v="2"/>
    <x v="3"/>
    <n v="1"/>
    <x v="1"/>
    <n v="10820"/>
    <n v="11535"/>
    <n v="8"/>
    <x v="1"/>
    <n v="11"/>
    <n v="3"/>
    <n v="3"/>
    <n v="1"/>
    <n v="18"/>
    <n v="1"/>
    <x v="1"/>
    <n v="8"/>
    <n v="7"/>
    <n v="0"/>
    <n v="1"/>
    <x v="0"/>
    <x v="0"/>
    <n v="0"/>
    <x v="1"/>
    <s v="Bachelor"/>
    <x v="3"/>
    <x v="1"/>
  </r>
  <r>
    <n v="39"/>
    <s v="Yes"/>
    <x v="1"/>
    <n v="203"/>
    <x v="1"/>
    <n v="2"/>
    <n v="3"/>
    <s v="Life Sciences"/>
    <n v="1127"/>
    <n v="1"/>
    <x v="1"/>
    <n v="84"/>
    <n v="3"/>
    <x v="3"/>
    <x v="4"/>
    <n v="4"/>
    <x v="2"/>
    <n v="12169"/>
    <n v="13547"/>
    <n v="7"/>
    <x v="1"/>
    <n v="11"/>
    <n v="3"/>
    <n v="4"/>
    <n v="3"/>
    <n v="21"/>
    <n v="4"/>
    <x v="1"/>
    <n v="18"/>
    <n v="7"/>
    <n v="11"/>
    <n v="5"/>
    <x v="0"/>
    <x v="0"/>
    <n v="1"/>
    <x v="3"/>
    <s v="Bachelor"/>
    <x v="0"/>
    <x v="1"/>
  </r>
  <r>
    <n v="40"/>
    <s v="No"/>
    <x v="0"/>
    <n v="1308"/>
    <x v="1"/>
    <n v="14"/>
    <n v="3"/>
    <s v="Medical"/>
    <n v="1128"/>
    <n v="3"/>
    <x v="1"/>
    <n v="44"/>
    <n v="2"/>
    <x v="4"/>
    <x v="7"/>
    <n v="3"/>
    <x v="0"/>
    <n v="19626"/>
    <n v="17544"/>
    <n v="1"/>
    <x v="1"/>
    <n v="14"/>
    <n v="3"/>
    <n v="1"/>
    <n v="0"/>
    <n v="21"/>
    <n v="2"/>
    <x v="3"/>
    <n v="20"/>
    <n v="7"/>
    <n v="4"/>
    <n v="9"/>
    <x v="0"/>
    <x v="0"/>
    <n v="0"/>
    <x v="3"/>
    <s v="Bachelor"/>
    <x v="2"/>
    <x v="3"/>
  </r>
  <r>
    <n v="21"/>
    <s v="No"/>
    <x v="0"/>
    <n v="984"/>
    <x v="1"/>
    <n v="1"/>
    <n v="1"/>
    <s v="Technical Degree"/>
    <n v="1131"/>
    <n v="4"/>
    <x v="0"/>
    <n v="70"/>
    <n v="2"/>
    <x v="1"/>
    <x v="1"/>
    <n v="2"/>
    <x v="0"/>
    <n v="2070"/>
    <n v="25326"/>
    <n v="1"/>
    <x v="0"/>
    <n v="11"/>
    <n v="3"/>
    <n v="3"/>
    <n v="0"/>
    <n v="2"/>
    <n v="6"/>
    <x v="3"/>
    <n v="2"/>
    <n v="2"/>
    <n v="2"/>
    <n v="2"/>
    <x v="3"/>
    <x v="0"/>
    <n v="0"/>
    <x v="2"/>
    <s v="Below College"/>
    <x v="1"/>
    <x v="3"/>
  </r>
  <r>
    <n v="39"/>
    <s v="No"/>
    <x v="2"/>
    <n v="439"/>
    <x v="1"/>
    <n v="9"/>
    <n v="3"/>
    <s v="Life Sciences"/>
    <n v="1132"/>
    <n v="3"/>
    <x v="1"/>
    <n v="70"/>
    <n v="3"/>
    <x v="0"/>
    <x v="2"/>
    <n v="2"/>
    <x v="0"/>
    <n v="6782"/>
    <n v="8770"/>
    <n v="9"/>
    <x v="1"/>
    <n v="15"/>
    <n v="3"/>
    <n v="3"/>
    <n v="0"/>
    <n v="9"/>
    <n v="2"/>
    <x v="2"/>
    <n v="5"/>
    <n v="4"/>
    <n v="0"/>
    <n v="3"/>
    <x v="0"/>
    <x v="2"/>
    <n v="0"/>
    <x v="0"/>
    <s v="Bachelor"/>
    <x v="1"/>
    <x v="2"/>
  </r>
  <r>
    <n v="36"/>
    <s v="No"/>
    <x v="2"/>
    <n v="217"/>
    <x v="1"/>
    <n v="18"/>
    <n v="4"/>
    <s v="Life Sciences"/>
    <n v="1133"/>
    <n v="1"/>
    <x v="1"/>
    <n v="78"/>
    <n v="3"/>
    <x v="0"/>
    <x v="3"/>
    <n v="4"/>
    <x v="0"/>
    <n v="7779"/>
    <n v="23238"/>
    <n v="2"/>
    <x v="1"/>
    <n v="20"/>
    <n v="4"/>
    <n v="1"/>
    <n v="0"/>
    <n v="18"/>
    <n v="0"/>
    <x v="1"/>
    <n v="11"/>
    <n v="9"/>
    <n v="0"/>
    <n v="9"/>
    <x v="0"/>
    <x v="0"/>
    <n v="0"/>
    <x v="3"/>
    <s v="Master"/>
    <x v="0"/>
    <x v="1"/>
  </r>
  <r>
    <n v="31"/>
    <s v="No"/>
    <x v="1"/>
    <n v="793"/>
    <x v="0"/>
    <n v="20"/>
    <n v="3"/>
    <s v="Life Sciences"/>
    <n v="1135"/>
    <n v="3"/>
    <x v="1"/>
    <n v="67"/>
    <n v="4"/>
    <x v="1"/>
    <x v="6"/>
    <n v="4"/>
    <x v="1"/>
    <n v="2791"/>
    <n v="21981"/>
    <n v="0"/>
    <x v="1"/>
    <n v="12"/>
    <n v="3"/>
    <n v="1"/>
    <n v="1"/>
    <n v="3"/>
    <n v="4"/>
    <x v="1"/>
    <n v="2"/>
    <n v="2"/>
    <n v="2"/>
    <n v="2"/>
    <x v="2"/>
    <x v="0"/>
    <n v="0"/>
    <x v="2"/>
    <s v="Bachelor"/>
    <x v="0"/>
    <x v="1"/>
  </r>
  <r>
    <n v="28"/>
    <s v="No"/>
    <x v="0"/>
    <n v="1451"/>
    <x v="1"/>
    <n v="2"/>
    <n v="1"/>
    <s v="Life Sciences"/>
    <n v="1136"/>
    <n v="1"/>
    <x v="1"/>
    <n v="67"/>
    <n v="2"/>
    <x v="1"/>
    <x v="1"/>
    <n v="2"/>
    <x v="1"/>
    <n v="3201"/>
    <n v="19911"/>
    <n v="0"/>
    <x v="1"/>
    <n v="17"/>
    <n v="3"/>
    <n v="1"/>
    <n v="0"/>
    <n v="6"/>
    <n v="2"/>
    <x v="0"/>
    <n v="5"/>
    <n v="3"/>
    <n v="0"/>
    <n v="4"/>
    <x v="2"/>
    <x v="0"/>
    <n v="0"/>
    <x v="0"/>
    <s v="Below College"/>
    <x v="1"/>
    <x v="0"/>
  </r>
  <r>
    <n v="35"/>
    <s v="No"/>
    <x v="1"/>
    <n v="1182"/>
    <x v="0"/>
    <n v="11"/>
    <n v="2"/>
    <s v="Marketing"/>
    <n v="1137"/>
    <n v="4"/>
    <x v="1"/>
    <n v="54"/>
    <n v="3"/>
    <x v="0"/>
    <x v="0"/>
    <n v="4"/>
    <x v="2"/>
    <n v="4968"/>
    <n v="18500"/>
    <n v="1"/>
    <x v="1"/>
    <n v="11"/>
    <n v="3"/>
    <n v="4"/>
    <n v="1"/>
    <n v="5"/>
    <n v="3"/>
    <x v="1"/>
    <n v="5"/>
    <n v="2"/>
    <n v="0"/>
    <n v="2"/>
    <x v="2"/>
    <x v="0"/>
    <n v="0"/>
    <x v="2"/>
    <s v="College"/>
    <x v="0"/>
    <x v="1"/>
  </r>
  <r>
    <n v="49"/>
    <s v="No"/>
    <x v="0"/>
    <n v="174"/>
    <x v="0"/>
    <n v="8"/>
    <n v="4"/>
    <s v="Technical Degree"/>
    <n v="1138"/>
    <n v="4"/>
    <x v="1"/>
    <n v="56"/>
    <n v="2"/>
    <x v="3"/>
    <x v="0"/>
    <n v="2"/>
    <x v="1"/>
    <n v="13120"/>
    <n v="11879"/>
    <n v="6"/>
    <x v="1"/>
    <n v="17"/>
    <n v="3"/>
    <n v="2"/>
    <n v="1"/>
    <n v="22"/>
    <n v="3"/>
    <x v="1"/>
    <n v="9"/>
    <n v="8"/>
    <n v="2"/>
    <n v="3"/>
    <x v="1"/>
    <x v="0"/>
    <n v="0"/>
    <x v="1"/>
    <s v="Master"/>
    <x v="1"/>
    <x v="1"/>
  </r>
  <r>
    <n v="34"/>
    <s v="No"/>
    <x v="1"/>
    <n v="1003"/>
    <x v="1"/>
    <n v="2"/>
    <n v="2"/>
    <s v="Life Sciences"/>
    <n v="1140"/>
    <n v="4"/>
    <x v="1"/>
    <n v="95"/>
    <n v="3"/>
    <x v="0"/>
    <x v="3"/>
    <n v="3"/>
    <x v="0"/>
    <n v="4033"/>
    <n v="15834"/>
    <n v="2"/>
    <x v="1"/>
    <n v="11"/>
    <n v="3"/>
    <n v="4"/>
    <n v="0"/>
    <n v="5"/>
    <n v="3"/>
    <x v="2"/>
    <n v="3"/>
    <n v="2"/>
    <n v="0"/>
    <n v="2"/>
    <x v="2"/>
    <x v="0"/>
    <n v="0"/>
    <x v="0"/>
    <s v="College"/>
    <x v="2"/>
    <x v="2"/>
  </r>
  <r>
    <n v="29"/>
    <s v="No"/>
    <x v="1"/>
    <n v="490"/>
    <x v="1"/>
    <n v="10"/>
    <n v="3"/>
    <s v="Life Sciences"/>
    <n v="1143"/>
    <n v="4"/>
    <x v="0"/>
    <n v="61"/>
    <n v="3"/>
    <x v="1"/>
    <x v="1"/>
    <n v="2"/>
    <x v="2"/>
    <n v="3291"/>
    <n v="17940"/>
    <n v="0"/>
    <x v="1"/>
    <n v="14"/>
    <n v="3"/>
    <n v="4"/>
    <n v="2"/>
    <n v="8"/>
    <n v="2"/>
    <x v="2"/>
    <n v="7"/>
    <n v="5"/>
    <n v="1"/>
    <n v="1"/>
    <x v="2"/>
    <x v="0"/>
    <n v="0"/>
    <x v="0"/>
    <s v="Bachelor"/>
    <x v="1"/>
    <x v="2"/>
  </r>
  <r>
    <n v="42"/>
    <s v="No"/>
    <x v="0"/>
    <n v="188"/>
    <x v="1"/>
    <n v="29"/>
    <n v="3"/>
    <s v="Medical"/>
    <n v="1148"/>
    <n v="2"/>
    <x v="1"/>
    <n v="56"/>
    <n v="1"/>
    <x v="0"/>
    <x v="2"/>
    <n v="4"/>
    <x v="0"/>
    <n v="4272"/>
    <n v="9558"/>
    <n v="4"/>
    <x v="1"/>
    <n v="19"/>
    <n v="3"/>
    <n v="1"/>
    <n v="0"/>
    <n v="16"/>
    <n v="3"/>
    <x v="1"/>
    <n v="1"/>
    <n v="0"/>
    <n v="0"/>
    <n v="0"/>
    <x v="0"/>
    <x v="2"/>
    <n v="0"/>
    <x v="2"/>
    <s v="Bachelor"/>
    <x v="0"/>
    <x v="1"/>
  </r>
  <r>
    <n v="29"/>
    <s v="No"/>
    <x v="0"/>
    <n v="718"/>
    <x v="1"/>
    <n v="8"/>
    <n v="1"/>
    <s v="Medical"/>
    <n v="1150"/>
    <n v="2"/>
    <x v="1"/>
    <n v="79"/>
    <n v="2"/>
    <x v="0"/>
    <x v="3"/>
    <n v="4"/>
    <x v="1"/>
    <n v="5056"/>
    <n v="17689"/>
    <n v="1"/>
    <x v="0"/>
    <n v="15"/>
    <n v="3"/>
    <n v="3"/>
    <n v="1"/>
    <n v="10"/>
    <n v="2"/>
    <x v="2"/>
    <n v="10"/>
    <n v="7"/>
    <n v="1"/>
    <n v="2"/>
    <x v="2"/>
    <x v="0"/>
    <n v="0"/>
    <x v="0"/>
    <s v="Below College"/>
    <x v="0"/>
    <x v="2"/>
  </r>
  <r>
    <n v="38"/>
    <s v="No"/>
    <x v="0"/>
    <n v="433"/>
    <x v="2"/>
    <n v="1"/>
    <n v="3"/>
    <s v="Human Resources"/>
    <n v="1152"/>
    <n v="3"/>
    <x v="1"/>
    <n v="37"/>
    <n v="4"/>
    <x v="1"/>
    <x v="8"/>
    <n v="3"/>
    <x v="1"/>
    <n v="2844"/>
    <n v="6004"/>
    <n v="1"/>
    <x v="1"/>
    <n v="13"/>
    <n v="3"/>
    <n v="4"/>
    <n v="1"/>
    <n v="7"/>
    <n v="2"/>
    <x v="3"/>
    <n v="7"/>
    <n v="6"/>
    <n v="5"/>
    <n v="0"/>
    <x v="0"/>
    <x v="2"/>
    <n v="0"/>
    <x v="1"/>
    <s v="Bachelor"/>
    <x v="2"/>
    <x v="3"/>
  </r>
  <r>
    <n v="28"/>
    <s v="No"/>
    <x v="1"/>
    <n v="773"/>
    <x v="1"/>
    <n v="6"/>
    <n v="3"/>
    <s v="Life Sciences"/>
    <n v="1154"/>
    <n v="3"/>
    <x v="1"/>
    <n v="39"/>
    <n v="2"/>
    <x v="1"/>
    <x v="1"/>
    <n v="3"/>
    <x v="2"/>
    <n v="2703"/>
    <n v="22088"/>
    <n v="1"/>
    <x v="0"/>
    <n v="14"/>
    <n v="3"/>
    <n v="4"/>
    <n v="1"/>
    <n v="3"/>
    <n v="2"/>
    <x v="1"/>
    <n v="3"/>
    <n v="1"/>
    <n v="0"/>
    <n v="2"/>
    <x v="2"/>
    <x v="0"/>
    <n v="0"/>
    <x v="2"/>
    <s v="Bachelor"/>
    <x v="2"/>
    <x v="1"/>
  </r>
  <r>
    <n v="18"/>
    <s v="Yes"/>
    <x v="2"/>
    <n v="247"/>
    <x v="1"/>
    <n v="8"/>
    <n v="1"/>
    <s v="Medical"/>
    <n v="1156"/>
    <n v="3"/>
    <x v="1"/>
    <n v="80"/>
    <n v="3"/>
    <x v="1"/>
    <x v="2"/>
    <n v="3"/>
    <x v="0"/>
    <n v="1904"/>
    <n v="13556"/>
    <n v="1"/>
    <x v="1"/>
    <n v="12"/>
    <n v="3"/>
    <n v="4"/>
    <n v="0"/>
    <n v="0"/>
    <n v="0"/>
    <x v="1"/>
    <n v="0"/>
    <n v="0"/>
    <n v="0"/>
    <n v="0"/>
    <x v="3"/>
    <x v="0"/>
    <n v="1"/>
    <x v="2"/>
    <s v="Below College"/>
    <x v="2"/>
    <x v="1"/>
  </r>
  <r>
    <n v="33"/>
    <s v="Yes"/>
    <x v="0"/>
    <n v="603"/>
    <x v="0"/>
    <n v="9"/>
    <n v="4"/>
    <s v="Marketing"/>
    <n v="1157"/>
    <n v="1"/>
    <x v="0"/>
    <n v="77"/>
    <n v="3"/>
    <x v="0"/>
    <x v="0"/>
    <n v="1"/>
    <x v="0"/>
    <n v="8224"/>
    <n v="18385"/>
    <n v="0"/>
    <x v="0"/>
    <n v="17"/>
    <n v="3"/>
    <n v="1"/>
    <n v="0"/>
    <n v="6"/>
    <n v="3"/>
    <x v="1"/>
    <n v="5"/>
    <n v="2"/>
    <n v="0"/>
    <n v="3"/>
    <x v="2"/>
    <x v="0"/>
    <n v="1"/>
    <x v="2"/>
    <s v="Master"/>
    <x v="3"/>
    <x v="1"/>
  </r>
  <r>
    <n v="41"/>
    <s v="No"/>
    <x v="0"/>
    <n v="167"/>
    <x v="1"/>
    <n v="12"/>
    <n v="4"/>
    <s v="Life Sciences"/>
    <n v="1158"/>
    <n v="2"/>
    <x v="1"/>
    <n v="46"/>
    <n v="3"/>
    <x v="1"/>
    <x v="2"/>
    <n v="4"/>
    <x v="1"/>
    <n v="4766"/>
    <n v="9051"/>
    <n v="3"/>
    <x v="0"/>
    <n v="11"/>
    <n v="3"/>
    <n v="1"/>
    <n v="1"/>
    <n v="6"/>
    <n v="4"/>
    <x v="1"/>
    <n v="1"/>
    <n v="0"/>
    <n v="0"/>
    <n v="0"/>
    <x v="0"/>
    <x v="2"/>
    <n v="0"/>
    <x v="2"/>
    <s v="Master"/>
    <x v="0"/>
    <x v="1"/>
  </r>
  <r>
    <n v="31"/>
    <s v="Yes"/>
    <x v="1"/>
    <n v="874"/>
    <x v="1"/>
    <n v="15"/>
    <n v="3"/>
    <s v="Medical"/>
    <n v="1160"/>
    <n v="3"/>
    <x v="1"/>
    <n v="72"/>
    <n v="3"/>
    <x v="1"/>
    <x v="2"/>
    <n v="3"/>
    <x v="1"/>
    <n v="2610"/>
    <n v="6233"/>
    <n v="1"/>
    <x v="1"/>
    <n v="12"/>
    <n v="3"/>
    <n v="3"/>
    <n v="1"/>
    <n v="2"/>
    <n v="5"/>
    <x v="2"/>
    <n v="2"/>
    <n v="2"/>
    <n v="2"/>
    <n v="2"/>
    <x v="2"/>
    <x v="2"/>
    <n v="1"/>
    <x v="0"/>
    <s v="Bachelor"/>
    <x v="2"/>
    <x v="2"/>
  </r>
  <r>
    <n v="37"/>
    <s v="No"/>
    <x v="0"/>
    <n v="367"/>
    <x v="1"/>
    <n v="25"/>
    <n v="2"/>
    <s v="Medical"/>
    <n v="1161"/>
    <n v="3"/>
    <x v="0"/>
    <n v="52"/>
    <n v="2"/>
    <x v="0"/>
    <x v="4"/>
    <n v="4"/>
    <x v="2"/>
    <n v="5731"/>
    <n v="17171"/>
    <n v="7"/>
    <x v="1"/>
    <n v="13"/>
    <n v="3"/>
    <n v="3"/>
    <n v="2"/>
    <n v="9"/>
    <n v="2"/>
    <x v="1"/>
    <n v="6"/>
    <n v="2"/>
    <n v="1"/>
    <n v="3"/>
    <x v="0"/>
    <x v="0"/>
    <n v="0"/>
    <x v="1"/>
    <s v="College"/>
    <x v="0"/>
    <x v="1"/>
  </r>
  <r>
    <n v="27"/>
    <s v="No"/>
    <x v="0"/>
    <n v="199"/>
    <x v="1"/>
    <n v="6"/>
    <n v="3"/>
    <s v="Life Sciences"/>
    <n v="1162"/>
    <n v="4"/>
    <x v="1"/>
    <n v="55"/>
    <n v="2"/>
    <x v="1"/>
    <x v="1"/>
    <n v="3"/>
    <x v="1"/>
    <n v="2539"/>
    <n v="7950"/>
    <n v="1"/>
    <x v="1"/>
    <n v="13"/>
    <n v="3"/>
    <n v="3"/>
    <n v="1"/>
    <n v="4"/>
    <n v="0"/>
    <x v="1"/>
    <n v="4"/>
    <n v="2"/>
    <n v="2"/>
    <n v="2"/>
    <x v="2"/>
    <x v="2"/>
    <n v="0"/>
    <x v="2"/>
    <s v="Bachelor"/>
    <x v="2"/>
    <x v="1"/>
  </r>
  <r>
    <n v="34"/>
    <s v="No"/>
    <x v="0"/>
    <n v="1400"/>
    <x v="0"/>
    <n v="9"/>
    <n v="1"/>
    <s v="Life Sciences"/>
    <n v="1163"/>
    <n v="2"/>
    <x v="0"/>
    <n v="70"/>
    <n v="3"/>
    <x v="0"/>
    <x v="0"/>
    <n v="3"/>
    <x v="1"/>
    <n v="5714"/>
    <n v="5829"/>
    <n v="1"/>
    <x v="1"/>
    <n v="20"/>
    <n v="4"/>
    <n v="1"/>
    <n v="0"/>
    <n v="6"/>
    <n v="3"/>
    <x v="2"/>
    <n v="6"/>
    <n v="5"/>
    <n v="1"/>
    <n v="3"/>
    <x v="2"/>
    <x v="3"/>
    <n v="0"/>
    <x v="0"/>
    <s v="Below College"/>
    <x v="2"/>
    <x v="2"/>
  </r>
  <r>
    <n v="35"/>
    <s v="No"/>
    <x v="0"/>
    <n v="528"/>
    <x v="2"/>
    <n v="8"/>
    <n v="4"/>
    <s v="Technical Degree"/>
    <n v="1164"/>
    <n v="3"/>
    <x v="1"/>
    <n v="100"/>
    <n v="3"/>
    <x v="1"/>
    <x v="8"/>
    <n v="3"/>
    <x v="0"/>
    <n v="4323"/>
    <n v="7108"/>
    <n v="1"/>
    <x v="1"/>
    <n v="17"/>
    <n v="3"/>
    <n v="2"/>
    <n v="0"/>
    <n v="6"/>
    <n v="2"/>
    <x v="0"/>
    <n v="5"/>
    <n v="4"/>
    <n v="1"/>
    <n v="4"/>
    <x v="2"/>
    <x v="2"/>
    <n v="0"/>
    <x v="0"/>
    <s v="Master"/>
    <x v="2"/>
    <x v="0"/>
  </r>
  <r>
    <n v="29"/>
    <s v="Yes"/>
    <x v="0"/>
    <n v="408"/>
    <x v="0"/>
    <n v="23"/>
    <n v="1"/>
    <s v="Life Sciences"/>
    <n v="1165"/>
    <n v="4"/>
    <x v="0"/>
    <n v="45"/>
    <n v="2"/>
    <x v="2"/>
    <x v="0"/>
    <n v="1"/>
    <x v="1"/>
    <n v="7336"/>
    <n v="11162"/>
    <n v="1"/>
    <x v="1"/>
    <n v="13"/>
    <n v="3"/>
    <n v="1"/>
    <n v="1"/>
    <n v="11"/>
    <n v="3"/>
    <x v="0"/>
    <n v="11"/>
    <n v="8"/>
    <n v="3"/>
    <n v="10"/>
    <x v="2"/>
    <x v="0"/>
    <n v="1"/>
    <x v="0"/>
    <s v="Below College"/>
    <x v="3"/>
    <x v="0"/>
  </r>
  <r>
    <n v="40"/>
    <s v="No"/>
    <x v="1"/>
    <n v="593"/>
    <x v="1"/>
    <n v="9"/>
    <n v="4"/>
    <s v="Medical"/>
    <n v="1166"/>
    <n v="2"/>
    <x v="0"/>
    <n v="88"/>
    <n v="3"/>
    <x v="2"/>
    <x v="7"/>
    <n v="3"/>
    <x v="0"/>
    <n v="13499"/>
    <n v="13782"/>
    <n v="9"/>
    <x v="1"/>
    <n v="17"/>
    <n v="3"/>
    <n v="3"/>
    <n v="0"/>
    <n v="20"/>
    <n v="3"/>
    <x v="2"/>
    <n v="18"/>
    <n v="7"/>
    <n v="2"/>
    <n v="13"/>
    <x v="0"/>
    <x v="0"/>
    <n v="0"/>
    <x v="0"/>
    <s v="Master"/>
    <x v="2"/>
    <x v="2"/>
  </r>
  <r>
    <n v="42"/>
    <s v="Yes"/>
    <x v="1"/>
    <n v="481"/>
    <x v="0"/>
    <n v="12"/>
    <n v="3"/>
    <s v="Life Sciences"/>
    <n v="1167"/>
    <n v="3"/>
    <x v="1"/>
    <n v="44"/>
    <n v="3"/>
    <x v="3"/>
    <x v="0"/>
    <n v="1"/>
    <x v="0"/>
    <n v="13758"/>
    <n v="2447"/>
    <n v="0"/>
    <x v="0"/>
    <n v="12"/>
    <n v="3"/>
    <n v="2"/>
    <n v="0"/>
    <n v="22"/>
    <n v="2"/>
    <x v="2"/>
    <n v="21"/>
    <n v="9"/>
    <n v="13"/>
    <n v="14"/>
    <x v="0"/>
    <x v="1"/>
    <n v="1"/>
    <x v="0"/>
    <s v="Bachelor"/>
    <x v="3"/>
    <x v="2"/>
  </r>
  <r>
    <n v="42"/>
    <s v="No"/>
    <x v="0"/>
    <n v="647"/>
    <x v="0"/>
    <n v="4"/>
    <n v="4"/>
    <s v="Marketing"/>
    <n v="1171"/>
    <n v="2"/>
    <x v="1"/>
    <n v="45"/>
    <n v="3"/>
    <x v="0"/>
    <x v="0"/>
    <n v="1"/>
    <x v="0"/>
    <n v="5155"/>
    <n v="2253"/>
    <n v="7"/>
    <x v="1"/>
    <n v="13"/>
    <n v="3"/>
    <n v="4"/>
    <n v="0"/>
    <n v="9"/>
    <n v="3"/>
    <x v="3"/>
    <n v="6"/>
    <n v="4"/>
    <n v="1"/>
    <n v="5"/>
    <x v="0"/>
    <x v="1"/>
    <n v="0"/>
    <x v="1"/>
    <s v="Master"/>
    <x v="3"/>
    <x v="3"/>
  </r>
  <r>
    <n v="35"/>
    <s v="No"/>
    <x v="0"/>
    <n v="982"/>
    <x v="1"/>
    <n v="1"/>
    <n v="4"/>
    <s v="Medical"/>
    <n v="1172"/>
    <n v="4"/>
    <x v="1"/>
    <n v="58"/>
    <n v="2"/>
    <x v="1"/>
    <x v="2"/>
    <n v="3"/>
    <x v="1"/>
    <n v="2258"/>
    <n v="16340"/>
    <n v="6"/>
    <x v="1"/>
    <n v="12"/>
    <n v="3"/>
    <n v="2"/>
    <n v="1"/>
    <n v="10"/>
    <n v="2"/>
    <x v="1"/>
    <n v="8"/>
    <n v="0"/>
    <n v="1"/>
    <n v="7"/>
    <x v="2"/>
    <x v="0"/>
    <n v="0"/>
    <x v="1"/>
    <s v="Master"/>
    <x v="2"/>
    <x v="1"/>
  </r>
  <r>
    <n v="24"/>
    <s v="No"/>
    <x v="0"/>
    <n v="477"/>
    <x v="1"/>
    <n v="24"/>
    <n v="3"/>
    <s v="Medical"/>
    <n v="1173"/>
    <n v="4"/>
    <x v="1"/>
    <n v="49"/>
    <n v="3"/>
    <x v="1"/>
    <x v="2"/>
    <n v="2"/>
    <x v="0"/>
    <n v="3597"/>
    <n v="6409"/>
    <n v="8"/>
    <x v="1"/>
    <n v="22"/>
    <n v="4"/>
    <n v="4"/>
    <n v="0"/>
    <n v="6"/>
    <n v="2"/>
    <x v="1"/>
    <n v="4"/>
    <n v="3"/>
    <n v="1"/>
    <n v="2"/>
    <x v="3"/>
    <x v="2"/>
    <n v="0"/>
    <x v="2"/>
    <s v="Bachelor"/>
    <x v="1"/>
    <x v="1"/>
  </r>
  <r>
    <n v="28"/>
    <s v="Yes"/>
    <x v="0"/>
    <n v="1485"/>
    <x v="1"/>
    <n v="12"/>
    <n v="1"/>
    <s v="Life Sciences"/>
    <n v="1175"/>
    <n v="3"/>
    <x v="0"/>
    <n v="79"/>
    <n v="3"/>
    <x v="1"/>
    <x v="2"/>
    <n v="4"/>
    <x v="1"/>
    <n v="2515"/>
    <n v="22955"/>
    <n v="1"/>
    <x v="0"/>
    <n v="11"/>
    <n v="3"/>
    <n v="4"/>
    <n v="0"/>
    <n v="1"/>
    <n v="4"/>
    <x v="2"/>
    <n v="1"/>
    <n v="1"/>
    <n v="0"/>
    <n v="0"/>
    <x v="2"/>
    <x v="0"/>
    <n v="1"/>
    <x v="0"/>
    <s v="Below College"/>
    <x v="0"/>
    <x v="2"/>
  </r>
  <r>
    <n v="26"/>
    <s v="No"/>
    <x v="0"/>
    <n v="1384"/>
    <x v="1"/>
    <n v="3"/>
    <n v="4"/>
    <s v="Medical"/>
    <n v="1177"/>
    <n v="1"/>
    <x v="1"/>
    <n v="82"/>
    <n v="4"/>
    <x v="1"/>
    <x v="2"/>
    <n v="4"/>
    <x v="1"/>
    <n v="4420"/>
    <n v="13421"/>
    <n v="1"/>
    <x v="1"/>
    <n v="22"/>
    <n v="4"/>
    <n v="2"/>
    <n v="1"/>
    <n v="8"/>
    <n v="2"/>
    <x v="1"/>
    <n v="8"/>
    <n v="7"/>
    <n v="0"/>
    <n v="7"/>
    <x v="2"/>
    <x v="0"/>
    <n v="0"/>
    <x v="1"/>
    <s v="Master"/>
    <x v="0"/>
    <x v="1"/>
  </r>
  <r>
    <n v="30"/>
    <s v="No"/>
    <x v="0"/>
    <n v="852"/>
    <x v="0"/>
    <n v="10"/>
    <n v="3"/>
    <s v="Marketing"/>
    <n v="1179"/>
    <n v="3"/>
    <x v="1"/>
    <n v="72"/>
    <n v="2"/>
    <x v="0"/>
    <x v="0"/>
    <n v="3"/>
    <x v="1"/>
    <n v="6578"/>
    <n v="2706"/>
    <n v="1"/>
    <x v="1"/>
    <n v="18"/>
    <n v="3"/>
    <n v="1"/>
    <n v="1"/>
    <n v="10"/>
    <n v="3"/>
    <x v="1"/>
    <n v="10"/>
    <n v="3"/>
    <n v="1"/>
    <n v="4"/>
    <x v="2"/>
    <x v="1"/>
    <n v="0"/>
    <x v="1"/>
    <s v="Bachelor"/>
    <x v="2"/>
    <x v="1"/>
  </r>
  <r>
    <n v="40"/>
    <s v="No"/>
    <x v="1"/>
    <n v="902"/>
    <x v="1"/>
    <n v="26"/>
    <n v="2"/>
    <s v="Medical"/>
    <n v="1180"/>
    <n v="3"/>
    <x v="0"/>
    <n v="92"/>
    <n v="2"/>
    <x v="0"/>
    <x v="1"/>
    <n v="4"/>
    <x v="1"/>
    <n v="4422"/>
    <n v="21203"/>
    <n v="3"/>
    <x v="0"/>
    <n v="13"/>
    <n v="3"/>
    <n v="4"/>
    <n v="1"/>
    <n v="16"/>
    <n v="3"/>
    <x v="0"/>
    <n v="1"/>
    <n v="1"/>
    <n v="0"/>
    <n v="0"/>
    <x v="0"/>
    <x v="0"/>
    <n v="0"/>
    <x v="0"/>
    <s v="College"/>
    <x v="0"/>
    <x v="0"/>
  </r>
  <r>
    <n v="35"/>
    <s v="No"/>
    <x v="0"/>
    <n v="819"/>
    <x v="1"/>
    <n v="2"/>
    <n v="3"/>
    <s v="Life Sciences"/>
    <n v="1182"/>
    <n v="3"/>
    <x v="1"/>
    <n v="44"/>
    <n v="2"/>
    <x v="2"/>
    <x v="3"/>
    <n v="2"/>
    <x v="2"/>
    <n v="10274"/>
    <n v="19588"/>
    <n v="2"/>
    <x v="1"/>
    <n v="18"/>
    <n v="3"/>
    <n v="2"/>
    <n v="1"/>
    <n v="15"/>
    <n v="2"/>
    <x v="3"/>
    <n v="7"/>
    <n v="7"/>
    <n v="6"/>
    <n v="4"/>
    <x v="2"/>
    <x v="0"/>
    <n v="0"/>
    <x v="1"/>
    <s v="Bachelor"/>
    <x v="1"/>
    <x v="3"/>
  </r>
  <r>
    <n v="34"/>
    <s v="No"/>
    <x v="1"/>
    <n v="669"/>
    <x v="1"/>
    <n v="1"/>
    <n v="3"/>
    <s v="Medical"/>
    <n v="1184"/>
    <n v="4"/>
    <x v="1"/>
    <n v="97"/>
    <n v="2"/>
    <x v="0"/>
    <x v="4"/>
    <n v="1"/>
    <x v="0"/>
    <n v="5343"/>
    <n v="25755"/>
    <n v="0"/>
    <x v="1"/>
    <n v="20"/>
    <n v="4"/>
    <n v="3"/>
    <n v="0"/>
    <n v="14"/>
    <n v="3"/>
    <x v="1"/>
    <n v="13"/>
    <n v="9"/>
    <n v="4"/>
    <n v="9"/>
    <x v="2"/>
    <x v="0"/>
    <n v="0"/>
    <x v="3"/>
    <s v="Bachelor"/>
    <x v="3"/>
    <x v="1"/>
  </r>
  <r>
    <n v="35"/>
    <s v="No"/>
    <x v="1"/>
    <n v="636"/>
    <x v="1"/>
    <n v="4"/>
    <n v="4"/>
    <s v="Other"/>
    <n v="1185"/>
    <n v="4"/>
    <x v="1"/>
    <n v="47"/>
    <n v="2"/>
    <x v="1"/>
    <x v="2"/>
    <n v="4"/>
    <x v="1"/>
    <n v="2376"/>
    <n v="26537"/>
    <n v="1"/>
    <x v="1"/>
    <n v="13"/>
    <n v="3"/>
    <n v="2"/>
    <n v="1"/>
    <n v="2"/>
    <n v="2"/>
    <x v="3"/>
    <n v="2"/>
    <n v="2"/>
    <n v="2"/>
    <n v="2"/>
    <x v="2"/>
    <x v="0"/>
    <n v="0"/>
    <x v="2"/>
    <s v="Master"/>
    <x v="0"/>
    <x v="3"/>
  </r>
  <r>
    <n v="43"/>
    <s v="Yes"/>
    <x v="0"/>
    <n v="1372"/>
    <x v="0"/>
    <n v="9"/>
    <n v="3"/>
    <s v="Marketing"/>
    <n v="1188"/>
    <n v="1"/>
    <x v="0"/>
    <n v="85"/>
    <n v="1"/>
    <x v="0"/>
    <x v="0"/>
    <n v="3"/>
    <x v="0"/>
    <n v="5346"/>
    <n v="9489"/>
    <n v="8"/>
    <x v="1"/>
    <n v="13"/>
    <n v="3"/>
    <n v="2"/>
    <n v="0"/>
    <n v="7"/>
    <n v="2"/>
    <x v="2"/>
    <n v="4"/>
    <n v="3"/>
    <n v="1"/>
    <n v="3"/>
    <x v="0"/>
    <x v="2"/>
    <n v="1"/>
    <x v="0"/>
    <s v="Bachelor"/>
    <x v="2"/>
    <x v="2"/>
  </r>
  <r>
    <n v="32"/>
    <s v="No"/>
    <x v="2"/>
    <n v="862"/>
    <x v="0"/>
    <n v="2"/>
    <n v="1"/>
    <s v="Life Sciences"/>
    <n v="1190"/>
    <n v="3"/>
    <x v="0"/>
    <n v="76"/>
    <n v="3"/>
    <x v="1"/>
    <x v="6"/>
    <n v="1"/>
    <x v="2"/>
    <n v="2827"/>
    <n v="14947"/>
    <n v="1"/>
    <x v="1"/>
    <n v="12"/>
    <n v="3"/>
    <n v="3"/>
    <n v="3"/>
    <n v="1"/>
    <n v="3"/>
    <x v="1"/>
    <n v="1"/>
    <n v="0"/>
    <n v="0"/>
    <n v="0"/>
    <x v="2"/>
    <x v="0"/>
    <n v="0"/>
    <x v="2"/>
    <s v="Below College"/>
    <x v="3"/>
    <x v="1"/>
  </r>
  <r>
    <n v="56"/>
    <s v="No"/>
    <x v="0"/>
    <n v="718"/>
    <x v="1"/>
    <n v="4"/>
    <n v="4"/>
    <s v="Technical Degree"/>
    <n v="1191"/>
    <n v="4"/>
    <x v="0"/>
    <n v="92"/>
    <n v="3"/>
    <x v="4"/>
    <x v="5"/>
    <n v="1"/>
    <x v="2"/>
    <n v="19943"/>
    <n v="18575"/>
    <n v="4"/>
    <x v="1"/>
    <n v="13"/>
    <n v="3"/>
    <n v="4"/>
    <n v="1"/>
    <n v="28"/>
    <n v="2"/>
    <x v="1"/>
    <n v="5"/>
    <n v="2"/>
    <n v="4"/>
    <n v="2"/>
    <x v="1"/>
    <x v="0"/>
    <n v="0"/>
    <x v="2"/>
    <s v="Master"/>
    <x v="3"/>
    <x v="1"/>
  </r>
  <r>
    <n v="29"/>
    <s v="No"/>
    <x v="0"/>
    <n v="1401"/>
    <x v="1"/>
    <n v="6"/>
    <n v="1"/>
    <s v="Medical"/>
    <n v="1192"/>
    <n v="2"/>
    <x v="0"/>
    <n v="54"/>
    <n v="3"/>
    <x v="1"/>
    <x v="2"/>
    <n v="4"/>
    <x v="1"/>
    <n v="3131"/>
    <n v="26342"/>
    <n v="1"/>
    <x v="1"/>
    <n v="13"/>
    <n v="3"/>
    <n v="1"/>
    <n v="1"/>
    <n v="10"/>
    <n v="5"/>
    <x v="1"/>
    <n v="10"/>
    <n v="8"/>
    <n v="0"/>
    <n v="8"/>
    <x v="2"/>
    <x v="0"/>
    <n v="0"/>
    <x v="1"/>
    <s v="Below College"/>
    <x v="0"/>
    <x v="1"/>
  </r>
  <r>
    <n v="19"/>
    <s v="No"/>
    <x v="0"/>
    <n v="645"/>
    <x v="1"/>
    <n v="9"/>
    <n v="2"/>
    <s v="Life Sciences"/>
    <n v="1193"/>
    <n v="3"/>
    <x v="1"/>
    <n v="54"/>
    <n v="3"/>
    <x v="1"/>
    <x v="1"/>
    <n v="1"/>
    <x v="0"/>
    <n v="2552"/>
    <n v="7172"/>
    <n v="1"/>
    <x v="1"/>
    <n v="25"/>
    <n v="4"/>
    <n v="3"/>
    <n v="0"/>
    <n v="1"/>
    <n v="4"/>
    <x v="1"/>
    <n v="1"/>
    <n v="1"/>
    <n v="0"/>
    <n v="0"/>
    <x v="3"/>
    <x v="2"/>
    <n v="0"/>
    <x v="2"/>
    <s v="College"/>
    <x v="3"/>
    <x v="1"/>
  </r>
  <r>
    <n v="45"/>
    <s v="No"/>
    <x v="0"/>
    <n v="1457"/>
    <x v="1"/>
    <n v="7"/>
    <n v="3"/>
    <s v="Medical"/>
    <n v="1195"/>
    <n v="1"/>
    <x v="0"/>
    <n v="83"/>
    <n v="3"/>
    <x v="1"/>
    <x v="1"/>
    <n v="3"/>
    <x v="1"/>
    <n v="4477"/>
    <n v="20100"/>
    <n v="4"/>
    <x v="0"/>
    <n v="19"/>
    <n v="3"/>
    <n v="3"/>
    <n v="1"/>
    <n v="7"/>
    <n v="2"/>
    <x v="2"/>
    <n v="3"/>
    <n v="2"/>
    <n v="0"/>
    <n v="2"/>
    <x v="0"/>
    <x v="0"/>
    <n v="0"/>
    <x v="0"/>
    <s v="Bachelor"/>
    <x v="2"/>
    <x v="2"/>
  </r>
  <r>
    <n v="37"/>
    <s v="No"/>
    <x v="0"/>
    <n v="977"/>
    <x v="1"/>
    <n v="1"/>
    <n v="3"/>
    <s v="Life Sciences"/>
    <n v="1196"/>
    <n v="4"/>
    <x v="0"/>
    <n v="56"/>
    <n v="2"/>
    <x v="0"/>
    <x v="3"/>
    <n v="4"/>
    <x v="1"/>
    <n v="6474"/>
    <n v="9961"/>
    <n v="1"/>
    <x v="1"/>
    <n v="13"/>
    <n v="3"/>
    <n v="2"/>
    <n v="1"/>
    <n v="14"/>
    <n v="2"/>
    <x v="2"/>
    <n v="14"/>
    <n v="8"/>
    <n v="3"/>
    <n v="11"/>
    <x v="0"/>
    <x v="2"/>
    <n v="0"/>
    <x v="0"/>
    <s v="Bachelor"/>
    <x v="0"/>
    <x v="2"/>
  </r>
  <r>
    <n v="20"/>
    <s v="No"/>
    <x v="0"/>
    <n v="805"/>
    <x v="1"/>
    <n v="3"/>
    <n v="3"/>
    <s v="Life Sciences"/>
    <n v="1198"/>
    <n v="1"/>
    <x v="1"/>
    <n v="87"/>
    <n v="2"/>
    <x v="1"/>
    <x v="2"/>
    <n v="3"/>
    <x v="0"/>
    <n v="3033"/>
    <n v="12828"/>
    <n v="1"/>
    <x v="1"/>
    <n v="12"/>
    <n v="3"/>
    <n v="1"/>
    <n v="0"/>
    <n v="2"/>
    <n v="2"/>
    <x v="2"/>
    <n v="2"/>
    <n v="2"/>
    <n v="1"/>
    <n v="2"/>
    <x v="3"/>
    <x v="0"/>
    <n v="0"/>
    <x v="0"/>
    <s v="Bachelor"/>
    <x v="2"/>
    <x v="2"/>
  </r>
  <r>
    <n v="44"/>
    <s v="Yes"/>
    <x v="0"/>
    <n v="1097"/>
    <x v="1"/>
    <n v="10"/>
    <n v="4"/>
    <s v="Life Sciences"/>
    <n v="1200"/>
    <n v="3"/>
    <x v="1"/>
    <n v="96"/>
    <n v="3"/>
    <x v="1"/>
    <x v="1"/>
    <n v="3"/>
    <x v="0"/>
    <n v="2936"/>
    <n v="10826"/>
    <n v="1"/>
    <x v="0"/>
    <n v="11"/>
    <n v="3"/>
    <n v="3"/>
    <n v="0"/>
    <n v="6"/>
    <n v="4"/>
    <x v="1"/>
    <n v="6"/>
    <n v="4"/>
    <n v="0"/>
    <n v="2"/>
    <x v="0"/>
    <x v="0"/>
    <n v="1"/>
    <x v="1"/>
    <s v="Master"/>
    <x v="2"/>
    <x v="1"/>
  </r>
  <r>
    <n v="53"/>
    <s v="No"/>
    <x v="0"/>
    <n v="1223"/>
    <x v="1"/>
    <n v="7"/>
    <n v="2"/>
    <s v="Medical"/>
    <n v="1201"/>
    <n v="4"/>
    <x v="0"/>
    <n v="50"/>
    <n v="3"/>
    <x v="4"/>
    <x v="5"/>
    <n v="3"/>
    <x v="2"/>
    <n v="18606"/>
    <n v="18640"/>
    <n v="3"/>
    <x v="1"/>
    <n v="18"/>
    <n v="3"/>
    <n v="2"/>
    <n v="1"/>
    <n v="26"/>
    <n v="6"/>
    <x v="1"/>
    <n v="7"/>
    <n v="7"/>
    <n v="4"/>
    <n v="7"/>
    <x v="1"/>
    <x v="0"/>
    <n v="0"/>
    <x v="1"/>
    <s v="College"/>
    <x v="2"/>
    <x v="1"/>
  </r>
  <r>
    <n v="29"/>
    <s v="No"/>
    <x v="0"/>
    <n v="942"/>
    <x v="1"/>
    <n v="15"/>
    <n v="1"/>
    <s v="Life Sciences"/>
    <n v="1202"/>
    <n v="2"/>
    <x v="0"/>
    <n v="69"/>
    <n v="1"/>
    <x v="1"/>
    <x v="1"/>
    <n v="4"/>
    <x v="1"/>
    <n v="2168"/>
    <n v="26933"/>
    <n v="0"/>
    <x v="0"/>
    <n v="18"/>
    <n v="3"/>
    <n v="1"/>
    <n v="1"/>
    <n v="6"/>
    <n v="2"/>
    <x v="2"/>
    <n v="5"/>
    <n v="4"/>
    <n v="1"/>
    <n v="3"/>
    <x v="2"/>
    <x v="0"/>
    <n v="0"/>
    <x v="0"/>
    <s v="Below College"/>
    <x v="0"/>
    <x v="2"/>
  </r>
  <r>
    <n v="22"/>
    <s v="Yes"/>
    <x v="1"/>
    <n v="1256"/>
    <x v="1"/>
    <n v="3"/>
    <n v="4"/>
    <s v="Life Sciences"/>
    <n v="1203"/>
    <n v="3"/>
    <x v="1"/>
    <n v="48"/>
    <n v="2"/>
    <x v="1"/>
    <x v="1"/>
    <n v="4"/>
    <x v="1"/>
    <n v="2853"/>
    <n v="4223"/>
    <n v="0"/>
    <x v="0"/>
    <n v="11"/>
    <n v="3"/>
    <n v="2"/>
    <n v="1"/>
    <n v="1"/>
    <n v="5"/>
    <x v="1"/>
    <n v="0"/>
    <n v="0"/>
    <n v="0"/>
    <n v="0"/>
    <x v="3"/>
    <x v="3"/>
    <n v="1"/>
    <x v="2"/>
    <s v="Master"/>
    <x v="0"/>
    <x v="1"/>
  </r>
  <r>
    <n v="46"/>
    <s v="No"/>
    <x v="0"/>
    <n v="1402"/>
    <x v="0"/>
    <n v="2"/>
    <n v="3"/>
    <s v="Marketing"/>
    <n v="1204"/>
    <n v="3"/>
    <x v="0"/>
    <n v="69"/>
    <n v="3"/>
    <x v="3"/>
    <x v="5"/>
    <n v="1"/>
    <x v="1"/>
    <n v="17048"/>
    <n v="24097"/>
    <n v="8"/>
    <x v="1"/>
    <n v="23"/>
    <n v="4"/>
    <n v="1"/>
    <n v="0"/>
    <n v="28"/>
    <n v="2"/>
    <x v="1"/>
    <n v="26"/>
    <n v="15"/>
    <n v="15"/>
    <n v="9"/>
    <x v="1"/>
    <x v="0"/>
    <n v="0"/>
    <x v="3"/>
    <s v="Bachelor"/>
    <x v="3"/>
    <x v="1"/>
  </r>
  <r>
    <n v="44"/>
    <s v="No"/>
    <x v="2"/>
    <n v="111"/>
    <x v="1"/>
    <n v="17"/>
    <n v="3"/>
    <s v="Life Sciences"/>
    <n v="1206"/>
    <n v="4"/>
    <x v="1"/>
    <n v="74"/>
    <n v="1"/>
    <x v="1"/>
    <x v="1"/>
    <n v="3"/>
    <x v="0"/>
    <n v="2290"/>
    <n v="4279"/>
    <n v="2"/>
    <x v="1"/>
    <n v="13"/>
    <n v="3"/>
    <n v="4"/>
    <n v="0"/>
    <n v="6"/>
    <n v="3"/>
    <x v="1"/>
    <n v="0"/>
    <n v="0"/>
    <n v="0"/>
    <n v="0"/>
    <x v="0"/>
    <x v="3"/>
    <n v="0"/>
    <x v="2"/>
    <s v="Bachelor"/>
    <x v="2"/>
    <x v="1"/>
  </r>
  <r>
    <n v="33"/>
    <s v="No"/>
    <x v="0"/>
    <n v="147"/>
    <x v="2"/>
    <n v="2"/>
    <n v="3"/>
    <s v="Human Resources"/>
    <n v="1207"/>
    <n v="2"/>
    <x v="1"/>
    <n v="99"/>
    <n v="3"/>
    <x v="1"/>
    <x v="8"/>
    <n v="3"/>
    <x v="1"/>
    <n v="3600"/>
    <n v="8429"/>
    <n v="1"/>
    <x v="1"/>
    <n v="13"/>
    <n v="3"/>
    <n v="4"/>
    <n v="1"/>
    <n v="5"/>
    <n v="2"/>
    <x v="1"/>
    <n v="5"/>
    <n v="4"/>
    <n v="1"/>
    <n v="4"/>
    <x v="2"/>
    <x v="2"/>
    <n v="0"/>
    <x v="2"/>
    <s v="Bachelor"/>
    <x v="2"/>
    <x v="1"/>
  </r>
  <r>
    <n v="41"/>
    <s v="Yes"/>
    <x v="2"/>
    <n v="906"/>
    <x v="1"/>
    <n v="5"/>
    <n v="2"/>
    <s v="Life Sciences"/>
    <n v="1210"/>
    <n v="1"/>
    <x v="1"/>
    <n v="95"/>
    <n v="2"/>
    <x v="1"/>
    <x v="1"/>
    <n v="1"/>
    <x v="2"/>
    <n v="2107"/>
    <n v="20293"/>
    <n v="6"/>
    <x v="1"/>
    <n v="17"/>
    <n v="3"/>
    <n v="1"/>
    <n v="1"/>
    <n v="5"/>
    <n v="2"/>
    <x v="0"/>
    <n v="1"/>
    <n v="0"/>
    <n v="0"/>
    <n v="0"/>
    <x v="0"/>
    <x v="0"/>
    <n v="1"/>
    <x v="0"/>
    <s v="College"/>
    <x v="3"/>
    <x v="0"/>
  </r>
  <r>
    <n v="30"/>
    <s v="No"/>
    <x v="0"/>
    <n v="1329"/>
    <x v="0"/>
    <n v="29"/>
    <n v="4"/>
    <s v="Life Sciences"/>
    <n v="1211"/>
    <n v="3"/>
    <x v="1"/>
    <n v="61"/>
    <n v="3"/>
    <x v="0"/>
    <x v="0"/>
    <n v="1"/>
    <x v="2"/>
    <n v="4115"/>
    <n v="13192"/>
    <n v="8"/>
    <x v="1"/>
    <n v="19"/>
    <n v="3"/>
    <n v="3"/>
    <n v="3"/>
    <n v="8"/>
    <n v="3"/>
    <x v="1"/>
    <n v="4"/>
    <n v="3"/>
    <n v="0"/>
    <n v="3"/>
    <x v="2"/>
    <x v="0"/>
    <n v="0"/>
    <x v="2"/>
    <s v="Master"/>
    <x v="3"/>
    <x v="1"/>
  </r>
  <r>
    <n v="40"/>
    <s v="No"/>
    <x v="1"/>
    <n v="1184"/>
    <x v="0"/>
    <n v="2"/>
    <n v="4"/>
    <s v="Medical"/>
    <n v="1212"/>
    <n v="2"/>
    <x v="1"/>
    <n v="62"/>
    <n v="3"/>
    <x v="0"/>
    <x v="0"/>
    <n v="2"/>
    <x v="1"/>
    <n v="4327"/>
    <n v="25440"/>
    <n v="5"/>
    <x v="1"/>
    <n v="12"/>
    <n v="3"/>
    <n v="4"/>
    <n v="3"/>
    <n v="5"/>
    <n v="2"/>
    <x v="1"/>
    <n v="0"/>
    <n v="0"/>
    <n v="0"/>
    <n v="0"/>
    <x v="0"/>
    <x v="0"/>
    <n v="0"/>
    <x v="2"/>
    <s v="Master"/>
    <x v="1"/>
    <x v="1"/>
  </r>
  <r>
    <n v="50"/>
    <s v="No"/>
    <x v="1"/>
    <n v="1421"/>
    <x v="1"/>
    <n v="2"/>
    <n v="3"/>
    <s v="Medical"/>
    <n v="1215"/>
    <n v="4"/>
    <x v="0"/>
    <n v="30"/>
    <n v="3"/>
    <x v="3"/>
    <x v="5"/>
    <n v="1"/>
    <x v="1"/>
    <n v="17856"/>
    <n v="9490"/>
    <n v="2"/>
    <x v="1"/>
    <n v="22"/>
    <n v="4"/>
    <n v="3"/>
    <n v="1"/>
    <n v="32"/>
    <n v="3"/>
    <x v="1"/>
    <n v="2"/>
    <n v="2"/>
    <n v="2"/>
    <n v="2"/>
    <x v="1"/>
    <x v="2"/>
    <n v="0"/>
    <x v="2"/>
    <s v="Bachelor"/>
    <x v="3"/>
    <x v="1"/>
  </r>
  <r>
    <n v="28"/>
    <s v="No"/>
    <x v="0"/>
    <n v="1179"/>
    <x v="1"/>
    <n v="19"/>
    <n v="4"/>
    <s v="Medical"/>
    <n v="1216"/>
    <n v="4"/>
    <x v="1"/>
    <n v="78"/>
    <n v="2"/>
    <x v="1"/>
    <x v="2"/>
    <n v="1"/>
    <x v="1"/>
    <n v="3196"/>
    <n v="12449"/>
    <n v="1"/>
    <x v="1"/>
    <n v="12"/>
    <n v="3"/>
    <n v="3"/>
    <n v="3"/>
    <n v="6"/>
    <n v="2"/>
    <x v="1"/>
    <n v="6"/>
    <n v="5"/>
    <n v="3"/>
    <n v="3"/>
    <x v="2"/>
    <x v="0"/>
    <n v="0"/>
    <x v="1"/>
    <s v="Master"/>
    <x v="3"/>
    <x v="1"/>
  </r>
  <r>
    <n v="46"/>
    <s v="No"/>
    <x v="0"/>
    <n v="1450"/>
    <x v="1"/>
    <n v="15"/>
    <n v="2"/>
    <s v="Life Sciences"/>
    <n v="1217"/>
    <n v="4"/>
    <x v="1"/>
    <n v="52"/>
    <n v="3"/>
    <x v="4"/>
    <x v="7"/>
    <n v="2"/>
    <x v="1"/>
    <n v="19081"/>
    <n v="10849"/>
    <n v="5"/>
    <x v="1"/>
    <n v="11"/>
    <n v="3"/>
    <n v="1"/>
    <n v="1"/>
    <n v="25"/>
    <n v="2"/>
    <x v="1"/>
    <n v="4"/>
    <n v="2"/>
    <n v="0"/>
    <n v="3"/>
    <x v="1"/>
    <x v="0"/>
    <n v="0"/>
    <x v="2"/>
    <s v="College"/>
    <x v="1"/>
    <x v="1"/>
  </r>
  <r>
    <n v="35"/>
    <s v="No"/>
    <x v="0"/>
    <n v="1361"/>
    <x v="0"/>
    <n v="17"/>
    <n v="4"/>
    <s v="Life Sciences"/>
    <n v="1218"/>
    <n v="3"/>
    <x v="1"/>
    <n v="94"/>
    <n v="3"/>
    <x v="0"/>
    <x v="0"/>
    <n v="1"/>
    <x v="1"/>
    <n v="8966"/>
    <n v="21026"/>
    <n v="3"/>
    <x v="0"/>
    <n v="15"/>
    <n v="3"/>
    <n v="4"/>
    <n v="3"/>
    <n v="15"/>
    <n v="2"/>
    <x v="1"/>
    <n v="7"/>
    <n v="7"/>
    <n v="1"/>
    <n v="7"/>
    <x v="2"/>
    <x v="0"/>
    <n v="0"/>
    <x v="1"/>
    <s v="Master"/>
    <x v="3"/>
    <x v="1"/>
  </r>
  <r>
    <n v="24"/>
    <s v="Yes"/>
    <x v="0"/>
    <n v="984"/>
    <x v="1"/>
    <n v="17"/>
    <n v="2"/>
    <s v="Life Sciences"/>
    <n v="1219"/>
    <n v="4"/>
    <x v="0"/>
    <n v="97"/>
    <n v="3"/>
    <x v="1"/>
    <x v="2"/>
    <n v="2"/>
    <x v="1"/>
    <n v="2210"/>
    <n v="3372"/>
    <n v="1"/>
    <x v="1"/>
    <n v="13"/>
    <n v="3"/>
    <n v="1"/>
    <n v="1"/>
    <n v="1"/>
    <n v="3"/>
    <x v="0"/>
    <n v="1"/>
    <n v="0"/>
    <n v="0"/>
    <n v="0"/>
    <x v="3"/>
    <x v="3"/>
    <n v="1"/>
    <x v="0"/>
    <s v="College"/>
    <x v="1"/>
    <x v="0"/>
  </r>
  <r>
    <n v="33"/>
    <s v="No"/>
    <x v="1"/>
    <n v="1146"/>
    <x v="0"/>
    <n v="25"/>
    <n v="3"/>
    <s v="Medical"/>
    <n v="1220"/>
    <n v="2"/>
    <x v="0"/>
    <n v="82"/>
    <n v="3"/>
    <x v="0"/>
    <x v="0"/>
    <n v="3"/>
    <x v="1"/>
    <n v="4539"/>
    <n v="4905"/>
    <n v="1"/>
    <x v="1"/>
    <n v="12"/>
    <n v="3"/>
    <n v="1"/>
    <n v="1"/>
    <n v="10"/>
    <n v="3"/>
    <x v="2"/>
    <n v="10"/>
    <n v="7"/>
    <n v="0"/>
    <n v="1"/>
    <x v="2"/>
    <x v="3"/>
    <n v="0"/>
    <x v="0"/>
    <s v="Bachelor"/>
    <x v="2"/>
    <x v="2"/>
  </r>
  <r>
    <n v="36"/>
    <s v="No"/>
    <x v="0"/>
    <n v="917"/>
    <x v="1"/>
    <n v="6"/>
    <n v="4"/>
    <s v="Life Sciences"/>
    <n v="1221"/>
    <n v="3"/>
    <x v="1"/>
    <n v="60"/>
    <n v="1"/>
    <x v="1"/>
    <x v="2"/>
    <n v="3"/>
    <x v="2"/>
    <n v="2741"/>
    <n v="6865"/>
    <n v="1"/>
    <x v="1"/>
    <n v="14"/>
    <n v="3"/>
    <n v="3"/>
    <n v="1"/>
    <n v="7"/>
    <n v="4"/>
    <x v="1"/>
    <n v="7"/>
    <n v="7"/>
    <n v="1"/>
    <n v="7"/>
    <x v="0"/>
    <x v="2"/>
    <n v="0"/>
    <x v="1"/>
    <s v="Master"/>
    <x v="2"/>
    <x v="1"/>
  </r>
  <r>
    <n v="30"/>
    <s v="No"/>
    <x v="0"/>
    <n v="853"/>
    <x v="1"/>
    <n v="7"/>
    <n v="4"/>
    <s v="Life Sciences"/>
    <n v="1224"/>
    <n v="3"/>
    <x v="1"/>
    <n v="49"/>
    <n v="3"/>
    <x v="0"/>
    <x v="2"/>
    <n v="3"/>
    <x v="2"/>
    <n v="3491"/>
    <n v="11309"/>
    <n v="1"/>
    <x v="1"/>
    <n v="13"/>
    <n v="3"/>
    <n v="1"/>
    <n v="3"/>
    <n v="10"/>
    <n v="4"/>
    <x v="2"/>
    <n v="10"/>
    <n v="7"/>
    <n v="8"/>
    <n v="9"/>
    <x v="2"/>
    <x v="0"/>
    <n v="0"/>
    <x v="0"/>
    <s v="Master"/>
    <x v="2"/>
    <x v="2"/>
  </r>
  <r>
    <n v="44"/>
    <s v="No"/>
    <x v="0"/>
    <n v="200"/>
    <x v="1"/>
    <n v="29"/>
    <n v="4"/>
    <s v="Other"/>
    <n v="1225"/>
    <n v="4"/>
    <x v="1"/>
    <n v="32"/>
    <n v="3"/>
    <x v="0"/>
    <x v="1"/>
    <n v="4"/>
    <x v="0"/>
    <n v="4541"/>
    <n v="7744"/>
    <n v="1"/>
    <x v="1"/>
    <n v="25"/>
    <n v="4"/>
    <n v="2"/>
    <n v="0"/>
    <n v="20"/>
    <n v="3"/>
    <x v="1"/>
    <n v="20"/>
    <n v="11"/>
    <n v="13"/>
    <n v="17"/>
    <x v="0"/>
    <x v="2"/>
    <n v="0"/>
    <x v="3"/>
    <s v="Master"/>
    <x v="0"/>
    <x v="1"/>
  </r>
  <r>
    <n v="20"/>
    <s v="No"/>
    <x v="0"/>
    <n v="654"/>
    <x v="0"/>
    <n v="21"/>
    <n v="3"/>
    <s v="Marketing"/>
    <n v="1226"/>
    <n v="3"/>
    <x v="1"/>
    <n v="43"/>
    <n v="4"/>
    <x v="1"/>
    <x v="6"/>
    <n v="4"/>
    <x v="0"/>
    <n v="2678"/>
    <n v="5050"/>
    <n v="1"/>
    <x v="1"/>
    <n v="17"/>
    <n v="3"/>
    <n v="4"/>
    <n v="0"/>
    <n v="2"/>
    <n v="2"/>
    <x v="1"/>
    <n v="2"/>
    <n v="1"/>
    <n v="2"/>
    <n v="2"/>
    <x v="3"/>
    <x v="3"/>
    <n v="0"/>
    <x v="2"/>
    <s v="Bachelor"/>
    <x v="0"/>
    <x v="1"/>
  </r>
  <r>
    <n v="46"/>
    <s v="No"/>
    <x v="0"/>
    <n v="150"/>
    <x v="1"/>
    <n v="2"/>
    <n v="4"/>
    <s v="Technical Degree"/>
    <n v="1228"/>
    <n v="4"/>
    <x v="1"/>
    <n v="60"/>
    <n v="3"/>
    <x v="0"/>
    <x v="3"/>
    <n v="4"/>
    <x v="2"/>
    <n v="7379"/>
    <n v="17433"/>
    <n v="2"/>
    <x v="1"/>
    <n v="11"/>
    <n v="3"/>
    <n v="3"/>
    <n v="1"/>
    <n v="12"/>
    <n v="3"/>
    <x v="2"/>
    <n v="6"/>
    <n v="3"/>
    <n v="1"/>
    <n v="4"/>
    <x v="1"/>
    <x v="0"/>
    <n v="0"/>
    <x v="0"/>
    <s v="Master"/>
    <x v="0"/>
    <x v="2"/>
  </r>
  <r>
    <n v="42"/>
    <s v="No"/>
    <x v="2"/>
    <n v="179"/>
    <x v="2"/>
    <n v="2"/>
    <n v="5"/>
    <s v="Medical"/>
    <n v="1231"/>
    <n v="4"/>
    <x v="1"/>
    <n v="79"/>
    <n v="4"/>
    <x v="0"/>
    <x v="8"/>
    <n v="1"/>
    <x v="1"/>
    <n v="6272"/>
    <n v="12858"/>
    <n v="7"/>
    <x v="1"/>
    <n v="16"/>
    <n v="3"/>
    <n v="1"/>
    <n v="1"/>
    <n v="10"/>
    <n v="3"/>
    <x v="3"/>
    <n v="4"/>
    <n v="3"/>
    <n v="0"/>
    <n v="3"/>
    <x v="0"/>
    <x v="0"/>
    <n v="0"/>
    <x v="2"/>
    <s v="Doctor"/>
    <x v="3"/>
    <x v="3"/>
  </r>
  <r>
    <n v="60"/>
    <s v="No"/>
    <x v="0"/>
    <n v="696"/>
    <x v="0"/>
    <n v="7"/>
    <n v="4"/>
    <s v="Marketing"/>
    <n v="1233"/>
    <n v="2"/>
    <x v="1"/>
    <n v="52"/>
    <n v="4"/>
    <x v="0"/>
    <x v="0"/>
    <n v="4"/>
    <x v="2"/>
    <n v="5220"/>
    <n v="10893"/>
    <n v="0"/>
    <x v="0"/>
    <n v="18"/>
    <n v="3"/>
    <n v="2"/>
    <n v="1"/>
    <n v="12"/>
    <n v="3"/>
    <x v="1"/>
    <n v="11"/>
    <n v="7"/>
    <n v="1"/>
    <n v="9"/>
    <x v="1"/>
    <x v="0"/>
    <n v="0"/>
    <x v="3"/>
    <s v="Master"/>
    <x v="0"/>
    <x v="1"/>
  </r>
  <r>
    <n v="32"/>
    <s v="No"/>
    <x v="1"/>
    <n v="116"/>
    <x v="1"/>
    <n v="13"/>
    <n v="3"/>
    <s v="Other"/>
    <n v="1234"/>
    <n v="3"/>
    <x v="0"/>
    <n v="77"/>
    <n v="2"/>
    <x v="1"/>
    <x v="2"/>
    <n v="2"/>
    <x v="1"/>
    <n v="2743"/>
    <n v="7331"/>
    <n v="1"/>
    <x v="1"/>
    <n v="20"/>
    <n v="4"/>
    <n v="3"/>
    <n v="1"/>
    <n v="2"/>
    <n v="2"/>
    <x v="1"/>
    <n v="2"/>
    <n v="2"/>
    <n v="2"/>
    <n v="2"/>
    <x v="2"/>
    <x v="2"/>
    <n v="0"/>
    <x v="2"/>
    <s v="Bachelor"/>
    <x v="1"/>
    <x v="1"/>
  </r>
  <r>
    <n v="32"/>
    <s v="No"/>
    <x v="1"/>
    <n v="1316"/>
    <x v="1"/>
    <n v="2"/>
    <n v="2"/>
    <s v="Life Sciences"/>
    <n v="1235"/>
    <n v="4"/>
    <x v="0"/>
    <n v="38"/>
    <n v="3"/>
    <x v="0"/>
    <x v="1"/>
    <n v="3"/>
    <x v="0"/>
    <n v="4998"/>
    <n v="2338"/>
    <n v="4"/>
    <x v="0"/>
    <n v="14"/>
    <n v="3"/>
    <n v="4"/>
    <n v="0"/>
    <n v="10"/>
    <n v="2"/>
    <x v="1"/>
    <n v="8"/>
    <n v="7"/>
    <n v="0"/>
    <n v="7"/>
    <x v="2"/>
    <x v="1"/>
    <n v="0"/>
    <x v="1"/>
    <s v="College"/>
    <x v="2"/>
    <x v="1"/>
  </r>
  <r>
    <n v="36"/>
    <s v="No"/>
    <x v="0"/>
    <n v="363"/>
    <x v="1"/>
    <n v="1"/>
    <n v="3"/>
    <s v="Technical Degree"/>
    <n v="1237"/>
    <n v="3"/>
    <x v="0"/>
    <n v="77"/>
    <n v="1"/>
    <x v="2"/>
    <x v="3"/>
    <n v="1"/>
    <x v="2"/>
    <n v="10252"/>
    <n v="4235"/>
    <n v="2"/>
    <x v="0"/>
    <n v="21"/>
    <n v="4"/>
    <n v="3"/>
    <n v="1"/>
    <n v="17"/>
    <n v="2"/>
    <x v="1"/>
    <n v="7"/>
    <n v="7"/>
    <n v="7"/>
    <n v="7"/>
    <x v="0"/>
    <x v="3"/>
    <n v="0"/>
    <x v="1"/>
    <s v="Bachelor"/>
    <x v="3"/>
    <x v="1"/>
  </r>
  <r>
    <n v="33"/>
    <s v="No"/>
    <x v="0"/>
    <n v="117"/>
    <x v="1"/>
    <n v="9"/>
    <n v="3"/>
    <s v="Medical"/>
    <n v="1238"/>
    <n v="1"/>
    <x v="1"/>
    <n v="60"/>
    <n v="3"/>
    <x v="1"/>
    <x v="1"/>
    <n v="4"/>
    <x v="1"/>
    <n v="2781"/>
    <n v="6311"/>
    <n v="0"/>
    <x v="1"/>
    <n v="13"/>
    <n v="3"/>
    <n v="2"/>
    <n v="1"/>
    <n v="15"/>
    <n v="5"/>
    <x v="1"/>
    <n v="14"/>
    <n v="10"/>
    <n v="4"/>
    <n v="10"/>
    <x v="2"/>
    <x v="2"/>
    <n v="0"/>
    <x v="3"/>
    <s v="Bachelor"/>
    <x v="0"/>
    <x v="1"/>
  </r>
  <r>
    <n v="40"/>
    <s v="No"/>
    <x v="0"/>
    <n v="107"/>
    <x v="0"/>
    <n v="10"/>
    <n v="3"/>
    <s v="Technical Degree"/>
    <n v="1239"/>
    <n v="2"/>
    <x v="0"/>
    <n v="84"/>
    <n v="2"/>
    <x v="0"/>
    <x v="0"/>
    <n v="2"/>
    <x v="2"/>
    <n v="6852"/>
    <n v="11591"/>
    <n v="7"/>
    <x v="1"/>
    <n v="12"/>
    <n v="3"/>
    <n v="2"/>
    <n v="1"/>
    <n v="7"/>
    <n v="2"/>
    <x v="3"/>
    <n v="5"/>
    <n v="1"/>
    <n v="1"/>
    <n v="3"/>
    <x v="0"/>
    <x v="0"/>
    <n v="0"/>
    <x v="2"/>
    <s v="Bachelor"/>
    <x v="1"/>
    <x v="3"/>
  </r>
  <r>
    <n v="25"/>
    <s v="No"/>
    <x v="0"/>
    <n v="1356"/>
    <x v="0"/>
    <n v="10"/>
    <n v="4"/>
    <s v="Life Sciences"/>
    <n v="1240"/>
    <n v="3"/>
    <x v="1"/>
    <n v="57"/>
    <n v="3"/>
    <x v="0"/>
    <x v="0"/>
    <n v="4"/>
    <x v="0"/>
    <n v="4950"/>
    <n v="20623"/>
    <n v="0"/>
    <x v="1"/>
    <n v="14"/>
    <n v="3"/>
    <n v="2"/>
    <n v="0"/>
    <n v="5"/>
    <n v="4"/>
    <x v="1"/>
    <n v="4"/>
    <n v="3"/>
    <n v="1"/>
    <n v="1"/>
    <x v="3"/>
    <x v="0"/>
    <n v="0"/>
    <x v="2"/>
    <s v="Master"/>
    <x v="0"/>
    <x v="1"/>
  </r>
  <r>
    <n v="30"/>
    <s v="No"/>
    <x v="0"/>
    <n v="1465"/>
    <x v="1"/>
    <n v="1"/>
    <n v="3"/>
    <s v="Medical"/>
    <n v="1241"/>
    <n v="4"/>
    <x v="1"/>
    <n v="63"/>
    <n v="3"/>
    <x v="1"/>
    <x v="1"/>
    <n v="2"/>
    <x v="1"/>
    <n v="3579"/>
    <n v="9369"/>
    <n v="0"/>
    <x v="0"/>
    <n v="21"/>
    <n v="4"/>
    <n v="1"/>
    <n v="1"/>
    <n v="12"/>
    <n v="2"/>
    <x v="1"/>
    <n v="11"/>
    <n v="9"/>
    <n v="5"/>
    <n v="7"/>
    <x v="2"/>
    <x v="2"/>
    <n v="0"/>
    <x v="3"/>
    <s v="Bachelor"/>
    <x v="1"/>
    <x v="1"/>
  </r>
  <r>
    <n v="42"/>
    <s v="No"/>
    <x v="1"/>
    <n v="458"/>
    <x v="1"/>
    <n v="26"/>
    <n v="5"/>
    <s v="Medical"/>
    <n v="1242"/>
    <n v="1"/>
    <x v="0"/>
    <n v="60"/>
    <n v="3"/>
    <x v="2"/>
    <x v="7"/>
    <n v="1"/>
    <x v="1"/>
    <n v="13191"/>
    <n v="23281"/>
    <n v="3"/>
    <x v="0"/>
    <n v="17"/>
    <n v="3"/>
    <n v="3"/>
    <n v="0"/>
    <n v="20"/>
    <n v="6"/>
    <x v="1"/>
    <n v="1"/>
    <n v="0"/>
    <n v="0"/>
    <n v="0"/>
    <x v="0"/>
    <x v="0"/>
    <n v="0"/>
    <x v="2"/>
    <s v="Doctor"/>
    <x v="3"/>
    <x v="1"/>
  </r>
  <r>
    <n v="35"/>
    <s v="No"/>
    <x v="2"/>
    <n v="1212"/>
    <x v="0"/>
    <n v="8"/>
    <n v="2"/>
    <s v="Marketing"/>
    <n v="1243"/>
    <n v="3"/>
    <x v="0"/>
    <n v="78"/>
    <n v="2"/>
    <x v="2"/>
    <x v="0"/>
    <n v="4"/>
    <x v="1"/>
    <n v="10377"/>
    <n v="13755"/>
    <n v="4"/>
    <x v="0"/>
    <n v="11"/>
    <n v="3"/>
    <n v="2"/>
    <n v="1"/>
    <n v="16"/>
    <n v="6"/>
    <x v="2"/>
    <n v="13"/>
    <n v="2"/>
    <n v="4"/>
    <n v="12"/>
    <x v="2"/>
    <x v="0"/>
    <n v="0"/>
    <x v="0"/>
    <s v="College"/>
    <x v="0"/>
    <x v="2"/>
  </r>
  <r>
    <n v="27"/>
    <s v="No"/>
    <x v="0"/>
    <n v="1103"/>
    <x v="1"/>
    <n v="14"/>
    <n v="3"/>
    <s v="Life Sciences"/>
    <n v="1244"/>
    <n v="1"/>
    <x v="1"/>
    <n v="42"/>
    <n v="3"/>
    <x v="1"/>
    <x v="1"/>
    <n v="1"/>
    <x v="1"/>
    <n v="2235"/>
    <n v="14377"/>
    <n v="1"/>
    <x v="0"/>
    <n v="14"/>
    <n v="3"/>
    <n v="4"/>
    <n v="2"/>
    <n v="9"/>
    <n v="3"/>
    <x v="2"/>
    <n v="9"/>
    <n v="7"/>
    <n v="6"/>
    <n v="8"/>
    <x v="2"/>
    <x v="0"/>
    <n v="0"/>
    <x v="0"/>
    <s v="Bachelor"/>
    <x v="3"/>
    <x v="2"/>
  </r>
  <r>
    <n v="54"/>
    <s v="No"/>
    <x v="1"/>
    <n v="966"/>
    <x v="1"/>
    <n v="1"/>
    <n v="4"/>
    <s v="Life Sciences"/>
    <n v="1245"/>
    <n v="4"/>
    <x v="0"/>
    <n v="53"/>
    <n v="3"/>
    <x v="2"/>
    <x v="3"/>
    <n v="3"/>
    <x v="2"/>
    <n v="10502"/>
    <n v="9659"/>
    <n v="7"/>
    <x v="1"/>
    <n v="17"/>
    <n v="3"/>
    <n v="1"/>
    <n v="1"/>
    <n v="33"/>
    <n v="2"/>
    <x v="0"/>
    <n v="5"/>
    <n v="4"/>
    <n v="1"/>
    <n v="4"/>
    <x v="1"/>
    <x v="2"/>
    <n v="0"/>
    <x v="0"/>
    <s v="Master"/>
    <x v="2"/>
    <x v="0"/>
  </r>
  <r>
    <n v="44"/>
    <s v="No"/>
    <x v="0"/>
    <n v="1117"/>
    <x v="1"/>
    <n v="2"/>
    <n v="1"/>
    <s v="Life Sciences"/>
    <n v="1246"/>
    <n v="1"/>
    <x v="0"/>
    <n v="72"/>
    <n v="4"/>
    <x v="1"/>
    <x v="1"/>
    <n v="4"/>
    <x v="1"/>
    <n v="2011"/>
    <n v="19982"/>
    <n v="1"/>
    <x v="1"/>
    <n v="13"/>
    <n v="3"/>
    <n v="4"/>
    <n v="1"/>
    <n v="10"/>
    <n v="5"/>
    <x v="1"/>
    <n v="10"/>
    <n v="5"/>
    <n v="7"/>
    <n v="7"/>
    <x v="0"/>
    <x v="0"/>
    <n v="0"/>
    <x v="1"/>
    <s v="Below College"/>
    <x v="0"/>
    <x v="1"/>
  </r>
  <r>
    <n v="19"/>
    <s v="Yes"/>
    <x v="2"/>
    <n v="504"/>
    <x v="1"/>
    <n v="10"/>
    <n v="3"/>
    <s v="Medical"/>
    <n v="1248"/>
    <n v="1"/>
    <x v="0"/>
    <n v="96"/>
    <n v="2"/>
    <x v="1"/>
    <x v="1"/>
    <n v="2"/>
    <x v="0"/>
    <n v="1859"/>
    <n v="6148"/>
    <n v="1"/>
    <x v="0"/>
    <n v="25"/>
    <n v="4"/>
    <n v="2"/>
    <n v="0"/>
    <n v="1"/>
    <n v="2"/>
    <x v="3"/>
    <n v="1"/>
    <n v="1"/>
    <n v="0"/>
    <n v="0"/>
    <x v="3"/>
    <x v="2"/>
    <n v="1"/>
    <x v="2"/>
    <s v="Bachelor"/>
    <x v="1"/>
    <x v="3"/>
  </r>
  <r>
    <n v="29"/>
    <s v="No"/>
    <x v="0"/>
    <n v="1010"/>
    <x v="1"/>
    <n v="1"/>
    <n v="3"/>
    <s v="Life Sciences"/>
    <n v="1249"/>
    <n v="1"/>
    <x v="0"/>
    <n v="97"/>
    <n v="3"/>
    <x v="1"/>
    <x v="1"/>
    <n v="4"/>
    <x v="2"/>
    <n v="3760"/>
    <n v="5598"/>
    <n v="1"/>
    <x v="1"/>
    <n v="15"/>
    <n v="3"/>
    <n v="1"/>
    <n v="3"/>
    <n v="3"/>
    <n v="5"/>
    <x v="1"/>
    <n v="3"/>
    <n v="2"/>
    <n v="1"/>
    <n v="2"/>
    <x v="2"/>
    <x v="3"/>
    <n v="0"/>
    <x v="2"/>
    <s v="Bachelor"/>
    <x v="0"/>
    <x v="1"/>
  </r>
  <r>
    <n v="54"/>
    <s v="No"/>
    <x v="0"/>
    <n v="685"/>
    <x v="1"/>
    <n v="3"/>
    <n v="3"/>
    <s v="Life Sciences"/>
    <n v="1250"/>
    <n v="4"/>
    <x v="1"/>
    <n v="85"/>
    <n v="3"/>
    <x v="3"/>
    <x v="7"/>
    <n v="4"/>
    <x v="1"/>
    <n v="17779"/>
    <n v="23474"/>
    <n v="3"/>
    <x v="1"/>
    <n v="14"/>
    <n v="3"/>
    <n v="1"/>
    <n v="0"/>
    <n v="36"/>
    <n v="2"/>
    <x v="1"/>
    <n v="10"/>
    <n v="9"/>
    <n v="0"/>
    <n v="9"/>
    <x v="1"/>
    <x v="0"/>
    <n v="0"/>
    <x v="1"/>
    <s v="Bachelor"/>
    <x v="0"/>
    <x v="1"/>
  </r>
  <r>
    <n v="31"/>
    <s v="No"/>
    <x v="0"/>
    <n v="1332"/>
    <x v="1"/>
    <n v="11"/>
    <n v="2"/>
    <s v="Medical"/>
    <n v="1251"/>
    <n v="3"/>
    <x v="1"/>
    <n v="80"/>
    <n v="3"/>
    <x v="0"/>
    <x v="4"/>
    <n v="1"/>
    <x v="1"/>
    <n v="6833"/>
    <n v="17089"/>
    <n v="1"/>
    <x v="0"/>
    <n v="12"/>
    <n v="3"/>
    <n v="4"/>
    <n v="0"/>
    <n v="6"/>
    <n v="2"/>
    <x v="2"/>
    <n v="6"/>
    <n v="5"/>
    <n v="0"/>
    <n v="1"/>
    <x v="2"/>
    <x v="0"/>
    <n v="0"/>
    <x v="0"/>
    <s v="College"/>
    <x v="3"/>
    <x v="2"/>
  </r>
  <r>
    <n v="31"/>
    <s v="No"/>
    <x v="0"/>
    <n v="1062"/>
    <x v="1"/>
    <n v="24"/>
    <n v="3"/>
    <s v="Medical"/>
    <n v="1252"/>
    <n v="3"/>
    <x v="0"/>
    <n v="96"/>
    <n v="2"/>
    <x v="0"/>
    <x v="4"/>
    <n v="1"/>
    <x v="0"/>
    <n v="6812"/>
    <n v="17198"/>
    <n v="1"/>
    <x v="1"/>
    <n v="19"/>
    <n v="3"/>
    <n v="2"/>
    <n v="0"/>
    <n v="10"/>
    <n v="2"/>
    <x v="1"/>
    <n v="10"/>
    <n v="9"/>
    <n v="1"/>
    <n v="8"/>
    <x v="2"/>
    <x v="0"/>
    <n v="0"/>
    <x v="1"/>
    <s v="Bachelor"/>
    <x v="3"/>
    <x v="1"/>
  </r>
  <r>
    <n v="59"/>
    <s v="No"/>
    <x v="0"/>
    <n v="326"/>
    <x v="0"/>
    <n v="3"/>
    <n v="3"/>
    <s v="Life Sciences"/>
    <n v="1254"/>
    <n v="3"/>
    <x v="0"/>
    <n v="48"/>
    <n v="2"/>
    <x v="0"/>
    <x v="0"/>
    <n v="4"/>
    <x v="0"/>
    <n v="5171"/>
    <n v="16490"/>
    <n v="5"/>
    <x v="1"/>
    <n v="17"/>
    <n v="3"/>
    <n v="4"/>
    <n v="0"/>
    <n v="13"/>
    <n v="2"/>
    <x v="1"/>
    <n v="6"/>
    <n v="1"/>
    <n v="0"/>
    <n v="5"/>
    <x v="1"/>
    <x v="0"/>
    <n v="0"/>
    <x v="1"/>
    <s v="Bachelor"/>
    <x v="0"/>
    <x v="1"/>
  </r>
  <r>
    <n v="43"/>
    <s v="No"/>
    <x v="0"/>
    <n v="920"/>
    <x v="1"/>
    <n v="3"/>
    <n v="3"/>
    <s v="Life Sciences"/>
    <n v="1255"/>
    <n v="3"/>
    <x v="1"/>
    <n v="96"/>
    <n v="1"/>
    <x v="4"/>
    <x v="7"/>
    <n v="4"/>
    <x v="1"/>
    <n v="19740"/>
    <n v="18625"/>
    <n v="3"/>
    <x v="1"/>
    <n v="14"/>
    <n v="3"/>
    <n v="2"/>
    <n v="1"/>
    <n v="25"/>
    <n v="2"/>
    <x v="1"/>
    <n v="8"/>
    <n v="7"/>
    <n v="0"/>
    <n v="7"/>
    <x v="0"/>
    <x v="0"/>
    <n v="0"/>
    <x v="1"/>
    <s v="Bachelor"/>
    <x v="0"/>
    <x v="1"/>
  </r>
  <r>
    <n v="49"/>
    <s v="No"/>
    <x v="0"/>
    <n v="1098"/>
    <x v="1"/>
    <n v="4"/>
    <n v="2"/>
    <s v="Medical"/>
    <n v="1256"/>
    <n v="1"/>
    <x v="1"/>
    <n v="85"/>
    <n v="2"/>
    <x v="4"/>
    <x v="5"/>
    <n v="3"/>
    <x v="1"/>
    <n v="18711"/>
    <n v="12124"/>
    <n v="2"/>
    <x v="1"/>
    <n v="13"/>
    <n v="3"/>
    <n v="3"/>
    <n v="1"/>
    <n v="23"/>
    <n v="2"/>
    <x v="3"/>
    <n v="1"/>
    <n v="0"/>
    <n v="0"/>
    <n v="0"/>
    <x v="1"/>
    <x v="0"/>
    <n v="0"/>
    <x v="2"/>
    <s v="College"/>
    <x v="2"/>
    <x v="3"/>
  </r>
  <r>
    <n v="36"/>
    <s v="No"/>
    <x v="1"/>
    <n v="469"/>
    <x v="1"/>
    <n v="3"/>
    <n v="3"/>
    <s v="Technical Degree"/>
    <n v="1257"/>
    <n v="3"/>
    <x v="1"/>
    <n v="46"/>
    <n v="3"/>
    <x v="1"/>
    <x v="1"/>
    <n v="2"/>
    <x v="1"/>
    <n v="3692"/>
    <n v="9256"/>
    <n v="1"/>
    <x v="1"/>
    <n v="12"/>
    <n v="3"/>
    <n v="3"/>
    <n v="0"/>
    <n v="12"/>
    <n v="2"/>
    <x v="2"/>
    <n v="11"/>
    <n v="10"/>
    <n v="0"/>
    <n v="7"/>
    <x v="0"/>
    <x v="2"/>
    <n v="0"/>
    <x v="0"/>
    <s v="Bachelor"/>
    <x v="1"/>
    <x v="2"/>
  </r>
  <r>
    <n v="48"/>
    <s v="No"/>
    <x v="0"/>
    <n v="969"/>
    <x v="1"/>
    <n v="2"/>
    <n v="2"/>
    <s v="Technical Degree"/>
    <n v="1258"/>
    <n v="4"/>
    <x v="1"/>
    <n v="76"/>
    <n v="4"/>
    <x v="1"/>
    <x v="2"/>
    <n v="2"/>
    <x v="0"/>
    <n v="2559"/>
    <n v="16620"/>
    <n v="5"/>
    <x v="1"/>
    <n v="11"/>
    <n v="3"/>
    <n v="3"/>
    <n v="0"/>
    <n v="7"/>
    <n v="4"/>
    <x v="2"/>
    <n v="1"/>
    <n v="0"/>
    <n v="0"/>
    <n v="0"/>
    <x v="1"/>
    <x v="0"/>
    <n v="0"/>
    <x v="0"/>
    <s v="College"/>
    <x v="1"/>
    <x v="2"/>
  </r>
  <r>
    <n v="27"/>
    <s v="No"/>
    <x v="0"/>
    <n v="1167"/>
    <x v="1"/>
    <n v="4"/>
    <n v="2"/>
    <s v="Life Sciences"/>
    <n v="1259"/>
    <n v="1"/>
    <x v="1"/>
    <n v="76"/>
    <n v="3"/>
    <x v="1"/>
    <x v="1"/>
    <n v="3"/>
    <x v="2"/>
    <n v="2517"/>
    <n v="3208"/>
    <n v="1"/>
    <x v="1"/>
    <n v="11"/>
    <n v="3"/>
    <n v="2"/>
    <n v="3"/>
    <n v="5"/>
    <n v="2"/>
    <x v="1"/>
    <n v="5"/>
    <n v="3"/>
    <n v="0"/>
    <n v="3"/>
    <x v="2"/>
    <x v="3"/>
    <n v="0"/>
    <x v="2"/>
    <s v="College"/>
    <x v="2"/>
    <x v="1"/>
  </r>
  <r>
    <n v="29"/>
    <s v="No"/>
    <x v="0"/>
    <n v="1329"/>
    <x v="1"/>
    <n v="7"/>
    <n v="3"/>
    <s v="Life Sciences"/>
    <n v="1260"/>
    <n v="3"/>
    <x v="1"/>
    <n v="82"/>
    <n v="3"/>
    <x v="0"/>
    <x v="4"/>
    <n v="4"/>
    <x v="2"/>
    <n v="6623"/>
    <n v="4204"/>
    <n v="1"/>
    <x v="0"/>
    <n v="11"/>
    <n v="3"/>
    <n v="2"/>
    <n v="2"/>
    <n v="6"/>
    <n v="2"/>
    <x v="1"/>
    <n v="6"/>
    <n v="0"/>
    <n v="1"/>
    <n v="0"/>
    <x v="2"/>
    <x v="3"/>
    <n v="0"/>
    <x v="1"/>
    <s v="Bachelor"/>
    <x v="0"/>
    <x v="1"/>
  </r>
  <r>
    <n v="48"/>
    <s v="No"/>
    <x v="0"/>
    <n v="715"/>
    <x v="1"/>
    <n v="1"/>
    <n v="3"/>
    <s v="Life Sciences"/>
    <n v="1263"/>
    <n v="4"/>
    <x v="1"/>
    <n v="76"/>
    <n v="2"/>
    <x v="4"/>
    <x v="7"/>
    <n v="4"/>
    <x v="0"/>
    <n v="18265"/>
    <n v="8733"/>
    <n v="6"/>
    <x v="1"/>
    <n v="12"/>
    <n v="3"/>
    <n v="3"/>
    <n v="0"/>
    <n v="25"/>
    <n v="3"/>
    <x v="3"/>
    <n v="1"/>
    <n v="0"/>
    <n v="0"/>
    <n v="0"/>
    <x v="1"/>
    <x v="2"/>
    <n v="0"/>
    <x v="2"/>
    <s v="Bachelor"/>
    <x v="0"/>
    <x v="3"/>
  </r>
  <r>
    <n v="29"/>
    <s v="No"/>
    <x v="0"/>
    <n v="694"/>
    <x v="1"/>
    <n v="1"/>
    <n v="3"/>
    <s v="Life Sciences"/>
    <n v="1264"/>
    <n v="4"/>
    <x v="0"/>
    <n v="87"/>
    <n v="2"/>
    <x v="3"/>
    <x v="7"/>
    <n v="4"/>
    <x v="2"/>
    <n v="16124"/>
    <n v="3423"/>
    <n v="3"/>
    <x v="1"/>
    <n v="14"/>
    <n v="3"/>
    <n v="2"/>
    <n v="2"/>
    <n v="9"/>
    <n v="2"/>
    <x v="2"/>
    <n v="7"/>
    <n v="7"/>
    <n v="1"/>
    <n v="7"/>
    <x v="2"/>
    <x v="3"/>
    <n v="0"/>
    <x v="0"/>
    <s v="Bachelor"/>
    <x v="0"/>
    <x v="2"/>
  </r>
  <r>
    <n v="34"/>
    <s v="No"/>
    <x v="0"/>
    <n v="1320"/>
    <x v="1"/>
    <n v="20"/>
    <n v="3"/>
    <s v="Technical Degree"/>
    <n v="1265"/>
    <n v="3"/>
    <x v="0"/>
    <n v="89"/>
    <n v="4"/>
    <x v="1"/>
    <x v="1"/>
    <n v="3"/>
    <x v="1"/>
    <n v="2585"/>
    <n v="21643"/>
    <n v="0"/>
    <x v="1"/>
    <n v="17"/>
    <n v="3"/>
    <n v="4"/>
    <n v="0"/>
    <n v="2"/>
    <n v="5"/>
    <x v="2"/>
    <n v="1"/>
    <n v="0"/>
    <n v="0"/>
    <n v="0"/>
    <x v="2"/>
    <x v="0"/>
    <n v="0"/>
    <x v="0"/>
    <s v="Bachelor"/>
    <x v="2"/>
    <x v="2"/>
  </r>
  <r>
    <n v="44"/>
    <s v="No"/>
    <x v="0"/>
    <n v="1099"/>
    <x v="0"/>
    <n v="5"/>
    <n v="3"/>
    <s v="Marketing"/>
    <n v="1267"/>
    <n v="2"/>
    <x v="1"/>
    <n v="88"/>
    <n v="3"/>
    <x v="4"/>
    <x v="5"/>
    <n v="2"/>
    <x v="1"/>
    <n v="18213"/>
    <n v="8751"/>
    <n v="7"/>
    <x v="1"/>
    <n v="11"/>
    <n v="3"/>
    <n v="3"/>
    <n v="1"/>
    <n v="26"/>
    <n v="5"/>
    <x v="1"/>
    <n v="22"/>
    <n v="9"/>
    <n v="3"/>
    <n v="10"/>
    <x v="0"/>
    <x v="2"/>
    <n v="0"/>
    <x v="3"/>
    <s v="Bachelor"/>
    <x v="1"/>
    <x v="1"/>
  </r>
  <r>
    <n v="33"/>
    <s v="No"/>
    <x v="0"/>
    <n v="536"/>
    <x v="0"/>
    <n v="10"/>
    <n v="5"/>
    <s v="Marketing"/>
    <n v="1268"/>
    <n v="4"/>
    <x v="1"/>
    <n v="82"/>
    <n v="4"/>
    <x v="2"/>
    <x v="0"/>
    <n v="3"/>
    <x v="2"/>
    <n v="8380"/>
    <n v="21708"/>
    <n v="0"/>
    <x v="0"/>
    <n v="14"/>
    <n v="3"/>
    <n v="4"/>
    <n v="2"/>
    <n v="10"/>
    <n v="3"/>
    <x v="1"/>
    <n v="9"/>
    <n v="8"/>
    <n v="0"/>
    <n v="8"/>
    <x v="2"/>
    <x v="0"/>
    <n v="0"/>
    <x v="1"/>
    <s v="Doctor"/>
    <x v="2"/>
    <x v="1"/>
  </r>
  <r>
    <n v="19"/>
    <s v="No"/>
    <x v="0"/>
    <n v="265"/>
    <x v="1"/>
    <n v="25"/>
    <n v="3"/>
    <s v="Life Sciences"/>
    <n v="1269"/>
    <n v="2"/>
    <x v="0"/>
    <n v="57"/>
    <n v="4"/>
    <x v="1"/>
    <x v="1"/>
    <n v="4"/>
    <x v="0"/>
    <n v="2994"/>
    <n v="21221"/>
    <n v="1"/>
    <x v="0"/>
    <n v="12"/>
    <n v="3"/>
    <n v="4"/>
    <n v="0"/>
    <n v="1"/>
    <n v="2"/>
    <x v="1"/>
    <n v="1"/>
    <n v="0"/>
    <n v="0"/>
    <n v="1"/>
    <x v="3"/>
    <x v="0"/>
    <n v="0"/>
    <x v="2"/>
    <s v="Bachelor"/>
    <x v="0"/>
    <x v="1"/>
  </r>
  <r>
    <n v="23"/>
    <s v="No"/>
    <x v="0"/>
    <n v="373"/>
    <x v="1"/>
    <n v="1"/>
    <n v="2"/>
    <s v="Life Sciences"/>
    <n v="1270"/>
    <n v="4"/>
    <x v="1"/>
    <n v="47"/>
    <n v="3"/>
    <x v="1"/>
    <x v="1"/>
    <n v="3"/>
    <x v="1"/>
    <n v="1223"/>
    <n v="16901"/>
    <n v="1"/>
    <x v="1"/>
    <n v="22"/>
    <n v="4"/>
    <n v="4"/>
    <n v="1"/>
    <n v="1"/>
    <n v="2"/>
    <x v="1"/>
    <n v="1"/>
    <n v="0"/>
    <n v="0"/>
    <n v="1"/>
    <x v="3"/>
    <x v="0"/>
    <n v="0"/>
    <x v="2"/>
    <s v="College"/>
    <x v="2"/>
    <x v="1"/>
  </r>
  <r>
    <n v="25"/>
    <s v="Yes"/>
    <x v="1"/>
    <n v="599"/>
    <x v="0"/>
    <n v="24"/>
    <n v="1"/>
    <s v="Life Sciences"/>
    <n v="1273"/>
    <n v="3"/>
    <x v="1"/>
    <n v="73"/>
    <n v="1"/>
    <x v="1"/>
    <x v="6"/>
    <n v="4"/>
    <x v="0"/>
    <n v="1118"/>
    <n v="8040"/>
    <n v="1"/>
    <x v="0"/>
    <n v="14"/>
    <n v="3"/>
    <n v="4"/>
    <n v="0"/>
    <n v="1"/>
    <n v="4"/>
    <x v="1"/>
    <n v="1"/>
    <n v="0"/>
    <n v="1"/>
    <n v="0"/>
    <x v="3"/>
    <x v="2"/>
    <n v="1"/>
    <x v="2"/>
    <s v="Below College"/>
    <x v="0"/>
    <x v="1"/>
  </r>
  <r>
    <n v="26"/>
    <s v="No"/>
    <x v="0"/>
    <n v="583"/>
    <x v="1"/>
    <n v="4"/>
    <n v="2"/>
    <s v="Life Sciences"/>
    <n v="1275"/>
    <n v="3"/>
    <x v="1"/>
    <n v="53"/>
    <n v="3"/>
    <x v="1"/>
    <x v="1"/>
    <n v="4"/>
    <x v="0"/>
    <n v="2875"/>
    <n v="9973"/>
    <n v="1"/>
    <x v="0"/>
    <n v="20"/>
    <n v="4"/>
    <n v="2"/>
    <n v="0"/>
    <n v="8"/>
    <n v="2"/>
    <x v="2"/>
    <n v="8"/>
    <n v="5"/>
    <n v="2"/>
    <n v="2"/>
    <x v="2"/>
    <x v="2"/>
    <n v="0"/>
    <x v="0"/>
    <s v="College"/>
    <x v="0"/>
    <x v="2"/>
  </r>
  <r>
    <n v="45"/>
    <s v="Yes"/>
    <x v="0"/>
    <n v="1449"/>
    <x v="0"/>
    <n v="2"/>
    <n v="3"/>
    <s v="Marketing"/>
    <n v="1277"/>
    <n v="1"/>
    <x v="0"/>
    <n v="94"/>
    <n v="1"/>
    <x v="4"/>
    <x v="5"/>
    <n v="2"/>
    <x v="0"/>
    <n v="18824"/>
    <n v="2493"/>
    <n v="2"/>
    <x v="0"/>
    <n v="16"/>
    <n v="3"/>
    <n v="1"/>
    <n v="0"/>
    <n v="26"/>
    <n v="2"/>
    <x v="1"/>
    <n v="24"/>
    <n v="10"/>
    <n v="1"/>
    <n v="11"/>
    <x v="0"/>
    <x v="1"/>
    <n v="1"/>
    <x v="3"/>
    <s v="Bachelor"/>
    <x v="1"/>
    <x v="1"/>
  </r>
  <r>
    <n v="55"/>
    <s v="No"/>
    <x v="2"/>
    <n v="177"/>
    <x v="1"/>
    <n v="8"/>
    <n v="1"/>
    <s v="Medical"/>
    <n v="1278"/>
    <n v="4"/>
    <x v="1"/>
    <n v="37"/>
    <n v="2"/>
    <x v="3"/>
    <x v="4"/>
    <n v="2"/>
    <x v="2"/>
    <n v="13577"/>
    <n v="25592"/>
    <n v="1"/>
    <x v="0"/>
    <n v="15"/>
    <n v="3"/>
    <n v="4"/>
    <n v="1"/>
    <n v="34"/>
    <n v="3"/>
    <x v="1"/>
    <n v="33"/>
    <n v="9"/>
    <n v="15"/>
    <n v="0"/>
    <x v="1"/>
    <x v="0"/>
    <n v="0"/>
    <x v="3"/>
    <s v="Below College"/>
    <x v="1"/>
    <x v="1"/>
  </r>
  <r>
    <n v="21"/>
    <s v="Yes"/>
    <x v="1"/>
    <n v="251"/>
    <x v="1"/>
    <n v="10"/>
    <n v="2"/>
    <s v="Life Sciences"/>
    <n v="1279"/>
    <n v="1"/>
    <x v="0"/>
    <n v="45"/>
    <n v="2"/>
    <x v="1"/>
    <x v="2"/>
    <n v="3"/>
    <x v="0"/>
    <n v="2625"/>
    <n v="25308"/>
    <n v="1"/>
    <x v="1"/>
    <n v="20"/>
    <n v="4"/>
    <n v="3"/>
    <n v="0"/>
    <n v="2"/>
    <n v="2"/>
    <x v="0"/>
    <n v="2"/>
    <n v="2"/>
    <n v="2"/>
    <n v="2"/>
    <x v="3"/>
    <x v="0"/>
    <n v="1"/>
    <x v="0"/>
    <s v="College"/>
    <x v="2"/>
    <x v="0"/>
  </r>
  <r>
    <n v="46"/>
    <s v="No"/>
    <x v="0"/>
    <n v="168"/>
    <x v="0"/>
    <n v="4"/>
    <n v="2"/>
    <s v="Marketing"/>
    <n v="1280"/>
    <n v="4"/>
    <x v="0"/>
    <n v="33"/>
    <n v="2"/>
    <x v="4"/>
    <x v="5"/>
    <n v="2"/>
    <x v="1"/>
    <n v="18789"/>
    <n v="9946"/>
    <n v="2"/>
    <x v="1"/>
    <n v="14"/>
    <n v="3"/>
    <n v="3"/>
    <n v="1"/>
    <n v="26"/>
    <n v="2"/>
    <x v="1"/>
    <n v="11"/>
    <n v="4"/>
    <n v="0"/>
    <n v="8"/>
    <x v="1"/>
    <x v="2"/>
    <n v="0"/>
    <x v="3"/>
    <s v="College"/>
    <x v="1"/>
    <x v="1"/>
  </r>
  <r>
    <n v="34"/>
    <s v="No"/>
    <x v="0"/>
    <n v="131"/>
    <x v="0"/>
    <n v="2"/>
    <n v="3"/>
    <s v="Marketing"/>
    <n v="1281"/>
    <n v="3"/>
    <x v="0"/>
    <n v="86"/>
    <n v="3"/>
    <x v="0"/>
    <x v="0"/>
    <n v="1"/>
    <x v="0"/>
    <n v="4538"/>
    <n v="6039"/>
    <n v="0"/>
    <x v="0"/>
    <n v="12"/>
    <n v="3"/>
    <n v="4"/>
    <n v="0"/>
    <n v="4"/>
    <n v="3"/>
    <x v="1"/>
    <n v="3"/>
    <n v="2"/>
    <n v="0"/>
    <n v="2"/>
    <x v="2"/>
    <x v="2"/>
    <n v="0"/>
    <x v="2"/>
    <s v="Bachelor"/>
    <x v="3"/>
    <x v="1"/>
  </r>
  <r>
    <n v="51"/>
    <s v="No"/>
    <x v="1"/>
    <n v="237"/>
    <x v="0"/>
    <n v="9"/>
    <n v="3"/>
    <s v="Life Sciences"/>
    <n v="1282"/>
    <n v="4"/>
    <x v="1"/>
    <n v="83"/>
    <n v="3"/>
    <x v="4"/>
    <x v="5"/>
    <n v="2"/>
    <x v="2"/>
    <n v="19847"/>
    <n v="19196"/>
    <n v="4"/>
    <x v="0"/>
    <n v="24"/>
    <n v="4"/>
    <n v="1"/>
    <n v="1"/>
    <n v="31"/>
    <n v="5"/>
    <x v="2"/>
    <n v="29"/>
    <n v="10"/>
    <n v="11"/>
    <n v="10"/>
    <x v="1"/>
    <x v="0"/>
    <n v="0"/>
    <x v="0"/>
    <s v="Bachelor"/>
    <x v="1"/>
    <x v="2"/>
  </r>
  <r>
    <n v="59"/>
    <s v="No"/>
    <x v="0"/>
    <n v="1429"/>
    <x v="1"/>
    <n v="18"/>
    <n v="4"/>
    <s v="Medical"/>
    <n v="1283"/>
    <n v="4"/>
    <x v="1"/>
    <n v="67"/>
    <n v="3"/>
    <x v="2"/>
    <x v="3"/>
    <n v="4"/>
    <x v="0"/>
    <n v="10512"/>
    <n v="20002"/>
    <n v="6"/>
    <x v="1"/>
    <n v="12"/>
    <n v="3"/>
    <n v="4"/>
    <n v="0"/>
    <n v="25"/>
    <n v="6"/>
    <x v="2"/>
    <n v="9"/>
    <n v="7"/>
    <n v="5"/>
    <n v="4"/>
    <x v="1"/>
    <x v="0"/>
    <n v="0"/>
    <x v="0"/>
    <s v="Master"/>
    <x v="0"/>
    <x v="2"/>
  </r>
  <r>
    <n v="34"/>
    <s v="No"/>
    <x v="1"/>
    <n v="135"/>
    <x v="1"/>
    <n v="19"/>
    <n v="3"/>
    <s v="Medical"/>
    <n v="1285"/>
    <n v="3"/>
    <x v="0"/>
    <n v="46"/>
    <n v="3"/>
    <x v="0"/>
    <x v="2"/>
    <n v="2"/>
    <x v="2"/>
    <n v="4444"/>
    <n v="22534"/>
    <n v="4"/>
    <x v="1"/>
    <n v="13"/>
    <n v="3"/>
    <n v="3"/>
    <n v="2"/>
    <n v="15"/>
    <n v="2"/>
    <x v="3"/>
    <n v="11"/>
    <n v="8"/>
    <n v="5"/>
    <n v="10"/>
    <x v="2"/>
    <x v="0"/>
    <n v="0"/>
    <x v="3"/>
    <s v="Bachelor"/>
    <x v="1"/>
    <x v="3"/>
  </r>
  <r>
    <n v="28"/>
    <s v="No"/>
    <x v="1"/>
    <n v="791"/>
    <x v="1"/>
    <n v="1"/>
    <n v="4"/>
    <s v="Medical"/>
    <n v="1286"/>
    <n v="4"/>
    <x v="1"/>
    <n v="44"/>
    <n v="3"/>
    <x v="1"/>
    <x v="2"/>
    <n v="3"/>
    <x v="0"/>
    <n v="2154"/>
    <n v="6842"/>
    <n v="0"/>
    <x v="0"/>
    <n v="11"/>
    <n v="3"/>
    <n v="3"/>
    <n v="0"/>
    <n v="5"/>
    <n v="2"/>
    <x v="2"/>
    <n v="4"/>
    <n v="2"/>
    <n v="0"/>
    <n v="2"/>
    <x v="2"/>
    <x v="2"/>
    <n v="0"/>
    <x v="0"/>
    <s v="Master"/>
    <x v="2"/>
    <x v="2"/>
  </r>
  <r>
    <n v="44"/>
    <s v="No"/>
    <x v="0"/>
    <n v="1199"/>
    <x v="1"/>
    <n v="4"/>
    <n v="2"/>
    <s v="Life Sciences"/>
    <n v="1288"/>
    <n v="3"/>
    <x v="1"/>
    <n v="92"/>
    <n v="4"/>
    <x v="4"/>
    <x v="5"/>
    <n v="1"/>
    <x v="2"/>
    <n v="19190"/>
    <n v="17477"/>
    <n v="1"/>
    <x v="1"/>
    <n v="14"/>
    <n v="3"/>
    <n v="4"/>
    <n v="2"/>
    <n v="26"/>
    <n v="4"/>
    <x v="2"/>
    <n v="25"/>
    <n v="9"/>
    <n v="14"/>
    <n v="13"/>
    <x v="0"/>
    <x v="0"/>
    <n v="0"/>
    <x v="0"/>
    <s v="College"/>
    <x v="3"/>
    <x v="2"/>
  </r>
  <r>
    <n v="34"/>
    <s v="No"/>
    <x v="1"/>
    <n v="648"/>
    <x v="2"/>
    <n v="11"/>
    <n v="3"/>
    <s v="Life Sciences"/>
    <n v="1289"/>
    <n v="3"/>
    <x v="1"/>
    <n v="56"/>
    <n v="2"/>
    <x v="0"/>
    <x v="8"/>
    <n v="2"/>
    <x v="1"/>
    <n v="4490"/>
    <n v="21833"/>
    <n v="4"/>
    <x v="1"/>
    <n v="11"/>
    <n v="3"/>
    <n v="4"/>
    <n v="2"/>
    <n v="14"/>
    <n v="5"/>
    <x v="3"/>
    <n v="10"/>
    <n v="9"/>
    <n v="1"/>
    <n v="8"/>
    <x v="2"/>
    <x v="0"/>
    <n v="0"/>
    <x v="1"/>
    <s v="Bachelor"/>
    <x v="1"/>
    <x v="3"/>
  </r>
  <r>
    <n v="35"/>
    <s v="No"/>
    <x v="0"/>
    <n v="735"/>
    <x v="1"/>
    <n v="6"/>
    <n v="1"/>
    <s v="Life Sciences"/>
    <n v="1291"/>
    <n v="3"/>
    <x v="1"/>
    <n v="66"/>
    <n v="3"/>
    <x v="1"/>
    <x v="1"/>
    <n v="3"/>
    <x v="1"/>
    <n v="3506"/>
    <n v="6020"/>
    <n v="0"/>
    <x v="0"/>
    <n v="14"/>
    <n v="3"/>
    <n v="4"/>
    <n v="0"/>
    <n v="4"/>
    <n v="3"/>
    <x v="1"/>
    <n v="3"/>
    <n v="2"/>
    <n v="2"/>
    <n v="2"/>
    <x v="2"/>
    <x v="2"/>
    <n v="0"/>
    <x v="2"/>
    <s v="Below College"/>
    <x v="2"/>
    <x v="1"/>
  </r>
  <r>
    <n v="42"/>
    <s v="No"/>
    <x v="0"/>
    <n v="603"/>
    <x v="1"/>
    <n v="7"/>
    <n v="4"/>
    <s v="Medical"/>
    <n v="1292"/>
    <n v="2"/>
    <x v="0"/>
    <n v="78"/>
    <n v="4"/>
    <x v="0"/>
    <x v="1"/>
    <n v="2"/>
    <x v="1"/>
    <n v="2372"/>
    <n v="5628"/>
    <n v="6"/>
    <x v="0"/>
    <n v="16"/>
    <n v="3"/>
    <n v="4"/>
    <n v="0"/>
    <n v="18"/>
    <n v="2"/>
    <x v="1"/>
    <n v="1"/>
    <n v="0"/>
    <n v="0"/>
    <n v="0"/>
    <x v="0"/>
    <x v="3"/>
    <n v="0"/>
    <x v="2"/>
    <s v="Master"/>
    <x v="1"/>
    <x v="1"/>
  </r>
  <r>
    <n v="43"/>
    <s v="No"/>
    <x v="0"/>
    <n v="531"/>
    <x v="0"/>
    <n v="4"/>
    <n v="4"/>
    <s v="Marketing"/>
    <n v="1293"/>
    <n v="4"/>
    <x v="0"/>
    <n v="56"/>
    <n v="2"/>
    <x v="2"/>
    <x v="0"/>
    <n v="4"/>
    <x v="0"/>
    <n v="10231"/>
    <n v="20364"/>
    <n v="3"/>
    <x v="1"/>
    <n v="14"/>
    <n v="3"/>
    <n v="4"/>
    <n v="0"/>
    <n v="23"/>
    <n v="3"/>
    <x v="3"/>
    <n v="21"/>
    <n v="7"/>
    <n v="15"/>
    <n v="17"/>
    <x v="0"/>
    <x v="0"/>
    <n v="0"/>
    <x v="3"/>
    <s v="Master"/>
    <x v="0"/>
    <x v="3"/>
  </r>
  <r>
    <n v="36"/>
    <s v="No"/>
    <x v="0"/>
    <n v="429"/>
    <x v="1"/>
    <n v="2"/>
    <n v="4"/>
    <s v="Life Sciences"/>
    <n v="1294"/>
    <n v="3"/>
    <x v="0"/>
    <n v="53"/>
    <n v="3"/>
    <x v="0"/>
    <x v="3"/>
    <n v="2"/>
    <x v="0"/>
    <n v="5410"/>
    <n v="2323"/>
    <n v="9"/>
    <x v="0"/>
    <n v="11"/>
    <n v="3"/>
    <n v="4"/>
    <n v="0"/>
    <n v="18"/>
    <n v="2"/>
    <x v="1"/>
    <n v="16"/>
    <n v="14"/>
    <n v="5"/>
    <n v="12"/>
    <x v="0"/>
    <x v="1"/>
    <n v="0"/>
    <x v="3"/>
    <s v="Master"/>
    <x v="1"/>
    <x v="1"/>
  </r>
  <r>
    <n v="44"/>
    <s v="Yes"/>
    <x v="0"/>
    <n v="621"/>
    <x v="1"/>
    <n v="15"/>
    <n v="3"/>
    <s v="Medical"/>
    <n v="1295"/>
    <n v="1"/>
    <x v="0"/>
    <n v="73"/>
    <n v="3"/>
    <x v="2"/>
    <x v="4"/>
    <n v="4"/>
    <x v="1"/>
    <n v="7978"/>
    <n v="14075"/>
    <n v="1"/>
    <x v="1"/>
    <n v="11"/>
    <n v="3"/>
    <n v="4"/>
    <n v="1"/>
    <n v="10"/>
    <n v="2"/>
    <x v="1"/>
    <n v="10"/>
    <n v="7"/>
    <n v="0"/>
    <n v="5"/>
    <x v="0"/>
    <x v="0"/>
    <n v="1"/>
    <x v="1"/>
    <s v="Bachelor"/>
    <x v="0"/>
    <x v="1"/>
  </r>
  <r>
    <n v="28"/>
    <s v="No"/>
    <x v="1"/>
    <n v="193"/>
    <x v="1"/>
    <n v="2"/>
    <n v="3"/>
    <s v="Life Sciences"/>
    <n v="1296"/>
    <n v="4"/>
    <x v="1"/>
    <n v="52"/>
    <n v="2"/>
    <x v="1"/>
    <x v="2"/>
    <n v="4"/>
    <x v="1"/>
    <n v="3867"/>
    <n v="14222"/>
    <n v="1"/>
    <x v="0"/>
    <n v="12"/>
    <n v="3"/>
    <n v="2"/>
    <n v="1"/>
    <n v="2"/>
    <n v="2"/>
    <x v="1"/>
    <n v="2"/>
    <n v="2"/>
    <n v="2"/>
    <n v="2"/>
    <x v="2"/>
    <x v="0"/>
    <n v="0"/>
    <x v="2"/>
    <s v="Bachelor"/>
    <x v="0"/>
    <x v="1"/>
  </r>
  <r>
    <n v="51"/>
    <s v="No"/>
    <x v="1"/>
    <n v="968"/>
    <x v="1"/>
    <n v="6"/>
    <n v="2"/>
    <s v="Medical"/>
    <n v="1297"/>
    <n v="2"/>
    <x v="0"/>
    <n v="40"/>
    <n v="2"/>
    <x v="1"/>
    <x v="2"/>
    <n v="3"/>
    <x v="0"/>
    <n v="2838"/>
    <n v="4257"/>
    <n v="0"/>
    <x v="1"/>
    <n v="14"/>
    <n v="3"/>
    <n v="2"/>
    <n v="0"/>
    <n v="8"/>
    <n v="6"/>
    <x v="2"/>
    <n v="7"/>
    <n v="0"/>
    <n v="7"/>
    <n v="7"/>
    <x v="1"/>
    <x v="3"/>
    <n v="0"/>
    <x v="0"/>
    <s v="College"/>
    <x v="2"/>
    <x v="2"/>
  </r>
  <r>
    <n v="30"/>
    <s v="No"/>
    <x v="2"/>
    <n v="879"/>
    <x v="1"/>
    <n v="9"/>
    <n v="2"/>
    <s v="Medical"/>
    <n v="1298"/>
    <n v="3"/>
    <x v="0"/>
    <n v="72"/>
    <n v="3"/>
    <x v="0"/>
    <x v="3"/>
    <n v="3"/>
    <x v="0"/>
    <n v="4695"/>
    <n v="12858"/>
    <n v="7"/>
    <x v="0"/>
    <n v="18"/>
    <n v="3"/>
    <n v="3"/>
    <n v="0"/>
    <n v="10"/>
    <n v="3"/>
    <x v="1"/>
    <n v="8"/>
    <n v="4"/>
    <n v="1"/>
    <n v="7"/>
    <x v="2"/>
    <x v="0"/>
    <n v="0"/>
    <x v="1"/>
    <s v="College"/>
    <x v="2"/>
    <x v="1"/>
  </r>
  <r>
    <n v="29"/>
    <s v="Yes"/>
    <x v="0"/>
    <n v="806"/>
    <x v="1"/>
    <n v="7"/>
    <n v="3"/>
    <s v="Technical Degree"/>
    <n v="1299"/>
    <n v="2"/>
    <x v="0"/>
    <n v="39"/>
    <n v="3"/>
    <x v="1"/>
    <x v="2"/>
    <n v="3"/>
    <x v="2"/>
    <n v="3339"/>
    <n v="17285"/>
    <n v="3"/>
    <x v="0"/>
    <n v="13"/>
    <n v="3"/>
    <n v="1"/>
    <n v="2"/>
    <n v="10"/>
    <n v="2"/>
    <x v="1"/>
    <n v="7"/>
    <n v="7"/>
    <n v="7"/>
    <n v="7"/>
    <x v="2"/>
    <x v="0"/>
    <n v="1"/>
    <x v="1"/>
    <s v="Bachelor"/>
    <x v="2"/>
    <x v="1"/>
  </r>
  <r>
    <n v="28"/>
    <s v="No"/>
    <x v="0"/>
    <n v="640"/>
    <x v="1"/>
    <n v="1"/>
    <n v="3"/>
    <s v="Technical Degree"/>
    <n v="1301"/>
    <n v="4"/>
    <x v="1"/>
    <n v="84"/>
    <n v="3"/>
    <x v="1"/>
    <x v="1"/>
    <n v="1"/>
    <x v="0"/>
    <n v="2080"/>
    <n v="4732"/>
    <n v="2"/>
    <x v="1"/>
    <n v="11"/>
    <n v="3"/>
    <n v="2"/>
    <n v="0"/>
    <n v="5"/>
    <n v="2"/>
    <x v="2"/>
    <n v="3"/>
    <n v="2"/>
    <n v="1"/>
    <n v="2"/>
    <x v="2"/>
    <x v="3"/>
    <n v="0"/>
    <x v="0"/>
    <s v="Bachelor"/>
    <x v="3"/>
    <x v="2"/>
  </r>
  <r>
    <n v="25"/>
    <s v="No"/>
    <x v="0"/>
    <n v="266"/>
    <x v="1"/>
    <n v="1"/>
    <n v="3"/>
    <s v="Medical"/>
    <n v="1303"/>
    <n v="4"/>
    <x v="0"/>
    <n v="40"/>
    <n v="3"/>
    <x v="1"/>
    <x v="1"/>
    <n v="2"/>
    <x v="0"/>
    <n v="2096"/>
    <n v="18830"/>
    <n v="1"/>
    <x v="1"/>
    <n v="18"/>
    <n v="3"/>
    <n v="4"/>
    <n v="0"/>
    <n v="2"/>
    <n v="3"/>
    <x v="2"/>
    <n v="2"/>
    <n v="2"/>
    <n v="2"/>
    <n v="1"/>
    <x v="3"/>
    <x v="0"/>
    <n v="0"/>
    <x v="0"/>
    <s v="Bachelor"/>
    <x v="1"/>
    <x v="2"/>
  </r>
  <r>
    <n v="32"/>
    <s v="No"/>
    <x v="0"/>
    <n v="604"/>
    <x v="0"/>
    <n v="8"/>
    <n v="3"/>
    <s v="Medical"/>
    <n v="1304"/>
    <n v="3"/>
    <x v="1"/>
    <n v="56"/>
    <n v="4"/>
    <x v="0"/>
    <x v="0"/>
    <n v="4"/>
    <x v="1"/>
    <n v="6209"/>
    <n v="11693"/>
    <n v="1"/>
    <x v="1"/>
    <n v="15"/>
    <n v="3"/>
    <n v="3"/>
    <n v="2"/>
    <n v="10"/>
    <n v="4"/>
    <x v="3"/>
    <n v="10"/>
    <n v="7"/>
    <n v="0"/>
    <n v="8"/>
    <x v="2"/>
    <x v="0"/>
    <n v="0"/>
    <x v="1"/>
    <s v="Bachelor"/>
    <x v="0"/>
    <x v="3"/>
  </r>
  <r>
    <n v="45"/>
    <s v="No"/>
    <x v="1"/>
    <n v="364"/>
    <x v="1"/>
    <n v="25"/>
    <n v="3"/>
    <s v="Medical"/>
    <n v="1306"/>
    <n v="2"/>
    <x v="0"/>
    <n v="83"/>
    <n v="3"/>
    <x v="4"/>
    <x v="5"/>
    <n v="2"/>
    <x v="0"/>
    <n v="18061"/>
    <n v="13035"/>
    <n v="3"/>
    <x v="1"/>
    <n v="22"/>
    <n v="4"/>
    <n v="3"/>
    <n v="0"/>
    <n v="22"/>
    <n v="4"/>
    <x v="1"/>
    <n v="0"/>
    <n v="0"/>
    <n v="0"/>
    <n v="0"/>
    <x v="0"/>
    <x v="0"/>
    <n v="0"/>
    <x v="2"/>
    <s v="Bachelor"/>
    <x v="1"/>
    <x v="1"/>
  </r>
  <r>
    <n v="39"/>
    <s v="No"/>
    <x v="0"/>
    <n v="412"/>
    <x v="1"/>
    <n v="13"/>
    <n v="4"/>
    <s v="Medical"/>
    <n v="1307"/>
    <n v="3"/>
    <x v="0"/>
    <n v="94"/>
    <n v="2"/>
    <x v="3"/>
    <x v="5"/>
    <n v="2"/>
    <x v="2"/>
    <n v="17123"/>
    <n v="17334"/>
    <n v="6"/>
    <x v="0"/>
    <n v="13"/>
    <n v="3"/>
    <n v="4"/>
    <n v="2"/>
    <n v="21"/>
    <n v="4"/>
    <x v="1"/>
    <n v="19"/>
    <n v="9"/>
    <n v="15"/>
    <n v="2"/>
    <x v="0"/>
    <x v="0"/>
    <n v="0"/>
    <x v="3"/>
    <s v="Master"/>
    <x v="1"/>
    <x v="1"/>
  </r>
  <r>
    <n v="58"/>
    <s v="No"/>
    <x v="0"/>
    <n v="848"/>
    <x v="1"/>
    <n v="23"/>
    <n v="4"/>
    <s v="Life Sciences"/>
    <n v="1308"/>
    <n v="1"/>
    <x v="1"/>
    <n v="88"/>
    <n v="3"/>
    <x v="1"/>
    <x v="1"/>
    <n v="3"/>
    <x v="2"/>
    <n v="2372"/>
    <n v="26076"/>
    <n v="1"/>
    <x v="1"/>
    <n v="12"/>
    <n v="3"/>
    <n v="4"/>
    <n v="2"/>
    <n v="2"/>
    <n v="3"/>
    <x v="1"/>
    <n v="2"/>
    <n v="2"/>
    <n v="2"/>
    <n v="2"/>
    <x v="1"/>
    <x v="0"/>
    <n v="0"/>
    <x v="2"/>
    <s v="Master"/>
    <x v="2"/>
    <x v="1"/>
  </r>
  <r>
    <n v="32"/>
    <s v="Yes"/>
    <x v="0"/>
    <n v="1089"/>
    <x v="1"/>
    <n v="7"/>
    <n v="2"/>
    <s v="Life Sciences"/>
    <n v="1309"/>
    <n v="4"/>
    <x v="1"/>
    <n v="79"/>
    <n v="3"/>
    <x v="0"/>
    <x v="2"/>
    <n v="3"/>
    <x v="1"/>
    <n v="4883"/>
    <n v="22845"/>
    <n v="1"/>
    <x v="1"/>
    <n v="18"/>
    <n v="3"/>
    <n v="1"/>
    <n v="1"/>
    <n v="10"/>
    <n v="3"/>
    <x v="1"/>
    <n v="10"/>
    <n v="4"/>
    <n v="1"/>
    <n v="1"/>
    <x v="2"/>
    <x v="0"/>
    <n v="1"/>
    <x v="1"/>
    <s v="College"/>
    <x v="2"/>
    <x v="1"/>
  </r>
  <r>
    <n v="39"/>
    <s v="Yes"/>
    <x v="0"/>
    <n v="360"/>
    <x v="1"/>
    <n v="23"/>
    <n v="3"/>
    <s v="Medical"/>
    <n v="1310"/>
    <n v="3"/>
    <x v="1"/>
    <n v="93"/>
    <n v="3"/>
    <x v="1"/>
    <x v="1"/>
    <n v="1"/>
    <x v="0"/>
    <n v="3904"/>
    <n v="22154"/>
    <n v="0"/>
    <x v="1"/>
    <n v="13"/>
    <n v="3"/>
    <n v="1"/>
    <n v="0"/>
    <n v="6"/>
    <n v="2"/>
    <x v="1"/>
    <n v="5"/>
    <n v="2"/>
    <n v="0"/>
    <n v="3"/>
    <x v="0"/>
    <x v="0"/>
    <n v="1"/>
    <x v="2"/>
    <s v="Bachelor"/>
    <x v="3"/>
    <x v="1"/>
  </r>
  <r>
    <n v="30"/>
    <s v="No"/>
    <x v="0"/>
    <n v="1138"/>
    <x v="1"/>
    <n v="6"/>
    <n v="3"/>
    <s v="Technical Degree"/>
    <n v="1311"/>
    <n v="1"/>
    <x v="0"/>
    <n v="48"/>
    <n v="2"/>
    <x v="0"/>
    <x v="2"/>
    <n v="4"/>
    <x v="1"/>
    <n v="4627"/>
    <n v="23631"/>
    <n v="0"/>
    <x v="1"/>
    <n v="12"/>
    <n v="3"/>
    <n v="1"/>
    <n v="1"/>
    <n v="10"/>
    <n v="6"/>
    <x v="1"/>
    <n v="9"/>
    <n v="2"/>
    <n v="6"/>
    <n v="7"/>
    <x v="2"/>
    <x v="0"/>
    <n v="0"/>
    <x v="1"/>
    <s v="Bachelor"/>
    <x v="0"/>
    <x v="1"/>
  </r>
  <r>
    <n v="36"/>
    <s v="No"/>
    <x v="0"/>
    <n v="325"/>
    <x v="1"/>
    <n v="10"/>
    <n v="4"/>
    <s v="Technical Degree"/>
    <n v="1312"/>
    <n v="4"/>
    <x v="0"/>
    <n v="63"/>
    <n v="3"/>
    <x v="2"/>
    <x v="4"/>
    <n v="3"/>
    <x v="1"/>
    <n v="7094"/>
    <n v="5747"/>
    <n v="3"/>
    <x v="1"/>
    <n v="12"/>
    <n v="3"/>
    <n v="1"/>
    <n v="0"/>
    <n v="10"/>
    <n v="0"/>
    <x v="1"/>
    <n v="7"/>
    <n v="7"/>
    <n v="1"/>
    <n v="7"/>
    <x v="0"/>
    <x v="3"/>
    <n v="0"/>
    <x v="1"/>
    <s v="Master"/>
    <x v="2"/>
    <x v="1"/>
  </r>
  <r>
    <n v="46"/>
    <s v="No"/>
    <x v="0"/>
    <n v="991"/>
    <x v="2"/>
    <n v="1"/>
    <n v="2"/>
    <s v="Life Sciences"/>
    <n v="1314"/>
    <n v="4"/>
    <x v="0"/>
    <n v="44"/>
    <n v="3"/>
    <x v="1"/>
    <x v="8"/>
    <n v="1"/>
    <x v="0"/>
    <n v="3423"/>
    <n v="22957"/>
    <n v="6"/>
    <x v="1"/>
    <n v="12"/>
    <n v="3"/>
    <n v="3"/>
    <n v="0"/>
    <n v="10"/>
    <n v="3"/>
    <x v="3"/>
    <n v="7"/>
    <n v="6"/>
    <n v="5"/>
    <n v="7"/>
    <x v="1"/>
    <x v="0"/>
    <n v="0"/>
    <x v="1"/>
    <s v="College"/>
    <x v="3"/>
    <x v="3"/>
  </r>
  <r>
    <n v="28"/>
    <s v="No"/>
    <x v="2"/>
    <n v="1476"/>
    <x v="1"/>
    <n v="1"/>
    <n v="3"/>
    <s v="Life Sciences"/>
    <n v="1315"/>
    <n v="3"/>
    <x v="0"/>
    <n v="55"/>
    <n v="1"/>
    <x v="0"/>
    <x v="2"/>
    <n v="4"/>
    <x v="1"/>
    <n v="6674"/>
    <n v="16392"/>
    <n v="0"/>
    <x v="1"/>
    <n v="11"/>
    <n v="3"/>
    <n v="1"/>
    <n v="3"/>
    <n v="10"/>
    <n v="6"/>
    <x v="1"/>
    <n v="9"/>
    <n v="8"/>
    <n v="7"/>
    <n v="5"/>
    <x v="2"/>
    <x v="0"/>
    <n v="0"/>
    <x v="1"/>
    <s v="Bachelor"/>
    <x v="0"/>
    <x v="1"/>
  </r>
  <r>
    <n v="50"/>
    <s v="No"/>
    <x v="0"/>
    <n v="1322"/>
    <x v="1"/>
    <n v="28"/>
    <n v="3"/>
    <s v="Life Sciences"/>
    <n v="1317"/>
    <n v="4"/>
    <x v="0"/>
    <n v="43"/>
    <n v="3"/>
    <x v="3"/>
    <x v="7"/>
    <n v="1"/>
    <x v="1"/>
    <n v="16880"/>
    <n v="22422"/>
    <n v="4"/>
    <x v="0"/>
    <n v="11"/>
    <n v="3"/>
    <n v="2"/>
    <n v="0"/>
    <n v="25"/>
    <n v="2"/>
    <x v="1"/>
    <n v="3"/>
    <n v="2"/>
    <n v="1"/>
    <n v="2"/>
    <x v="1"/>
    <x v="0"/>
    <n v="0"/>
    <x v="2"/>
    <s v="Bachelor"/>
    <x v="3"/>
    <x v="1"/>
  </r>
  <r>
    <n v="40"/>
    <s v="Yes"/>
    <x v="0"/>
    <n v="299"/>
    <x v="0"/>
    <n v="25"/>
    <n v="4"/>
    <s v="Marketing"/>
    <n v="1318"/>
    <n v="4"/>
    <x v="1"/>
    <n v="57"/>
    <n v="2"/>
    <x v="2"/>
    <x v="0"/>
    <n v="2"/>
    <x v="0"/>
    <n v="9094"/>
    <n v="17235"/>
    <n v="2"/>
    <x v="0"/>
    <n v="12"/>
    <n v="3"/>
    <n v="3"/>
    <n v="0"/>
    <n v="9"/>
    <n v="2"/>
    <x v="1"/>
    <n v="5"/>
    <n v="4"/>
    <n v="1"/>
    <n v="0"/>
    <x v="0"/>
    <x v="0"/>
    <n v="1"/>
    <x v="2"/>
    <s v="Master"/>
    <x v="1"/>
    <x v="1"/>
  </r>
  <r>
    <n v="52"/>
    <s v="Yes"/>
    <x v="0"/>
    <n v="1030"/>
    <x v="0"/>
    <n v="5"/>
    <n v="3"/>
    <s v="Life Sciences"/>
    <n v="1319"/>
    <n v="2"/>
    <x v="1"/>
    <n v="64"/>
    <n v="3"/>
    <x v="2"/>
    <x v="0"/>
    <n v="2"/>
    <x v="0"/>
    <n v="8446"/>
    <n v="21534"/>
    <n v="9"/>
    <x v="0"/>
    <n v="19"/>
    <n v="3"/>
    <n v="3"/>
    <n v="0"/>
    <n v="10"/>
    <n v="2"/>
    <x v="2"/>
    <n v="8"/>
    <n v="7"/>
    <n v="7"/>
    <n v="7"/>
    <x v="1"/>
    <x v="0"/>
    <n v="1"/>
    <x v="0"/>
    <s v="Bachelor"/>
    <x v="1"/>
    <x v="2"/>
  </r>
  <r>
    <n v="30"/>
    <s v="No"/>
    <x v="0"/>
    <n v="634"/>
    <x v="1"/>
    <n v="17"/>
    <n v="4"/>
    <s v="Medical"/>
    <n v="1321"/>
    <n v="2"/>
    <x v="0"/>
    <n v="95"/>
    <n v="3"/>
    <x v="2"/>
    <x v="5"/>
    <n v="1"/>
    <x v="1"/>
    <n v="11916"/>
    <n v="25927"/>
    <n v="1"/>
    <x v="0"/>
    <n v="23"/>
    <n v="4"/>
    <n v="4"/>
    <n v="2"/>
    <n v="9"/>
    <n v="2"/>
    <x v="1"/>
    <n v="9"/>
    <n v="1"/>
    <n v="0"/>
    <n v="8"/>
    <x v="2"/>
    <x v="0"/>
    <n v="0"/>
    <x v="1"/>
    <s v="Master"/>
    <x v="3"/>
    <x v="1"/>
  </r>
  <r>
    <n v="39"/>
    <s v="No"/>
    <x v="0"/>
    <n v="524"/>
    <x v="1"/>
    <n v="18"/>
    <n v="2"/>
    <s v="Life Sciences"/>
    <n v="1322"/>
    <n v="1"/>
    <x v="1"/>
    <n v="32"/>
    <n v="3"/>
    <x v="0"/>
    <x v="3"/>
    <n v="3"/>
    <x v="0"/>
    <n v="4534"/>
    <n v="13352"/>
    <n v="0"/>
    <x v="1"/>
    <n v="11"/>
    <n v="3"/>
    <n v="1"/>
    <n v="0"/>
    <n v="9"/>
    <n v="6"/>
    <x v="1"/>
    <n v="8"/>
    <n v="7"/>
    <n v="1"/>
    <n v="7"/>
    <x v="0"/>
    <x v="0"/>
    <n v="0"/>
    <x v="1"/>
    <s v="College"/>
    <x v="2"/>
    <x v="1"/>
  </r>
  <r>
    <n v="31"/>
    <s v="No"/>
    <x v="2"/>
    <n v="587"/>
    <x v="0"/>
    <n v="2"/>
    <n v="4"/>
    <s v="Life Sciences"/>
    <n v="1324"/>
    <n v="4"/>
    <x v="0"/>
    <n v="57"/>
    <n v="3"/>
    <x v="2"/>
    <x v="0"/>
    <n v="3"/>
    <x v="2"/>
    <n v="9852"/>
    <n v="8935"/>
    <n v="1"/>
    <x v="0"/>
    <n v="19"/>
    <n v="3"/>
    <n v="1"/>
    <n v="1"/>
    <n v="10"/>
    <n v="5"/>
    <x v="2"/>
    <n v="10"/>
    <n v="8"/>
    <n v="9"/>
    <n v="6"/>
    <x v="2"/>
    <x v="2"/>
    <n v="0"/>
    <x v="0"/>
    <s v="Master"/>
    <x v="2"/>
    <x v="2"/>
  </r>
  <r>
    <n v="41"/>
    <s v="No"/>
    <x v="2"/>
    <n v="256"/>
    <x v="0"/>
    <n v="10"/>
    <n v="2"/>
    <s v="Medical"/>
    <n v="1329"/>
    <n v="3"/>
    <x v="1"/>
    <n v="40"/>
    <n v="1"/>
    <x v="0"/>
    <x v="0"/>
    <n v="2"/>
    <x v="0"/>
    <n v="6151"/>
    <n v="22074"/>
    <n v="1"/>
    <x v="1"/>
    <n v="13"/>
    <n v="3"/>
    <n v="1"/>
    <n v="0"/>
    <n v="19"/>
    <n v="4"/>
    <x v="1"/>
    <n v="19"/>
    <n v="2"/>
    <n v="11"/>
    <n v="9"/>
    <x v="0"/>
    <x v="0"/>
    <n v="0"/>
    <x v="3"/>
    <s v="College"/>
    <x v="1"/>
    <x v="1"/>
  </r>
  <r>
    <n v="31"/>
    <s v="Yes"/>
    <x v="1"/>
    <n v="1060"/>
    <x v="0"/>
    <n v="1"/>
    <n v="3"/>
    <s v="Life Sciences"/>
    <n v="1331"/>
    <n v="4"/>
    <x v="0"/>
    <n v="54"/>
    <n v="3"/>
    <x v="1"/>
    <x v="6"/>
    <n v="2"/>
    <x v="0"/>
    <n v="2302"/>
    <n v="8319"/>
    <n v="1"/>
    <x v="0"/>
    <n v="11"/>
    <n v="3"/>
    <n v="1"/>
    <n v="0"/>
    <n v="3"/>
    <n v="2"/>
    <x v="3"/>
    <n v="3"/>
    <n v="2"/>
    <n v="2"/>
    <n v="2"/>
    <x v="2"/>
    <x v="2"/>
    <n v="1"/>
    <x v="2"/>
    <s v="Bachelor"/>
    <x v="1"/>
    <x v="3"/>
  </r>
  <r>
    <n v="44"/>
    <s v="Yes"/>
    <x v="0"/>
    <n v="935"/>
    <x v="1"/>
    <n v="3"/>
    <n v="3"/>
    <s v="Life Sciences"/>
    <n v="1333"/>
    <n v="1"/>
    <x v="1"/>
    <n v="89"/>
    <n v="3"/>
    <x v="1"/>
    <x v="2"/>
    <n v="1"/>
    <x v="1"/>
    <n v="2362"/>
    <n v="14669"/>
    <n v="4"/>
    <x v="1"/>
    <n v="12"/>
    <n v="3"/>
    <n v="3"/>
    <n v="0"/>
    <n v="10"/>
    <n v="4"/>
    <x v="3"/>
    <n v="3"/>
    <n v="2"/>
    <n v="1"/>
    <n v="2"/>
    <x v="0"/>
    <x v="0"/>
    <n v="1"/>
    <x v="2"/>
    <s v="Bachelor"/>
    <x v="3"/>
    <x v="3"/>
  </r>
  <r>
    <n v="42"/>
    <s v="No"/>
    <x v="2"/>
    <n v="495"/>
    <x v="1"/>
    <n v="2"/>
    <n v="1"/>
    <s v="Life Sciences"/>
    <n v="1334"/>
    <n v="3"/>
    <x v="1"/>
    <n v="37"/>
    <n v="3"/>
    <x v="3"/>
    <x v="5"/>
    <n v="3"/>
    <x v="1"/>
    <n v="17861"/>
    <n v="26582"/>
    <n v="0"/>
    <x v="0"/>
    <n v="13"/>
    <n v="3"/>
    <n v="4"/>
    <n v="0"/>
    <n v="21"/>
    <n v="3"/>
    <x v="2"/>
    <n v="20"/>
    <n v="8"/>
    <n v="2"/>
    <n v="10"/>
    <x v="0"/>
    <x v="0"/>
    <n v="0"/>
    <x v="0"/>
    <s v="Below College"/>
    <x v="2"/>
    <x v="2"/>
  </r>
  <r>
    <n v="55"/>
    <s v="No"/>
    <x v="0"/>
    <n v="282"/>
    <x v="1"/>
    <n v="2"/>
    <n v="2"/>
    <s v="Medical"/>
    <n v="1336"/>
    <n v="4"/>
    <x v="0"/>
    <n v="58"/>
    <n v="1"/>
    <x v="4"/>
    <x v="5"/>
    <n v="3"/>
    <x v="1"/>
    <n v="19187"/>
    <n v="6992"/>
    <n v="4"/>
    <x v="1"/>
    <n v="14"/>
    <n v="3"/>
    <n v="4"/>
    <n v="1"/>
    <n v="23"/>
    <n v="5"/>
    <x v="1"/>
    <n v="19"/>
    <n v="9"/>
    <n v="9"/>
    <n v="11"/>
    <x v="1"/>
    <x v="2"/>
    <n v="0"/>
    <x v="3"/>
    <s v="College"/>
    <x v="2"/>
    <x v="1"/>
  </r>
  <r>
    <n v="56"/>
    <s v="No"/>
    <x v="0"/>
    <n v="206"/>
    <x v="2"/>
    <n v="8"/>
    <n v="4"/>
    <s v="Life Sciences"/>
    <n v="1338"/>
    <n v="4"/>
    <x v="1"/>
    <n v="99"/>
    <n v="3"/>
    <x v="4"/>
    <x v="5"/>
    <n v="2"/>
    <x v="0"/>
    <n v="19717"/>
    <n v="4022"/>
    <n v="6"/>
    <x v="1"/>
    <n v="14"/>
    <n v="3"/>
    <n v="1"/>
    <n v="0"/>
    <n v="36"/>
    <n v="4"/>
    <x v="1"/>
    <n v="7"/>
    <n v="3"/>
    <n v="7"/>
    <n v="7"/>
    <x v="1"/>
    <x v="3"/>
    <n v="0"/>
    <x v="1"/>
    <s v="Master"/>
    <x v="1"/>
    <x v="1"/>
  </r>
  <r>
    <n v="40"/>
    <s v="No"/>
    <x v="2"/>
    <n v="458"/>
    <x v="1"/>
    <n v="16"/>
    <n v="2"/>
    <s v="Life Sciences"/>
    <n v="1340"/>
    <n v="3"/>
    <x v="1"/>
    <n v="74"/>
    <n v="3"/>
    <x v="1"/>
    <x v="1"/>
    <n v="3"/>
    <x v="2"/>
    <n v="3544"/>
    <n v="8532"/>
    <n v="9"/>
    <x v="1"/>
    <n v="16"/>
    <n v="3"/>
    <n v="2"/>
    <n v="1"/>
    <n v="6"/>
    <n v="0"/>
    <x v="1"/>
    <n v="4"/>
    <n v="2"/>
    <n v="0"/>
    <n v="0"/>
    <x v="0"/>
    <x v="2"/>
    <n v="0"/>
    <x v="2"/>
    <s v="College"/>
    <x v="2"/>
    <x v="1"/>
  </r>
  <r>
    <n v="34"/>
    <s v="No"/>
    <x v="0"/>
    <n v="943"/>
    <x v="1"/>
    <n v="9"/>
    <n v="3"/>
    <s v="Life Sciences"/>
    <n v="1344"/>
    <n v="4"/>
    <x v="1"/>
    <n v="86"/>
    <n v="3"/>
    <x v="2"/>
    <x v="4"/>
    <n v="4"/>
    <x v="2"/>
    <n v="8500"/>
    <n v="5494"/>
    <n v="0"/>
    <x v="1"/>
    <n v="11"/>
    <n v="3"/>
    <n v="4"/>
    <n v="1"/>
    <n v="10"/>
    <n v="0"/>
    <x v="2"/>
    <n v="9"/>
    <n v="7"/>
    <n v="1"/>
    <n v="6"/>
    <x v="2"/>
    <x v="3"/>
    <n v="0"/>
    <x v="0"/>
    <s v="Bachelor"/>
    <x v="0"/>
    <x v="2"/>
  </r>
  <r>
    <n v="40"/>
    <s v="No"/>
    <x v="0"/>
    <n v="523"/>
    <x v="1"/>
    <n v="2"/>
    <n v="3"/>
    <s v="Life Sciences"/>
    <n v="1346"/>
    <n v="3"/>
    <x v="1"/>
    <n v="98"/>
    <n v="3"/>
    <x v="0"/>
    <x v="1"/>
    <n v="4"/>
    <x v="0"/>
    <n v="4661"/>
    <n v="22455"/>
    <n v="1"/>
    <x v="1"/>
    <n v="13"/>
    <n v="3"/>
    <n v="3"/>
    <n v="0"/>
    <n v="9"/>
    <n v="4"/>
    <x v="1"/>
    <n v="9"/>
    <n v="8"/>
    <n v="8"/>
    <n v="8"/>
    <x v="0"/>
    <x v="0"/>
    <n v="0"/>
    <x v="1"/>
    <s v="Bachelor"/>
    <x v="0"/>
    <x v="1"/>
  </r>
  <r>
    <n v="41"/>
    <s v="No"/>
    <x v="1"/>
    <n v="1018"/>
    <x v="0"/>
    <n v="1"/>
    <n v="3"/>
    <s v="Marketing"/>
    <n v="1349"/>
    <n v="3"/>
    <x v="0"/>
    <n v="66"/>
    <n v="3"/>
    <x v="0"/>
    <x v="0"/>
    <n v="1"/>
    <x v="2"/>
    <n v="4103"/>
    <n v="4297"/>
    <n v="0"/>
    <x v="1"/>
    <n v="17"/>
    <n v="3"/>
    <n v="4"/>
    <n v="1"/>
    <n v="10"/>
    <n v="2"/>
    <x v="1"/>
    <n v="9"/>
    <n v="3"/>
    <n v="1"/>
    <n v="7"/>
    <x v="0"/>
    <x v="3"/>
    <n v="0"/>
    <x v="1"/>
    <s v="Bachelor"/>
    <x v="3"/>
    <x v="1"/>
  </r>
  <r>
    <n v="35"/>
    <s v="No"/>
    <x v="1"/>
    <n v="482"/>
    <x v="1"/>
    <n v="4"/>
    <n v="4"/>
    <s v="Life Sciences"/>
    <n v="1350"/>
    <n v="3"/>
    <x v="1"/>
    <n v="87"/>
    <n v="3"/>
    <x v="0"/>
    <x v="1"/>
    <n v="3"/>
    <x v="0"/>
    <n v="4249"/>
    <n v="2690"/>
    <n v="1"/>
    <x v="0"/>
    <n v="11"/>
    <n v="3"/>
    <n v="2"/>
    <n v="0"/>
    <n v="9"/>
    <n v="3"/>
    <x v="1"/>
    <n v="9"/>
    <n v="6"/>
    <n v="1"/>
    <n v="1"/>
    <x v="2"/>
    <x v="1"/>
    <n v="0"/>
    <x v="1"/>
    <s v="Master"/>
    <x v="2"/>
    <x v="1"/>
  </r>
  <r>
    <n v="51"/>
    <s v="No"/>
    <x v="0"/>
    <n v="770"/>
    <x v="2"/>
    <n v="5"/>
    <n v="3"/>
    <s v="Life Sciences"/>
    <n v="1352"/>
    <n v="3"/>
    <x v="1"/>
    <n v="84"/>
    <n v="3"/>
    <x v="3"/>
    <x v="5"/>
    <n v="2"/>
    <x v="2"/>
    <n v="14026"/>
    <n v="17588"/>
    <n v="1"/>
    <x v="0"/>
    <n v="11"/>
    <n v="3"/>
    <n v="2"/>
    <n v="1"/>
    <n v="33"/>
    <n v="2"/>
    <x v="1"/>
    <n v="33"/>
    <n v="9"/>
    <n v="0"/>
    <n v="10"/>
    <x v="1"/>
    <x v="0"/>
    <n v="0"/>
    <x v="3"/>
    <s v="Bachelor"/>
    <x v="1"/>
    <x v="1"/>
  </r>
  <r>
    <n v="38"/>
    <s v="No"/>
    <x v="0"/>
    <n v="1009"/>
    <x v="0"/>
    <n v="2"/>
    <n v="2"/>
    <s v="Life Sciences"/>
    <n v="1355"/>
    <n v="2"/>
    <x v="0"/>
    <n v="31"/>
    <n v="3"/>
    <x v="0"/>
    <x v="0"/>
    <n v="1"/>
    <x v="2"/>
    <n v="6893"/>
    <n v="19461"/>
    <n v="3"/>
    <x v="1"/>
    <n v="15"/>
    <n v="3"/>
    <n v="4"/>
    <n v="1"/>
    <n v="11"/>
    <n v="3"/>
    <x v="1"/>
    <n v="7"/>
    <n v="7"/>
    <n v="1"/>
    <n v="7"/>
    <x v="0"/>
    <x v="0"/>
    <n v="0"/>
    <x v="1"/>
    <s v="College"/>
    <x v="3"/>
    <x v="1"/>
  </r>
  <r>
    <n v="34"/>
    <s v="No"/>
    <x v="0"/>
    <n v="507"/>
    <x v="0"/>
    <n v="15"/>
    <n v="2"/>
    <s v="Medical"/>
    <n v="1356"/>
    <n v="3"/>
    <x v="0"/>
    <n v="66"/>
    <n v="3"/>
    <x v="0"/>
    <x v="0"/>
    <n v="1"/>
    <x v="0"/>
    <n v="6125"/>
    <n v="23553"/>
    <n v="1"/>
    <x v="1"/>
    <n v="12"/>
    <n v="3"/>
    <n v="4"/>
    <n v="0"/>
    <n v="10"/>
    <n v="6"/>
    <x v="3"/>
    <n v="10"/>
    <n v="8"/>
    <n v="9"/>
    <n v="6"/>
    <x v="2"/>
    <x v="0"/>
    <n v="0"/>
    <x v="1"/>
    <s v="College"/>
    <x v="3"/>
    <x v="3"/>
  </r>
  <r>
    <n v="25"/>
    <s v="No"/>
    <x v="0"/>
    <n v="882"/>
    <x v="1"/>
    <n v="19"/>
    <n v="1"/>
    <s v="Medical"/>
    <n v="1358"/>
    <n v="4"/>
    <x v="1"/>
    <n v="67"/>
    <n v="3"/>
    <x v="1"/>
    <x v="2"/>
    <n v="4"/>
    <x v="1"/>
    <n v="3669"/>
    <n v="9075"/>
    <n v="3"/>
    <x v="1"/>
    <n v="11"/>
    <n v="3"/>
    <n v="3"/>
    <n v="3"/>
    <n v="7"/>
    <n v="6"/>
    <x v="2"/>
    <n v="3"/>
    <n v="2"/>
    <n v="1"/>
    <n v="2"/>
    <x v="3"/>
    <x v="2"/>
    <n v="0"/>
    <x v="0"/>
    <s v="Below College"/>
    <x v="0"/>
    <x v="2"/>
  </r>
  <r>
    <n v="58"/>
    <s v="Yes"/>
    <x v="0"/>
    <n v="601"/>
    <x v="1"/>
    <n v="7"/>
    <n v="4"/>
    <s v="Medical"/>
    <n v="1360"/>
    <n v="3"/>
    <x v="0"/>
    <n v="53"/>
    <n v="2"/>
    <x v="2"/>
    <x v="3"/>
    <n v="1"/>
    <x v="1"/>
    <n v="10008"/>
    <n v="12023"/>
    <n v="7"/>
    <x v="0"/>
    <n v="14"/>
    <n v="3"/>
    <n v="4"/>
    <n v="0"/>
    <n v="31"/>
    <n v="0"/>
    <x v="2"/>
    <n v="10"/>
    <n v="9"/>
    <n v="5"/>
    <n v="9"/>
    <x v="1"/>
    <x v="0"/>
    <n v="1"/>
    <x v="0"/>
    <s v="Master"/>
    <x v="3"/>
    <x v="2"/>
  </r>
  <r>
    <n v="40"/>
    <s v="No"/>
    <x v="0"/>
    <n v="329"/>
    <x v="1"/>
    <n v="1"/>
    <n v="4"/>
    <s v="Life Sciences"/>
    <n v="1361"/>
    <n v="2"/>
    <x v="1"/>
    <n v="88"/>
    <n v="3"/>
    <x v="1"/>
    <x v="2"/>
    <n v="2"/>
    <x v="1"/>
    <n v="2387"/>
    <n v="6762"/>
    <n v="3"/>
    <x v="1"/>
    <n v="22"/>
    <n v="4"/>
    <n v="3"/>
    <n v="1"/>
    <n v="7"/>
    <n v="3"/>
    <x v="1"/>
    <n v="4"/>
    <n v="2"/>
    <n v="0"/>
    <n v="3"/>
    <x v="0"/>
    <x v="2"/>
    <n v="0"/>
    <x v="2"/>
    <s v="Master"/>
    <x v="1"/>
    <x v="1"/>
  </r>
  <r>
    <n v="36"/>
    <s v="No"/>
    <x v="1"/>
    <n v="607"/>
    <x v="0"/>
    <n v="7"/>
    <n v="3"/>
    <s v="Marketing"/>
    <n v="1362"/>
    <n v="1"/>
    <x v="0"/>
    <n v="83"/>
    <n v="4"/>
    <x v="0"/>
    <x v="0"/>
    <n v="1"/>
    <x v="1"/>
    <n v="4639"/>
    <n v="2261"/>
    <n v="2"/>
    <x v="1"/>
    <n v="16"/>
    <n v="3"/>
    <n v="4"/>
    <n v="1"/>
    <n v="17"/>
    <n v="2"/>
    <x v="2"/>
    <n v="15"/>
    <n v="7"/>
    <n v="6"/>
    <n v="13"/>
    <x v="0"/>
    <x v="1"/>
    <n v="0"/>
    <x v="0"/>
    <s v="Bachelor"/>
    <x v="3"/>
    <x v="2"/>
  </r>
  <r>
    <n v="48"/>
    <s v="No"/>
    <x v="0"/>
    <n v="855"/>
    <x v="1"/>
    <n v="4"/>
    <n v="3"/>
    <s v="Life Sciences"/>
    <n v="1363"/>
    <n v="4"/>
    <x v="1"/>
    <n v="54"/>
    <n v="3"/>
    <x v="2"/>
    <x v="3"/>
    <n v="4"/>
    <x v="0"/>
    <n v="7898"/>
    <n v="18706"/>
    <n v="1"/>
    <x v="1"/>
    <n v="11"/>
    <n v="3"/>
    <n v="3"/>
    <n v="0"/>
    <n v="11"/>
    <n v="2"/>
    <x v="1"/>
    <n v="10"/>
    <n v="9"/>
    <n v="0"/>
    <n v="8"/>
    <x v="1"/>
    <x v="0"/>
    <n v="0"/>
    <x v="1"/>
    <s v="Bachelor"/>
    <x v="0"/>
    <x v="1"/>
  </r>
  <r>
    <n v="27"/>
    <s v="No"/>
    <x v="0"/>
    <n v="1291"/>
    <x v="0"/>
    <n v="11"/>
    <n v="3"/>
    <s v="Medical"/>
    <n v="1364"/>
    <n v="3"/>
    <x v="0"/>
    <n v="98"/>
    <n v="4"/>
    <x v="1"/>
    <x v="6"/>
    <n v="4"/>
    <x v="1"/>
    <n v="2534"/>
    <n v="6527"/>
    <n v="8"/>
    <x v="1"/>
    <n v="14"/>
    <n v="3"/>
    <n v="2"/>
    <n v="1"/>
    <n v="5"/>
    <n v="4"/>
    <x v="1"/>
    <n v="1"/>
    <n v="0"/>
    <n v="0"/>
    <n v="0"/>
    <x v="2"/>
    <x v="2"/>
    <n v="0"/>
    <x v="2"/>
    <s v="Bachelor"/>
    <x v="0"/>
    <x v="1"/>
  </r>
  <r>
    <n v="51"/>
    <s v="No"/>
    <x v="0"/>
    <n v="1405"/>
    <x v="1"/>
    <n v="11"/>
    <n v="2"/>
    <s v="Technical Degree"/>
    <n v="1367"/>
    <n v="4"/>
    <x v="0"/>
    <n v="82"/>
    <n v="2"/>
    <x v="3"/>
    <x v="3"/>
    <n v="2"/>
    <x v="0"/>
    <n v="13142"/>
    <n v="24439"/>
    <n v="3"/>
    <x v="1"/>
    <n v="16"/>
    <n v="3"/>
    <n v="2"/>
    <n v="0"/>
    <n v="29"/>
    <n v="1"/>
    <x v="2"/>
    <n v="5"/>
    <n v="2"/>
    <n v="0"/>
    <n v="3"/>
    <x v="1"/>
    <x v="0"/>
    <n v="0"/>
    <x v="0"/>
    <s v="College"/>
    <x v="1"/>
    <x v="2"/>
  </r>
  <r>
    <n v="18"/>
    <s v="No"/>
    <x v="2"/>
    <n v="1124"/>
    <x v="1"/>
    <n v="1"/>
    <n v="3"/>
    <s v="Life Sciences"/>
    <n v="1368"/>
    <n v="4"/>
    <x v="0"/>
    <n v="97"/>
    <n v="3"/>
    <x v="1"/>
    <x v="2"/>
    <n v="4"/>
    <x v="0"/>
    <n v="1611"/>
    <n v="19305"/>
    <n v="1"/>
    <x v="1"/>
    <n v="15"/>
    <n v="3"/>
    <n v="3"/>
    <n v="0"/>
    <n v="0"/>
    <n v="5"/>
    <x v="3"/>
    <n v="0"/>
    <n v="0"/>
    <n v="0"/>
    <n v="0"/>
    <x v="3"/>
    <x v="0"/>
    <n v="0"/>
    <x v="2"/>
    <s v="Bachelor"/>
    <x v="0"/>
    <x v="3"/>
  </r>
  <r>
    <n v="35"/>
    <s v="No"/>
    <x v="0"/>
    <n v="817"/>
    <x v="1"/>
    <n v="1"/>
    <n v="3"/>
    <s v="Medical"/>
    <n v="1369"/>
    <n v="4"/>
    <x v="0"/>
    <n v="60"/>
    <n v="2"/>
    <x v="0"/>
    <x v="2"/>
    <n v="4"/>
    <x v="1"/>
    <n v="5363"/>
    <n v="10846"/>
    <n v="0"/>
    <x v="1"/>
    <n v="12"/>
    <n v="3"/>
    <n v="2"/>
    <n v="1"/>
    <n v="10"/>
    <n v="0"/>
    <x v="1"/>
    <n v="9"/>
    <n v="7"/>
    <n v="0"/>
    <n v="0"/>
    <x v="2"/>
    <x v="0"/>
    <n v="0"/>
    <x v="1"/>
    <s v="Bachelor"/>
    <x v="0"/>
    <x v="1"/>
  </r>
  <r>
    <n v="27"/>
    <s v="No"/>
    <x v="1"/>
    <n v="793"/>
    <x v="0"/>
    <n v="2"/>
    <n v="1"/>
    <s v="Life Sciences"/>
    <n v="1371"/>
    <n v="4"/>
    <x v="1"/>
    <n v="43"/>
    <n v="1"/>
    <x v="0"/>
    <x v="0"/>
    <n v="4"/>
    <x v="0"/>
    <n v="5071"/>
    <n v="20392"/>
    <n v="3"/>
    <x v="1"/>
    <n v="20"/>
    <n v="4"/>
    <n v="2"/>
    <n v="0"/>
    <n v="8"/>
    <n v="3"/>
    <x v="1"/>
    <n v="6"/>
    <n v="2"/>
    <n v="0"/>
    <n v="0"/>
    <x v="2"/>
    <x v="0"/>
    <n v="0"/>
    <x v="1"/>
    <s v="Below College"/>
    <x v="0"/>
    <x v="1"/>
  </r>
  <r>
    <n v="55"/>
    <s v="Yes"/>
    <x v="0"/>
    <n v="267"/>
    <x v="0"/>
    <n v="13"/>
    <n v="4"/>
    <s v="Marketing"/>
    <n v="1372"/>
    <n v="1"/>
    <x v="1"/>
    <n v="85"/>
    <n v="4"/>
    <x v="3"/>
    <x v="0"/>
    <n v="3"/>
    <x v="0"/>
    <n v="13695"/>
    <n v="9277"/>
    <n v="6"/>
    <x v="0"/>
    <n v="17"/>
    <n v="3"/>
    <n v="3"/>
    <n v="0"/>
    <n v="24"/>
    <n v="2"/>
    <x v="2"/>
    <n v="19"/>
    <n v="7"/>
    <n v="3"/>
    <n v="8"/>
    <x v="1"/>
    <x v="2"/>
    <n v="1"/>
    <x v="0"/>
    <s v="Master"/>
    <x v="2"/>
    <x v="2"/>
  </r>
  <r>
    <n v="56"/>
    <s v="No"/>
    <x v="0"/>
    <n v="1369"/>
    <x v="1"/>
    <n v="23"/>
    <n v="3"/>
    <s v="Life Sciences"/>
    <n v="1373"/>
    <n v="4"/>
    <x v="1"/>
    <n v="68"/>
    <n v="3"/>
    <x v="3"/>
    <x v="3"/>
    <n v="2"/>
    <x v="1"/>
    <n v="13402"/>
    <n v="18235"/>
    <n v="4"/>
    <x v="0"/>
    <n v="12"/>
    <n v="3"/>
    <n v="1"/>
    <n v="1"/>
    <n v="33"/>
    <n v="0"/>
    <x v="1"/>
    <n v="19"/>
    <n v="16"/>
    <n v="15"/>
    <n v="9"/>
    <x v="1"/>
    <x v="0"/>
    <n v="0"/>
    <x v="3"/>
    <s v="Bachelor"/>
    <x v="1"/>
    <x v="1"/>
  </r>
  <r>
    <n v="34"/>
    <s v="No"/>
    <x v="2"/>
    <n v="999"/>
    <x v="1"/>
    <n v="26"/>
    <n v="1"/>
    <s v="Technical Degree"/>
    <n v="1374"/>
    <n v="1"/>
    <x v="0"/>
    <n v="92"/>
    <n v="2"/>
    <x v="1"/>
    <x v="1"/>
    <n v="3"/>
    <x v="2"/>
    <n v="2029"/>
    <n v="15891"/>
    <n v="1"/>
    <x v="1"/>
    <n v="20"/>
    <n v="4"/>
    <n v="3"/>
    <n v="3"/>
    <n v="5"/>
    <n v="2"/>
    <x v="1"/>
    <n v="5"/>
    <n v="4"/>
    <n v="0"/>
    <n v="0"/>
    <x v="2"/>
    <x v="0"/>
    <n v="0"/>
    <x v="2"/>
    <s v="Below College"/>
    <x v="2"/>
    <x v="1"/>
  </r>
  <r>
    <n v="40"/>
    <s v="No"/>
    <x v="0"/>
    <n v="1202"/>
    <x v="1"/>
    <n v="2"/>
    <n v="1"/>
    <s v="Medical"/>
    <n v="1375"/>
    <n v="2"/>
    <x v="0"/>
    <n v="89"/>
    <n v="4"/>
    <x v="0"/>
    <x v="4"/>
    <n v="3"/>
    <x v="2"/>
    <n v="6377"/>
    <n v="13888"/>
    <n v="5"/>
    <x v="1"/>
    <n v="20"/>
    <n v="4"/>
    <n v="2"/>
    <n v="3"/>
    <n v="15"/>
    <n v="0"/>
    <x v="1"/>
    <n v="12"/>
    <n v="11"/>
    <n v="11"/>
    <n v="8"/>
    <x v="0"/>
    <x v="0"/>
    <n v="0"/>
    <x v="3"/>
    <s v="Below College"/>
    <x v="2"/>
    <x v="1"/>
  </r>
  <r>
    <n v="34"/>
    <s v="No"/>
    <x v="0"/>
    <n v="285"/>
    <x v="1"/>
    <n v="29"/>
    <n v="3"/>
    <s v="Medical"/>
    <n v="1377"/>
    <n v="2"/>
    <x v="1"/>
    <n v="86"/>
    <n v="3"/>
    <x v="0"/>
    <x v="2"/>
    <n v="3"/>
    <x v="1"/>
    <n v="5429"/>
    <n v="17491"/>
    <n v="4"/>
    <x v="1"/>
    <n v="13"/>
    <n v="3"/>
    <n v="1"/>
    <n v="2"/>
    <n v="10"/>
    <n v="1"/>
    <x v="1"/>
    <n v="8"/>
    <n v="7"/>
    <n v="7"/>
    <n v="7"/>
    <x v="2"/>
    <x v="0"/>
    <n v="0"/>
    <x v="1"/>
    <s v="Bachelor"/>
    <x v="2"/>
    <x v="1"/>
  </r>
  <r>
    <n v="31"/>
    <s v="Yes"/>
    <x v="1"/>
    <n v="703"/>
    <x v="0"/>
    <n v="2"/>
    <n v="3"/>
    <s v="Life Sciences"/>
    <n v="1379"/>
    <n v="3"/>
    <x v="0"/>
    <n v="90"/>
    <n v="2"/>
    <x v="1"/>
    <x v="6"/>
    <n v="4"/>
    <x v="0"/>
    <n v="2785"/>
    <n v="11882"/>
    <n v="7"/>
    <x v="1"/>
    <n v="14"/>
    <n v="3"/>
    <n v="3"/>
    <n v="0"/>
    <n v="3"/>
    <n v="3"/>
    <x v="3"/>
    <n v="1"/>
    <n v="0"/>
    <n v="0"/>
    <n v="0"/>
    <x v="2"/>
    <x v="0"/>
    <n v="1"/>
    <x v="2"/>
    <s v="Bachelor"/>
    <x v="0"/>
    <x v="3"/>
  </r>
  <r>
    <n v="35"/>
    <s v="Yes"/>
    <x v="1"/>
    <n v="662"/>
    <x v="0"/>
    <n v="18"/>
    <n v="4"/>
    <s v="Marketing"/>
    <n v="1380"/>
    <n v="4"/>
    <x v="0"/>
    <n v="67"/>
    <n v="3"/>
    <x v="0"/>
    <x v="0"/>
    <n v="3"/>
    <x v="1"/>
    <n v="4614"/>
    <n v="23288"/>
    <n v="0"/>
    <x v="0"/>
    <n v="18"/>
    <n v="3"/>
    <n v="3"/>
    <n v="1"/>
    <n v="5"/>
    <n v="0"/>
    <x v="2"/>
    <n v="4"/>
    <n v="2"/>
    <n v="3"/>
    <n v="2"/>
    <x v="2"/>
    <x v="0"/>
    <n v="1"/>
    <x v="0"/>
    <s v="Master"/>
    <x v="2"/>
    <x v="2"/>
  </r>
  <r>
    <n v="38"/>
    <s v="No"/>
    <x v="1"/>
    <n v="693"/>
    <x v="1"/>
    <n v="7"/>
    <n v="3"/>
    <s v="Life Sciences"/>
    <n v="1382"/>
    <n v="4"/>
    <x v="1"/>
    <n v="57"/>
    <n v="4"/>
    <x v="1"/>
    <x v="1"/>
    <n v="3"/>
    <x v="2"/>
    <n v="2610"/>
    <n v="15748"/>
    <n v="1"/>
    <x v="1"/>
    <n v="11"/>
    <n v="3"/>
    <n v="4"/>
    <n v="3"/>
    <n v="4"/>
    <n v="2"/>
    <x v="1"/>
    <n v="4"/>
    <n v="2"/>
    <n v="0"/>
    <n v="3"/>
    <x v="0"/>
    <x v="0"/>
    <n v="0"/>
    <x v="2"/>
    <s v="Bachelor"/>
    <x v="2"/>
    <x v="1"/>
  </r>
  <r>
    <n v="34"/>
    <s v="No"/>
    <x v="0"/>
    <n v="404"/>
    <x v="1"/>
    <n v="2"/>
    <n v="4"/>
    <s v="Technical Degree"/>
    <n v="1383"/>
    <n v="3"/>
    <x v="0"/>
    <n v="98"/>
    <n v="3"/>
    <x v="0"/>
    <x v="4"/>
    <n v="4"/>
    <x v="0"/>
    <n v="6687"/>
    <n v="6163"/>
    <n v="1"/>
    <x v="1"/>
    <n v="11"/>
    <n v="3"/>
    <n v="4"/>
    <n v="0"/>
    <n v="14"/>
    <n v="2"/>
    <x v="3"/>
    <n v="14"/>
    <n v="11"/>
    <n v="4"/>
    <n v="11"/>
    <x v="2"/>
    <x v="2"/>
    <n v="0"/>
    <x v="3"/>
    <s v="Master"/>
    <x v="0"/>
    <x v="3"/>
  </r>
  <r>
    <n v="28"/>
    <s v="No"/>
    <x v="0"/>
    <n v="736"/>
    <x v="0"/>
    <n v="26"/>
    <n v="3"/>
    <s v="Life Sciences"/>
    <n v="1387"/>
    <n v="3"/>
    <x v="1"/>
    <n v="48"/>
    <n v="2"/>
    <x v="0"/>
    <x v="0"/>
    <n v="1"/>
    <x v="1"/>
    <n v="4724"/>
    <n v="24232"/>
    <n v="1"/>
    <x v="1"/>
    <n v="11"/>
    <n v="3"/>
    <n v="3"/>
    <n v="1"/>
    <n v="5"/>
    <n v="0"/>
    <x v="1"/>
    <n v="5"/>
    <n v="3"/>
    <n v="0"/>
    <n v="4"/>
    <x v="2"/>
    <x v="0"/>
    <n v="0"/>
    <x v="2"/>
    <s v="Bachelor"/>
    <x v="3"/>
    <x v="1"/>
  </r>
  <r>
    <n v="31"/>
    <s v="Yes"/>
    <x v="0"/>
    <n v="330"/>
    <x v="1"/>
    <n v="22"/>
    <n v="4"/>
    <s v="Medical"/>
    <n v="1389"/>
    <n v="4"/>
    <x v="1"/>
    <n v="98"/>
    <n v="3"/>
    <x v="0"/>
    <x v="3"/>
    <n v="3"/>
    <x v="1"/>
    <n v="6179"/>
    <n v="21057"/>
    <n v="1"/>
    <x v="0"/>
    <n v="15"/>
    <n v="3"/>
    <n v="4"/>
    <n v="2"/>
    <n v="10"/>
    <n v="3"/>
    <x v="2"/>
    <n v="10"/>
    <n v="2"/>
    <n v="6"/>
    <n v="7"/>
    <x v="2"/>
    <x v="0"/>
    <n v="1"/>
    <x v="0"/>
    <s v="Master"/>
    <x v="2"/>
    <x v="2"/>
  </r>
  <r>
    <n v="39"/>
    <s v="No"/>
    <x v="0"/>
    <n v="1498"/>
    <x v="0"/>
    <n v="21"/>
    <n v="4"/>
    <s v="Life Sciences"/>
    <n v="1390"/>
    <n v="1"/>
    <x v="1"/>
    <n v="44"/>
    <n v="2"/>
    <x v="0"/>
    <x v="0"/>
    <n v="4"/>
    <x v="1"/>
    <n v="6120"/>
    <n v="3567"/>
    <n v="3"/>
    <x v="0"/>
    <n v="12"/>
    <n v="3"/>
    <n v="4"/>
    <n v="2"/>
    <n v="8"/>
    <n v="2"/>
    <x v="3"/>
    <n v="5"/>
    <n v="4"/>
    <n v="1"/>
    <n v="4"/>
    <x v="0"/>
    <x v="3"/>
    <n v="0"/>
    <x v="2"/>
    <s v="Master"/>
    <x v="0"/>
    <x v="3"/>
  </r>
  <r>
    <n v="51"/>
    <s v="No"/>
    <x v="1"/>
    <n v="541"/>
    <x v="0"/>
    <n v="2"/>
    <n v="3"/>
    <s v="Marketing"/>
    <n v="1391"/>
    <n v="2"/>
    <x v="1"/>
    <n v="52"/>
    <n v="3"/>
    <x v="2"/>
    <x v="0"/>
    <n v="2"/>
    <x v="1"/>
    <n v="10596"/>
    <n v="15395"/>
    <n v="2"/>
    <x v="1"/>
    <n v="11"/>
    <n v="3"/>
    <n v="2"/>
    <n v="0"/>
    <n v="14"/>
    <n v="5"/>
    <x v="1"/>
    <n v="4"/>
    <n v="2"/>
    <n v="3"/>
    <n v="2"/>
    <x v="1"/>
    <x v="0"/>
    <n v="0"/>
    <x v="2"/>
    <s v="Bachelor"/>
    <x v="1"/>
    <x v="1"/>
  </r>
  <r>
    <n v="41"/>
    <s v="No"/>
    <x v="1"/>
    <n v="1200"/>
    <x v="1"/>
    <n v="22"/>
    <n v="3"/>
    <s v="Life Sciences"/>
    <n v="1392"/>
    <n v="4"/>
    <x v="0"/>
    <n v="75"/>
    <n v="3"/>
    <x v="0"/>
    <x v="1"/>
    <n v="4"/>
    <x v="2"/>
    <n v="5467"/>
    <n v="13953"/>
    <n v="3"/>
    <x v="0"/>
    <n v="14"/>
    <n v="3"/>
    <n v="1"/>
    <n v="2"/>
    <n v="12"/>
    <n v="4"/>
    <x v="2"/>
    <n v="6"/>
    <n v="2"/>
    <n v="3"/>
    <n v="3"/>
    <x v="0"/>
    <x v="0"/>
    <n v="0"/>
    <x v="0"/>
    <s v="Bachelor"/>
    <x v="0"/>
    <x v="2"/>
  </r>
  <r>
    <n v="37"/>
    <s v="No"/>
    <x v="0"/>
    <n v="1439"/>
    <x v="1"/>
    <n v="4"/>
    <n v="1"/>
    <s v="Life Sciences"/>
    <n v="1394"/>
    <n v="3"/>
    <x v="1"/>
    <n v="54"/>
    <n v="3"/>
    <x v="1"/>
    <x v="1"/>
    <n v="3"/>
    <x v="1"/>
    <n v="2996"/>
    <n v="5182"/>
    <n v="7"/>
    <x v="0"/>
    <n v="15"/>
    <n v="3"/>
    <n v="4"/>
    <n v="0"/>
    <n v="8"/>
    <n v="2"/>
    <x v="1"/>
    <n v="6"/>
    <n v="4"/>
    <n v="1"/>
    <n v="3"/>
    <x v="0"/>
    <x v="3"/>
    <n v="0"/>
    <x v="1"/>
    <s v="Below College"/>
    <x v="2"/>
    <x v="1"/>
  </r>
  <r>
    <n v="33"/>
    <s v="No"/>
    <x v="1"/>
    <n v="1111"/>
    <x v="0"/>
    <n v="5"/>
    <n v="1"/>
    <s v="Life Sciences"/>
    <n v="1395"/>
    <n v="2"/>
    <x v="1"/>
    <n v="61"/>
    <n v="3"/>
    <x v="0"/>
    <x v="0"/>
    <n v="4"/>
    <x v="1"/>
    <n v="9998"/>
    <n v="19293"/>
    <n v="6"/>
    <x v="1"/>
    <n v="13"/>
    <n v="3"/>
    <n v="1"/>
    <n v="0"/>
    <n v="8"/>
    <n v="2"/>
    <x v="3"/>
    <n v="5"/>
    <n v="4"/>
    <n v="1"/>
    <n v="2"/>
    <x v="2"/>
    <x v="0"/>
    <n v="0"/>
    <x v="2"/>
    <s v="Below College"/>
    <x v="0"/>
    <x v="3"/>
  </r>
  <r>
    <n v="32"/>
    <s v="No"/>
    <x v="0"/>
    <n v="499"/>
    <x v="0"/>
    <n v="2"/>
    <n v="1"/>
    <s v="Marketing"/>
    <n v="1396"/>
    <n v="3"/>
    <x v="1"/>
    <n v="36"/>
    <n v="3"/>
    <x v="0"/>
    <x v="0"/>
    <n v="2"/>
    <x v="1"/>
    <n v="4078"/>
    <n v="20497"/>
    <n v="0"/>
    <x v="0"/>
    <n v="13"/>
    <n v="3"/>
    <n v="1"/>
    <n v="3"/>
    <n v="4"/>
    <n v="3"/>
    <x v="2"/>
    <n v="3"/>
    <n v="2"/>
    <n v="1"/>
    <n v="2"/>
    <x v="2"/>
    <x v="0"/>
    <n v="0"/>
    <x v="0"/>
    <s v="Below College"/>
    <x v="1"/>
    <x v="2"/>
  </r>
  <r>
    <n v="39"/>
    <s v="No"/>
    <x v="2"/>
    <n v="1485"/>
    <x v="1"/>
    <n v="25"/>
    <n v="2"/>
    <s v="Life Sciences"/>
    <n v="1397"/>
    <n v="3"/>
    <x v="1"/>
    <n v="71"/>
    <n v="3"/>
    <x v="2"/>
    <x v="4"/>
    <n v="3"/>
    <x v="1"/>
    <n v="10920"/>
    <n v="3449"/>
    <n v="3"/>
    <x v="1"/>
    <n v="21"/>
    <n v="4"/>
    <n v="2"/>
    <n v="1"/>
    <n v="13"/>
    <n v="2"/>
    <x v="1"/>
    <n v="6"/>
    <n v="4"/>
    <n v="0"/>
    <n v="5"/>
    <x v="0"/>
    <x v="3"/>
    <n v="0"/>
    <x v="1"/>
    <s v="College"/>
    <x v="2"/>
    <x v="1"/>
  </r>
  <r>
    <n v="25"/>
    <s v="No"/>
    <x v="0"/>
    <n v="1372"/>
    <x v="0"/>
    <n v="18"/>
    <n v="1"/>
    <s v="Life Sciences"/>
    <n v="1399"/>
    <n v="1"/>
    <x v="1"/>
    <n v="93"/>
    <n v="4"/>
    <x v="0"/>
    <x v="0"/>
    <n v="3"/>
    <x v="1"/>
    <n v="6232"/>
    <n v="12477"/>
    <n v="2"/>
    <x v="1"/>
    <n v="11"/>
    <n v="3"/>
    <n v="2"/>
    <n v="0"/>
    <n v="6"/>
    <n v="3"/>
    <x v="2"/>
    <n v="3"/>
    <n v="2"/>
    <n v="1"/>
    <n v="2"/>
    <x v="3"/>
    <x v="0"/>
    <n v="0"/>
    <x v="0"/>
    <s v="Below College"/>
    <x v="2"/>
    <x v="2"/>
  </r>
  <r>
    <n v="52"/>
    <s v="No"/>
    <x v="1"/>
    <n v="322"/>
    <x v="1"/>
    <n v="28"/>
    <n v="2"/>
    <s v="Medical"/>
    <n v="1401"/>
    <n v="4"/>
    <x v="0"/>
    <n v="59"/>
    <n v="4"/>
    <x v="3"/>
    <x v="3"/>
    <n v="3"/>
    <x v="1"/>
    <n v="13247"/>
    <n v="9731"/>
    <n v="2"/>
    <x v="0"/>
    <n v="11"/>
    <n v="3"/>
    <n v="2"/>
    <n v="1"/>
    <n v="24"/>
    <n v="3"/>
    <x v="2"/>
    <n v="5"/>
    <n v="3"/>
    <n v="0"/>
    <n v="2"/>
    <x v="1"/>
    <x v="2"/>
    <n v="0"/>
    <x v="0"/>
    <s v="College"/>
    <x v="2"/>
    <x v="2"/>
  </r>
  <r>
    <n v="43"/>
    <s v="No"/>
    <x v="0"/>
    <n v="930"/>
    <x v="1"/>
    <n v="6"/>
    <n v="3"/>
    <s v="Medical"/>
    <n v="1402"/>
    <n v="1"/>
    <x v="0"/>
    <n v="73"/>
    <n v="2"/>
    <x v="0"/>
    <x v="1"/>
    <n v="3"/>
    <x v="0"/>
    <n v="4081"/>
    <n v="20003"/>
    <n v="1"/>
    <x v="0"/>
    <n v="14"/>
    <n v="3"/>
    <n v="1"/>
    <n v="0"/>
    <n v="20"/>
    <n v="3"/>
    <x v="0"/>
    <n v="20"/>
    <n v="7"/>
    <n v="1"/>
    <n v="8"/>
    <x v="0"/>
    <x v="0"/>
    <n v="0"/>
    <x v="0"/>
    <s v="Bachelor"/>
    <x v="2"/>
    <x v="0"/>
  </r>
  <r>
    <n v="27"/>
    <s v="No"/>
    <x v="0"/>
    <n v="205"/>
    <x v="0"/>
    <n v="10"/>
    <n v="3"/>
    <s v="Marketing"/>
    <n v="1403"/>
    <n v="4"/>
    <x v="0"/>
    <n v="98"/>
    <n v="2"/>
    <x v="0"/>
    <x v="0"/>
    <n v="4"/>
    <x v="1"/>
    <n v="5769"/>
    <n v="7100"/>
    <n v="1"/>
    <x v="0"/>
    <n v="11"/>
    <n v="3"/>
    <n v="4"/>
    <n v="0"/>
    <n v="6"/>
    <n v="3"/>
    <x v="1"/>
    <n v="6"/>
    <n v="2"/>
    <n v="4"/>
    <n v="4"/>
    <x v="2"/>
    <x v="2"/>
    <n v="0"/>
    <x v="1"/>
    <s v="Bachelor"/>
    <x v="0"/>
    <x v="1"/>
  </r>
  <r>
    <n v="27"/>
    <s v="Yes"/>
    <x v="0"/>
    <n v="135"/>
    <x v="1"/>
    <n v="17"/>
    <n v="4"/>
    <s v="Life Sciences"/>
    <n v="1405"/>
    <n v="4"/>
    <x v="0"/>
    <n v="51"/>
    <n v="3"/>
    <x v="1"/>
    <x v="1"/>
    <n v="3"/>
    <x v="0"/>
    <n v="2394"/>
    <n v="25681"/>
    <n v="1"/>
    <x v="0"/>
    <n v="13"/>
    <n v="3"/>
    <n v="4"/>
    <n v="0"/>
    <n v="8"/>
    <n v="2"/>
    <x v="1"/>
    <n v="8"/>
    <n v="2"/>
    <n v="7"/>
    <n v="7"/>
    <x v="2"/>
    <x v="0"/>
    <n v="1"/>
    <x v="1"/>
    <s v="Master"/>
    <x v="2"/>
    <x v="1"/>
  </r>
  <r>
    <n v="26"/>
    <s v="No"/>
    <x v="0"/>
    <n v="683"/>
    <x v="1"/>
    <n v="2"/>
    <n v="1"/>
    <s v="Medical"/>
    <n v="1407"/>
    <n v="1"/>
    <x v="1"/>
    <n v="36"/>
    <n v="2"/>
    <x v="1"/>
    <x v="1"/>
    <n v="4"/>
    <x v="0"/>
    <n v="3904"/>
    <n v="4050"/>
    <n v="0"/>
    <x v="1"/>
    <n v="12"/>
    <n v="3"/>
    <n v="4"/>
    <n v="0"/>
    <n v="5"/>
    <n v="2"/>
    <x v="1"/>
    <n v="4"/>
    <n v="3"/>
    <n v="1"/>
    <n v="1"/>
    <x v="2"/>
    <x v="3"/>
    <n v="0"/>
    <x v="2"/>
    <s v="Below College"/>
    <x v="0"/>
    <x v="1"/>
  </r>
  <r>
    <n v="42"/>
    <s v="No"/>
    <x v="0"/>
    <n v="1147"/>
    <x v="2"/>
    <n v="10"/>
    <n v="3"/>
    <s v="Human Resources"/>
    <n v="1408"/>
    <n v="3"/>
    <x v="0"/>
    <n v="31"/>
    <n v="3"/>
    <x v="3"/>
    <x v="5"/>
    <n v="1"/>
    <x v="1"/>
    <n v="16799"/>
    <n v="16616"/>
    <n v="0"/>
    <x v="1"/>
    <n v="14"/>
    <n v="3"/>
    <n v="3"/>
    <n v="1"/>
    <n v="21"/>
    <n v="5"/>
    <x v="1"/>
    <n v="20"/>
    <n v="7"/>
    <n v="0"/>
    <n v="9"/>
    <x v="0"/>
    <x v="0"/>
    <n v="0"/>
    <x v="3"/>
    <s v="Bachelor"/>
    <x v="3"/>
    <x v="1"/>
  </r>
  <r>
    <n v="52"/>
    <s v="No"/>
    <x v="0"/>
    <n v="258"/>
    <x v="1"/>
    <n v="8"/>
    <n v="4"/>
    <s v="Other"/>
    <n v="1409"/>
    <n v="3"/>
    <x v="0"/>
    <n v="54"/>
    <n v="3"/>
    <x v="1"/>
    <x v="2"/>
    <n v="1"/>
    <x v="1"/>
    <n v="2950"/>
    <n v="17363"/>
    <n v="9"/>
    <x v="1"/>
    <n v="13"/>
    <n v="3"/>
    <n v="3"/>
    <n v="0"/>
    <n v="12"/>
    <n v="2"/>
    <x v="0"/>
    <n v="5"/>
    <n v="4"/>
    <n v="0"/>
    <n v="4"/>
    <x v="1"/>
    <x v="0"/>
    <n v="0"/>
    <x v="0"/>
    <s v="Master"/>
    <x v="3"/>
    <x v="0"/>
  </r>
  <r>
    <n v="37"/>
    <s v="No"/>
    <x v="0"/>
    <n v="1462"/>
    <x v="1"/>
    <n v="11"/>
    <n v="3"/>
    <s v="Medical"/>
    <n v="1411"/>
    <n v="1"/>
    <x v="0"/>
    <n v="94"/>
    <n v="3"/>
    <x v="1"/>
    <x v="2"/>
    <n v="3"/>
    <x v="0"/>
    <n v="3629"/>
    <n v="19106"/>
    <n v="4"/>
    <x v="1"/>
    <n v="18"/>
    <n v="3"/>
    <n v="1"/>
    <n v="0"/>
    <n v="8"/>
    <n v="6"/>
    <x v="1"/>
    <n v="3"/>
    <n v="2"/>
    <n v="0"/>
    <n v="2"/>
    <x v="0"/>
    <x v="0"/>
    <n v="0"/>
    <x v="2"/>
    <s v="Bachelor"/>
    <x v="2"/>
    <x v="1"/>
  </r>
  <r>
    <n v="35"/>
    <s v="No"/>
    <x v="1"/>
    <n v="200"/>
    <x v="1"/>
    <n v="18"/>
    <n v="2"/>
    <s v="Life Sciences"/>
    <n v="1412"/>
    <n v="3"/>
    <x v="1"/>
    <n v="60"/>
    <n v="3"/>
    <x v="2"/>
    <x v="3"/>
    <n v="4"/>
    <x v="0"/>
    <n v="9362"/>
    <n v="19944"/>
    <n v="2"/>
    <x v="1"/>
    <n v="11"/>
    <n v="3"/>
    <n v="3"/>
    <n v="0"/>
    <n v="10"/>
    <n v="2"/>
    <x v="1"/>
    <n v="2"/>
    <n v="2"/>
    <n v="2"/>
    <n v="2"/>
    <x v="2"/>
    <x v="0"/>
    <n v="0"/>
    <x v="2"/>
    <s v="College"/>
    <x v="0"/>
    <x v="1"/>
  </r>
  <r>
    <n v="25"/>
    <s v="No"/>
    <x v="0"/>
    <n v="949"/>
    <x v="1"/>
    <n v="1"/>
    <n v="3"/>
    <s v="Technical Degree"/>
    <n v="1415"/>
    <n v="1"/>
    <x v="1"/>
    <n v="81"/>
    <n v="3"/>
    <x v="1"/>
    <x v="2"/>
    <n v="4"/>
    <x v="1"/>
    <n v="3229"/>
    <n v="4910"/>
    <n v="4"/>
    <x v="1"/>
    <n v="11"/>
    <n v="3"/>
    <n v="2"/>
    <n v="1"/>
    <n v="7"/>
    <n v="2"/>
    <x v="2"/>
    <n v="3"/>
    <n v="2"/>
    <n v="0"/>
    <n v="2"/>
    <x v="3"/>
    <x v="3"/>
    <n v="0"/>
    <x v="0"/>
    <s v="Bachelor"/>
    <x v="0"/>
    <x v="2"/>
  </r>
  <r>
    <n v="26"/>
    <s v="No"/>
    <x v="0"/>
    <n v="652"/>
    <x v="1"/>
    <n v="7"/>
    <n v="3"/>
    <s v="Other"/>
    <n v="1417"/>
    <n v="3"/>
    <x v="1"/>
    <n v="100"/>
    <n v="4"/>
    <x v="1"/>
    <x v="2"/>
    <n v="1"/>
    <x v="0"/>
    <n v="3578"/>
    <n v="23577"/>
    <n v="0"/>
    <x v="1"/>
    <n v="12"/>
    <n v="3"/>
    <n v="4"/>
    <n v="0"/>
    <n v="8"/>
    <n v="2"/>
    <x v="1"/>
    <n v="7"/>
    <n v="7"/>
    <n v="0"/>
    <n v="7"/>
    <x v="2"/>
    <x v="0"/>
    <n v="0"/>
    <x v="1"/>
    <s v="Bachelor"/>
    <x v="3"/>
    <x v="1"/>
  </r>
  <r>
    <n v="29"/>
    <s v="No"/>
    <x v="0"/>
    <n v="332"/>
    <x v="2"/>
    <n v="17"/>
    <n v="3"/>
    <s v="Other"/>
    <n v="1419"/>
    <n v="2"/>
    <x v="1"/>
    <n v="51"/>
    <n v="2"/>
    <x v="2"/>
    <x v="8"/>
    <n v="1"/>
    <x v="0"/>
    <n v="7988"/>
    <n v="9769"/>
    <n v="1"/>
    <x v="1"/>
    <n v="13"/>
    <n v="3"/>
    <n v="1"/>
    <n v="0"/>
    <n v="10"/>
    <n v="3"/>
    <x v="2"/>
    <n v="10"/>
    <n v="9"/>
    <n v="0"/>
    <n v="9"/>
    <x v="2"/>
    <x v="2"/>
    <n v="0"/>
    <x v="0"/>
    <s v="Bachelor"/>
    <x v="3"/>
    <x v="2"/>
  </r>
  <r>
    <n v="49"/>
    <s v="Yes"/>
    <x v="1"/>
    <n v="1475"/>
    <x v="1"/>
    <n v="28"/>
    <n v="2"/>
    <s v="Life Sciences"/>
    <n v="1420"/>
    <n v="1"/>
    <x v="1"/>
    <n v="97"/>
    <n v="2"/>
    <x v="0"/>
    <x v="2"/>
    <n v="1"/>
    <x v="0"/>
    <n v="4284"/>
    <n v="22710"/>
    <n v="3"/>
    <x v="1"/>
    <n v="20"/>
    <n v="4"/>
    <n v="1"/>
    <n v="0"/>
    <n v="20"/>
    <n v="2"/>
    <x v="1"/>
    <n v="4"/>
    <n v="3"/>
    <n v="1"/>
    <n v="3"/>
    <x v="1"/>
    <x v="0"/>
    <n v="1"/>
    <x v="2"/>
    <s v="College"/>
    <x v="3"/>
    <x v="1"/>
  </r>
  <r>
    <n v="29"/>
    <s v="Yes"/>
    <x v="1"/>
    <n v="337"/>
    <x v="1"/>
    <n v="14"/>
    <n v="1"/>
    <s v="Other"/>
    <n v="1421"/>
    <n v="3"/>
    <x v="0"/>
    <n v="84"/>
    <n v="3"/>
    <x v="2"/>
    <x v="4"/>
    <n v="4"/>
    <x v="0"/>
    <n v="7553"/>
    <n v="22930"/>
    <n v="0"/>
    <x v="0"/>
    <n v="12"/>
    <n v="3"/>
    <n v="1"/>
    <n v="0"/>
    <n v="9"/>
    <n v="1"/>
    <x v="1"/>
    <n v="8"/>
    <n v="7"/>
    <n v="7"/>
    <n v="7"/>
    <x v="2"/>
    <x v="0"/>
    <n v="1"/>
    <x v="1"/>
    <s v="Below College"/>
    <x v="0"/>
    <x v="1"/>
  </r>
  <r>
    <n v="54"/>
    <s v="No"/>
    <x v="0"/>
    <n v="971"/>
    <x v="1"/>
    <n v="1"/>
    <n v="3"/>
    <s v="Medical"/>
    <n v="1422"/>
    <n v="4"/>
    <x v="0"/>
    <n v="54"/>
    <n v="3"/>
    <x v="3"/>
    <x v="7"/>
    <n v="4"/>
    <x v="0"/>
    <n v="17328"/>
    <n v="5652"/>
    <n v="6"/>
    <x v="1"/>
    <n v="19"/>
    <n v="3"/>
    <n v="4"/>
    <n v="0"/>
    <n v="29"/>
    <n v="3"/>
    <x v="2"/>
    <n v="20"/>
    <n v="7"/>
    <n v="12"/>
    <n v="7"/>
    <x v="1"/>
    <x v="3"/>
    <n v="0"/>
    <x v="0"/>
    <s v="Bachelor"/>
    <x v="0"/>
    <x v="2"/>
  </r>
  <r>
    <n v="58"/>
    <s v="No"/>
    <x v="0"/>
    <n v="1055"/>
    <x v="1"/>
    <n v="1"/>
    <n v="3"/>
    <s v="Medical"/>
    <n v="1423"/>
    <n v="4"/>
    <x v="0"/>
    <n v="76"/>
    <n v="3"/>
    <x v="4"/>
    <x v="7"/>
    <n v="1"/>
    <x v="1"/>
    <n v="19701"/>
    <n v="22456"/>
    <n v="3"/>
    <x v="0"/>
    <n v="21"/>
    <n v="4"/>
    <n v="3"/>
    <n v="1"/>
    <n v="32"/>
    <n v="3"/>
    <x v="1"/>
    <n v="9"/>
    <n v="8"/>
    <n v="1"/>
    <n v="5"/>
    <x v="1"/>
    <x v="0"/>
    <n v="0"/>
    <x v="1"/>
    <s v="Bachelor"/>
    <x v="3"/>
    <x v="1"/>
  </r>
  <r>
    <n v="55"/>
    <s v="No"/>
    <x v="0"/>
    <n v="1136"/>
    <x v="1"/>
    <n v="1"/>
    <n v="4"/>
    <s v="Medical"/>
    <n v="1424"/>
    <n v="2"/>
    <x v="1"/>
    <n v="81"/>
    <n v="4"/>
    <x v="3"/>
    <x v="7"/>
    <n v="4"/>
    <x v="2"/>
    <n v="14732"/>
    <n v="12414"/>
    <n v="2"/>
    <x v="1"/>
    <n v="13"/>
    <n v="3"/>
    <n v="4"/>
    <n v="2"/>
    <n v="31"/>
    <n v="4"/>
    <x v="3"/>
    <n v="7"/>
    <n v="7"/>
    <n v="0"/>
    <n v="0"/>
    <x v="1"/>
    <x v="0"/>
    <n v="0"/>
    <x v="1"/>
    <s v="Master"/>
    <x v="0"/>
    <x v="3"/>
  </r>
  <r>
    <n v="36"/>
    <s v="No"/>
    <x v="0"/>
    <n v="1174"/>
    <x v="0"/>
    <n v="3"/>
    <n v="4"/>
    <s v="Marketing"/>
    <n v="1425"/>
    <n v="1"/>
    <x v="0"/>
    <n v="99"/>
    <n v="3"/>
    <x v="0"/>
    <x v="0"/>
    <n v="2"/>
    <x v="0"/>
    <n v="9278"/>
    <n v="20763"/>
    <n v="3"/>
    <x v="0"/>
    <n v="16"/>
    <n v="3"/>
    <n v="4"/>
    <n v="0"/>
    <n v="15"/>
    <n v="3"/>
    <x v="1"/>
    <n v="5"/>
    <n v="4"/>
    <n v="0"/>
    <n v="1"/>
    <x v="0"/>
    <x v="0"/>
    <n v="0"/>
    <x v="2"/>
    <s v="Master"/>
    <x v="1"/>
    <x v="1"/>
  </r>
  <r>
    <n v="31"/>
    <s v="Yes"/>
    <x v="1"/>
    <n v="667"/>
    <x v="0"/>
    <n v="1"/>
    <n v="4"/>
    <s v="Life Sciences"/>
    <n v="1427"/>
    <n v="2"/>
    <x v="0"/>
    <n v="50"/>
    <n v="1"/>
    <x v="1"/>
    <x v="6"/>
    <n v="3"/>
    <x v="0"/>
    <n v="1359"/>
    <n v="16154"/>
    <n v="1"/>
    <x v="1"/>
    <n v="12"/>
    <n v="3"/>
    <n v="2"/>
    <n v="0"/>
    <n v="1"/>
    <n v="3"/>
    <x v="1"/>
    <n v="1"/>
    <n v="0"/>
    <n v="0"/>
    <n v="0"/>
    <x v="2"/>
    <x v="0"/>
    <n v="1"/>
    <x v="2"/>
    <s v="Master"/>
    <x v="2"/>
    <x v="1"/>
  </r>
  <r>
    <n v="30"/>
    <s v="No"/>
    <x v="0"/>
    <n v="855"/>
    <x v="0"/>
    <n v="7"/>
    <n v="4"/>
    <s v="Marketing"/>
    <n v="1428"/>
    <n v="4"/>
    <x v="0"/>
    <n v="73"/>
    <n v="3"/>
    <x v="0"/>
    <x v="0"/>
    <n v="1"/>
    <x v="2"/>
    <n v="4779"/>
    <n v="12761"/>
    <n v="7"/>
    <x v="1"/>
    <n v="14"/>
    <n v="3"/>
    <n v="2"/>
    <n v="2"/>
    <n v="8"/>
    <n v="3"/>
    <x v="1"/>
    <n v="3"/>
    <n v="2"/>
    <n v="0"/>
    <n v="2"/>
    <x v="2"/>
    <x v="0"/>
    <n v="0"/>
    <x v="2"/>
    <s v="Master"/>
    <x v="3"/>
    <x v="1"/>
  </r>
  <r>
    <n v="31"/>
    <s v="No"/>
    <x v="0"/>
    <n v="182"/>
    <x v="1"/>
    <n v="8"/>
    <n v="5"/>
    <s v="Life Sciences"/>
    <n v="1430"/>
    <n v="1"/>
    <x v="0"/>
    <n v="93"/>
    <n v="3"/>
    <x v="3"/>
    <x v="7"/>
    <n v="2"/>
    <x v="0"/>
    <n v="16422"/>
    <n v="8847"/>
    <n v="3"/>
    <x v="1"/>
    <n v="11"/>
    <n v="3"/>
    <n v="3"/>
    <n v="0"/>
    <n v="9"/>
    <n v="3"/>
    <x v="3"/>
    <n v="3"/>
    <n v="2"/>
    <n v="1"/>
    <n v="0"/>
    <x v="2"/>
    <x v="2"/>
    <n v="0"/>
    <x v="2"/>
    <s v="Doctor"/>
    <x v="1"/>
    <x v="3"/>
  </r>
  <r>
    <n v="34"/>
    <s v="No"/>
    <x v="1"/>
    <n v="560"/>
    <x v="1"/>
    <n v="1"/>
    <n v="4"/>
    <s v="Other"/>
    <n v="1431"/>
    <n v="4"/>
    <x v="1"/>
    <n v="91"/>
    <n v="3"/>
    <x v="1"/>
    <x v="1"/>
    <n v="1"/>
    <x v="2"/>
    <n v="2996"/>
    <n v="20284"/>
    <n v="5"/>
    <x v="1"/>
    <n v="14"/>
    <n v="3"/>
    <n v="3"/>
    <n v="2"/>
    <n v="10"/>
    <n v="2"/>
    <x v="1"/>
    <n v="4"/>
    <n v="3"/>
    <n v="1"/>
    <n v="3"/>
    <x v="2"/>
    <x v="0"/>
    <n v="0"/>
    <x v="2"/>
    <s v="Master"/>
    <x v="3"/>
    <x v="1"/>
  </r>
  <r>
    <n v="31"/>
    <s v="Yes"/>
    <x v="0"/>
    <n v="202"/>
    <x v="1"/>
    <n v="8"/>
    <n v="3"/>
    <s v="Life Sciences"/>
    <n v="1433"/>
    <n v="1"/>
    <x v="0"/>
    <n v="34"/>
    <n v="2"/>
    <x v="1"/>
    <x v="1"/>
    <n v="2"/>
    <x v="0"/>
    <n v="1261"/>
    <n v="22262"/>
    <n v="1"/>
    <x v="1"/>
    <n v="12"/>
    <n v="3"/>
    <n v="3"/>
    <n v="0"/>
    <n v="1"/>
    <n v="3"/>
    <x v="3"/>
    <n v="1"/>
    <n v="0"/>
    <n v="0"/>
    <n v="0"/>
    <x v="2"/>
    <x v="0"/>
    <n v="1"/>
    <x v="2"/>
    <s v="Bachelor"/>
    <x v="1"/>
    <x v="3"/>
  </r>
  <r>
    <n v="27"/>
    <s v="No"/>
    <x v="0"/>
    <n v="1377"/>
    <x v="1"/>
    <n v="11"/>
    <n v="1"/>
    <s v="Life Sciences"/>
    <n v="1434"/>
    <n v="2"/>
    <x v="1"/>
    <n v="91"/>
    <n v="3"/>
    <x v="1"/>
    <x v="2"/>
    <n v="1"/>
    <x v="1"/>
    <n v="2099"/>
    <n v="7679"/>
    <n v="0"/>
    <x v="1"/>
    <n v="14"/>
    <n v="3"/>
    <n v="2"/>
    <n v="0"/>
    <n v="6"/>
    <n v="3"/>
    <x v="3"/>
    <n v="5"/>
    <n v="0"/>
    <n v="1"/>
    <n v="4"/>
    <x v="2"/>
    <x v="2"/>
    <n v="0"/>
    <x v="2"/>
    <s v="Below College"/>
    <x v="3"/>
    <x v="3"/>
  </r>
  <r>
    <n v="36"/>
    <s v="No"/>
    <x v="0"/>
    <n v="172"/>
    <x v="1"/>
    <n v="4"/>
    <n v="4"/>
    <s v="Life Sciences"/>
    <n v="1435"/>
    <n v="1"/>
    <x v="1"/>
    <n v="37"/>
    <n v="2"/>
    <x v="0"/>
    <x v="2"/>
    <n v="4"/>
    <x v="0"/>
    <n v="5810"/>
    <n v="22604"/>
    <n v="1"/>
    <x v="1"/>
    <n v="16"/>
    <n v="3"/>
    <n v="3"/>
    <n v="0"/>
    <n v="10"/>
    <n v="2"/>
    <x v="2"/>
    <n v="10"/>
    <n v="4"/>
    <n v="1"/>
    <n v="8"/>
    <x v="0"/>
    <x v="0"/>
    <n v="0"/>
    <x v="0"/>
    <s v="Master"/>
    <x v="0"/>
    <x v="2"/>
  </r>
  <r>
    <n v="36"/>
    <s v="No"/>
    <x v="0"/>
    <n v="329"/>
    <x v="0"/>
    <n v="16"/>
    <n v="4"/>
    <s v="Marketing"/>
    <n v="1436"/>
    <n v="3"/>
    <x v="0"/>
    <n v="98"/>
    <n v="2"/>
    <x v="0"/>
    <x v="0"/>
    <n v="1"/>
    <x v="1"/>
    <n v="5647"/>
    <n v="13494"/>
    <n v="4"/>
    <x v="1"/>
    <n v="13"/>
    <n v="3"/>
    <n v="1"/>
    <n v="2"/>
    <n v="11"/>
    <n v="3"/>
    <x v="2"/>
    <n v="3"/>
    <n v="2"/>
    <n v="0"/>
    <n v="2"/>
    <x v="0"/>
    <x v="0"/>
    <n v="0"/>
    <x v="0"/>
    <s v="Master"/>
    <x v="3"/>
    <x v="2"/>
  </r>
  <r>
    <n v="47"/>
    <s v="No"/>
    <x v="0"/>
    <n v="465"/>
    <x v="1"/>
    <n v="1"/>
    <n v="3"/>
    <s v="Technical Degree"/>
    <n v="1438"/>
    <n v="1"/>
    <x v="1"/>
    <n v="74"/>
    <n v="3"/>
    <x v="1"/>
    <x v="1"/>
    <n v="4"/>
    <x v="1"/>
    <n v="3420"/>
    <n v="10205"/>
    <n v="7"/>
    <x v="1"/>
    <n v="12"/>
    <n v="3"/>
    <n v="3"/>
    <n v="1"/>
    <n v="17"/>
    <n v="2"/>
    <x v="2"/>
    <n v="6"/>
    <n v="5"/>
    <n v="1"/>
    <n v="2"/>
    <x v="1"/>
    <x v="0"/>
    <n v="0"/>
    <x v="0"/>
    <s v="Bachelor"/>
    <x v="0"/>
    <x v="2"/>
  </r>
  <r>
    <n v="25"/>
    <s v="Yes"/>
    <x v="0"/>
    <n v="383"/>
    <x v="0"/>
    <n v="9"/>
    <n v="2"/>
    <s v="Life Sciences"/>
    <n v="1439"/>
    <n v="1"/>
    <x v="1"/>
    <n v="68"/>
    <n v="2"/>
    <x v="1"/>
    <x v="6"/>
    <n v="1"/>
    <x v="1"/>
    <n v="4400"/>
    <n v="15182"/>
    <n v="3"/>
    <x v="1"/>
    <n v="12"/>
    <n v="3"/>
    <n v="1"/>
    <n v="0"/>
    <n v="6"/>
    <n v="2"/>
    <x v="1"/>
    <n v="3"/>
    <n v="2"/>
    <n v="2"/>
    <n v="2"/>
    <x v="3"/>
    <x v="0"/>
    <n v="1"/>
    <x v="2"/>
    <s v="College"/>
    <x v="3"/>
    <x v="1"/>
  </r>
  <r>
    <n v="37"/>
    <s v="No"/>
    <x v="2"/>
    <n v="1413"/>
    <x v="1"/>
    <n v="5"/>
    <n v="2"/>
    <s v="Technical Degree"/>
    <n v="1440"/>
    <n v="3"/>
    <x v="1"/>
    <n v="84"/>
    <n v="4"/>
    <x v="1"/>
    <x v="2"/>
    <n v="3"/>
    <x v="0"/>
    <n v="3500"/>
    <n v="25470"/>
    <n v="0"/>
    <x v="1"/>
    <n v="14"/>
    <n v="3"/>
    <n v="1"/>
    <n v="0"/>
    <n v="7"/>
    <n v="2"/>
    <x v="0"/>
    <n v="6"/>
    <n v="5"/>
    <n v="1"/>
    <n v="3"/>
    <x v="0"/>
    <x v="0"/>
    <n v="0"/>
    <x v="0"/>
    <s v="College"/>
    <x v="2"/>
    <x v="0"/>
  </r>
  <r>
    <n v="56"/>
    <s v="No"/>
    <x v="0"/>
    <n v="1255"/>
    <x v="1"/>
    <n v="1"/>
    <n v="2"/>
    <s v="Life Sciences"/>
    <n v="1441"/>
    <n v="1"/>
    <x v="0"/>
    <n v="90"/>
    <n v="3"/>
    <x v="1"/>
    <x v="1"/>
    <n v="1"/>
    <x v="1"/>
    <n v="2066"/>
    <n v="10494"/>
    <n v="2"/>
    <x v="1"/>
    <n v="22"/>
    <n v="4"/>
    <n v="4"/>
    <n v="1"/>
    <n v="5"/>
    <n v="3"/>
    <x v="3"/>
    <n v="3"/>
    <n v="2"/>
    <n v="1"/>
    <n v="0"/>
    <x v="1"/>
    <x v="0"/>
    <n v="0"/>
    <x v="2"/>
    <s v="College"/>
    <x v="3"/>
    <x v="3"/>
  </r>
  <r>
    <n v="47"/>
    <s v="No"/>
    <x v="0"/>
    <n v="359"/>
    <x v="1"/>
    <n v="2"/>
    <n v="4"/>
    <s v="Medical"/>
    <n v="1443"/>
    <n v="1"/>
    <x v="0"/>
    <n v="82"/>
    <n v="3"/>
    <x v="3"/>
    <x v="7"/>
    <n v="3"/>
    <x v="1"/>
    <n v="17169"/>
    <n v="26703"/>
    <n v="3"/>
    <x v="1"/>
    <n v="19"/>
    <n v="3"/>
    <n v="2"/>
    <n v="2"/>
    <n v="26"/>
    <n v="2"/>
    <x v="3"/>
    <n v="20"/>
    <n v="17"/>
    <n v="5"/>
    <n v="6"/>
    <x v="1"/>
    <x v="0"/>
    <n v="0"/>
    <x v="3"/>
    <s v="Master"/>
    <x v="2"/>
    <x v="3"/>
  </r>
  <r>
    <n v="24"/>
    <s v="No"/>
    <x v="0"/>
    <n v="1476"/>
    <x v="0"/>
    <n v="4"/>
    <n v="1"/>
    <s v="Medical"/>
    <n v="1445"/>
    <n v="4"/>
    <x v="0"/>
    <n v="42"/>
    <n v="3"/>
    <x v="0"/>
    <x v="0"/>
    <n v="3"/>
    <x v="1"/>
    <n v="4162"/>
    <n v="15211"/>
    <n v="1"/>
    <x v="0"/>
    <n v="12"/>
    <n v="3"/>
    <n v="3"/>
    <n v="2"/>
    <n v="5"/>
    <n v="3"/>
    <x v="1"/>
    <n v="5"/>
    <n v="4"/>
    <n v="0"/>
    <n v="3"/>
    <x v="3"/>
    <x v="0"/>
    <n v="0"/>
    <x v="2"/>
    <s v="Below College"/>
    <x v="2"/>
    <x v="1"/>
  </r>
  <r>
    <n v="32"/>
    <s v="No"/>
    <x v="0"/>
    <n v="601"/>
    <x v="0"/>
    <n v="7"/>
    <n v="5"/>
    <s v="Marketing"/>
    <n v="1446"/>
    <n v="4"/>
    <x v="1"/>
    <n v="97"/>
    <n v="3"/>
    <x v="0"/>
    <x v="0"/>
    <n v="4"/>
    <x v="1"/>
    <n v="9204"/>
    <n v="23343"/>
    <n v="4"/>
    <x v="1"/>
    <n v="12"/>
    <n v="3"/>
    <n v="3"/>
    <n v="1"/>
    <n v="7"/>
    <n v="3"/>
    <x v="2"/>
    <n v="4"/>
    <n v="3"/>
    <n v="0"/>
    <n v="3"/>
    <x v="2"/>
    <x v="0"/>
    <n v="0"/>
    <x v="0"/>
    <s v="Doctor"/>
    <x v="0"/>
    <x v="2"/>
  </r>
  <r>
    <n v="34"/>
    <s v="No"/>
    <x v="0"/>
    <n v="401"/>
    <x v="1"/>
    <n v="1"/>
    <n v="3"/>
    <s v="Life Sciences"/>
    <n v="1447"/>
    <n v="4"/>
    <x v="0"/>
    <n v="86"/>
    <n v="2"/>
    <x v="1"/>
    <x v="2"/>
    <n v="2"/>
    <x v="1"/>
    <n v="3294"/>
    <n v="3708"/>
    <n v="5"/>
    <x v="1"/>
    <n v="17"/>
    <n v="3"/>
    <n v="1"/>
    <n v="1"/>
    <n v="7"/>
    <n v="2"/>
    <x v="2"/>
    <n v="5"/>
    <n v="4"/>
    <n v="0"/>
    <n v="2"/>
    <x v="2"/>
    <x v="3"/>
    <n v="0"/>
    <x v="0"/>
    <s v="Bachelor"/>
    <x v="1"/>
    <x v="2"/>
  </r>
  <r>
    <n v="41"/>
    <s v="No"/>
    <x v="0"/>
    <n v="1283"/>
    <x v="1"/>
    <n v="5"/>
    <n v="5"/>
    <s v="Medical"/>
    <n v="1448"/>
    <n v="2"/>
    <x v="1"/>
    <n v="90"/>
    <n v="4"/>
    <x v="1"/>
    <x v="1"/>
    <n v="3"/>
    <x v="1"/>
    <n v="2127"/>
    <n v="5561"/>
    <n v="2"/>
    <x v="0"/>
    <n v="12"/>
    <n v="3"/>
    <n v="1"/>
    <n v="0"/>
    <n v="7"/>
    <n v="5"/>
    <x v="2"/>
    <n v="4"/>
    <n v="2"/>
    <n v="0"/>
    <n v="3"/>
    <x v="0"/>
    <x v="3"/>
    <n v="0"/>
    <x v="0"/>
    <s v="Doctor"/>
    <x v="2"/>
    <x v="2"/>
  </r>
  <r>
    <n v="40"/>
    <s v="No"/>
    <x v="2"/>
    <n v="663"/>
    <x v="1"/>
    <n v="9"/>
    <n v="4"/>
    <s v="Other"/>
    <n v="1449"/>
    <n v="3"/>
    <x v="1"/>
    <n v="81"/>
    <n v="3"/>
    <x v="0"/>
    <x v="2"/>
    <n v="3"/>
    <x v="2"/>
    <n v="3975"/>
    <n v="23099"/>
    <n v="3"/>
    <x v="1"/>
    <n v="11"/>
    <n v="3"/>
    <n v="3"/>
    <n v="2"/>
    <n v="11"/>
    <n v="2"/>
    <x v="3"/>
    <n v="8"/>
    <n v="7"/>
    <n v="0"/>
    <n v="7"/>
    <x v="0"/>
    <x v="0"/>
    <n v="0"/>
    <x v="1"/>
    <s v="Master"/>
    <x v="2"/>
    <x v="3"/>
  </r>
  <r>
    <n v="31"/>
    <s v="No"/>
    <x v="0"/>
    <n v="326"/>
    <x v="0"/>
    <n v="8"/>
    <n v="2"/>
    <s v="Life Sciences"/>
    <n v="1453"/>
    <n v="1"/>
    <x v="1"/>
    <n v="31"/>
    <n v="3"/>
    <x v="2"/>
    <x v="0"/>
    <n v="4"/>
    <x v="2"/>
    <n v="10793"/>
    <n v="8386"/>
    <n v="1"/>
    <x v="1"/>
    <n v="18"/>
    <n v="3"/>
    <n v="1"/>
    <n v="1"/>
    <n v="13"/>
    <n v="5"/>
    <x v="1"/>
    <n v="13"/>
    <n v="7"/>
    <n v="9"/>
    <n v="9"/>
    <x v="2"/>
    <x v="2"/>
    <n v="0"/>
    <x v="3"/>
    <s v="College"/>
    <x v="0"/>
    <x v="1"/>
  </r>
  <r>
    <n v="46"/>
    <s v="Yes"/>
    <x v="0"/>
    <n v="377"/>
    <x v="0"/>
    <n v="9"/>
    <n v="3"/>
    <s v="Marketing"/>
    <n v="1457"/>
    <n v="1"/>
    <x v="1"/>
    <n v="52"/>
    <n v="3"/>
    <x v="2"/>
    <x v="0"/>
    <n v="4"/>
    <x v="2"/>
    <n v="10096"/>
    <n v="15986"/>
    <n v="4"/>
    <x v="1"/>
    <n v="11"/>
    <n v="3"/>
    <n v="1"/>
    <n v="1"/>
    <n v="28"/>
    <n v="1"/>
    <x v="3"/>
    <n v="7"/>
    <n v="7"/>
    <n v="4"/>
    <n v="3"/>
    <x v="1"/>
    <x v="0"/>
    <n v="1"/>
    <x v="1"/>
    <s v="Bachelor"/>
    <x v="0"/>
    <x v="3"/>
  </r>
  <r>
    <n v="39"/>
    <s v="Yes"/>
    <x v="2"/>
    <n v="592"/>
    <x v="1"/>
    <n v="2"/>
    <n v="3"/>
    <s v="Life Sciences"/>
    <n v="1458"/>
    <n v="1"/>
    <x v="0"/>
    <n v="54"/>
    <n v="2"/>
    <x v="1"/>
    <x v="2"/>
    <n v="1"/>
    <x v="0"/>
    <n v="3646"/>
    <n v="17181"/>
    <n v="2"/>
    <x v="0"/>
    <n v="23"/>
    <n v="4"/>
    <n v="2"/>
    <n v="0"/>
    <n v="11"/>
    <n v="2"/>
    <x v="3"/>
    <n v="1"/>
    <n v="0"/>
    <n v="0"/>
    <n v="0"/>
    <x v="0"/>
    <x v="0"/>
    <n v="1"/>
    <x v="2"/>
    <s v="Bachelor"/>
    <x v="3"/>
    <x v="3"/>
  </r>
  <r>
    <n v="31"/>
    <s v="Yes"/>
    <x v="1"/>
    <n v="1445"/>
    <x v="1"/>
    <n v="1"/>
    <n v="5"/>
    <s v="Life Sciences"/>
    <n v="1459"/>
    <n v="3"/>
    <x v="0"/>
    <n v="100"/>
    <n v="4"/>
    <x v="2"/>
    <x v="3"/>
    <n v="2"/>
    <x v="0"/>
    <n v="7446"/>
    <n v="8931"/>
    <n v="1"/>
    <x v="1"/>
    <n v="11"/>
    <n v="3"/>
    <n v="1"/>
    <n v="0"/>
    <n v="10"/>
    <n v="2"/>
    <x v="1"/>
    <n v="10"/>
    <n v="8"/>
    <n v="4"/>
    <n v="7"/>
    <x v="2"/>
    <x v="2"/>
    <n v="1"/>
    <x v="1"/>
    <s v="Doctor"/>
    <x v="1"/>
    <x v="1"/>
  </r>
  <r>
    <n v="45"/>
    <s v="No"/>
    <x v="0"/>
    <n v="1038"/>
    <x v="1"/>
    <n v="20"/>
    <n v="3"/>
    <s v="Medical"/>
    <n v="1460"/>
    <n v="2"/>
    <x v="1"/>
    <n v="95"/>
    <n v="1"/>
    <x v="2"/>
    <x v="4"/>
    <n v="1"/>
    <x v="2"/>
    <n v="10851"/>
    <n v="19863"/>
    <n v="2"/>
    <x v="0"/>
    <n v="18"/>
    <n v="3"/>
    <n v="2"/>
    <n v="1"/>
    <n v="24"/>
    <n v="2"/>
    <x v="1"/>
    <n v="7"/>
    <n v="7"/>
    <n v="0"/>
    <n v="7"/>
    <x v="0"/>
    <x v="0"/>
    <n v="0"/>
    <x v="1"/>
    <s v="Bachelor"/>
    <x v="3"/>
    <x v="1"/>
  </r>
  <r>
    <n v="31"/>
    <s v="No"/>
    <x v="0"/>
    <n v="1398"/>
    <x v="2"/>
    <n v="8"/>
    <n v="2"/>
    <s v="Medical"/>
    <n v="1461"/>
    <n v="4"/>
    <x v="0"/>
    <n v="96"/>
    <n v="4"/>
    <x v="1"/>
    <x v="8"/>
    <n v="2"/>
    <x v="0"/>
    <n v="2109"/>
    <n v="24609"/>
    <n v="9"/>
    <x v="1"/>
    <n v="18"/>
    <n v="3"/>
    <n v="4"/>
    <n v="0"/>
    <n v="8"/>
    <n v="3"/>
    <x v="1"/>
    <n v="3"/>
    <n v="2"/>
    <n v="0"/>
    <n v="2"/>
    <x v="2"/>
    <x v="0"/>
    <n v="0"/>
    <x v="2"/>
    <s v="College"/>
    <x v="1"/>
    <x v="1"/>
  </r>
  <r>
    <n v="31"/>
    <s v="Yes"/>
    <x v="1"/>
    <n v="523"/>
    <x v="1"/>
    <n v="2"/>
    <n v="3"/>
    <s v="Life Sciences"/>
    <n v="1464"/>
    <n v="2"/>
    <x v="1"/>
    <n v="94"/>
    <n v="3"/>
    <x v="1"/>
    <x v="2"/>
    <n v="4"/>
    <x v="1"/>
    <n v="3722"/>
    <n v="21081"/>
    <n v="6"/>
    <x v="0"/>
    <n v="13"/>
    <n v="3"/>
    <n v="3"/>
    <n v="1"/>
    <n v="7"/>
    <n v="2"/>
    <x v="0"/>
    <n v="2"/>
    <n v="2"/>
    <n v="2"/>
    <n v="2"/>
    <x v="2"/>
    <x v="0"/>
    <n v="1"/>
    <x v="0"/>
    <s v="Bachelor"/>
    <x v="0"/>
    <x v="0"/>
  </r>
  <r>
    <n v="45"/>
    <s v="No"/>
    <x v="0"/>
    <n v="1448"/>
    <x v="1"/>
    <n v="29"/>
    <n v="3"/>
    <s v="Technical Degree"/>
    <n v="1465"/>
    <n v="2"/>
    <x v="1"/>
    <n v="55"/>
    <n v="3"/>
    <x v="2"/>
    <x v="3"/>
    <n v="4"/>
    <x v="1"/>
    <n v="9380"/>
    <n v="14720"/>
    <n v="4"/>
    <x v="0"/>
    <n v="18"/>
    <n v="3"/>
    <n v="4"/>
    <n v="2"/>
    <n v="10"/>
    <n v="4"/>
    <x v="3"/>
    <n v="3"/>
    <n v="1"/>
    <n v="1"/>
    <n v="2"/>
    <x v="0"/>
    <x v="0"/>
    <n v="0"/>
    <x v="2"/>
    <s v="Bachelor"/>
    <x v="0"/>
    <x v="3"/>
  </r>
  <r>
    <n v="48"/>
    <s v="No"/>
    <x v="0"/>
    <n v="1221"/>
    <x v="0"/>
    <n v="7"/>
    <n v="3"/>
    <s v="Marketing"/>
    <n v="1466"/>
    <n v="3"/>
    <x v="1"/>
    <n v="96"/>
    <n v="3"/>
    <x v="0"/>
    <x v="0"/>
    <n v="1"/>
    <x v="2"/>
    <n v="5486"/>
    <n v="24795"/>
    <n v="4"/>
    <x v="1"/>
    <n v="11"/>
    <n v="3"/>
    <n v="1"/>
    <n v="3"/>
    <n v="15"/>
    <n v="3"/>
    <x v="1"/>
    <n v="2"/>
    <n v="2"/>
    <n v="2"/>
    <n v="2"/>
    <x v="1"/>
    <x v="0"/>
    <n v="0"/>
    <x v="2"/>
    <s v="Bachelor"/>
    <x v="3"/>
    <x v="1"/>
  </r>
  <r>
    <n v="34"/>
    <s v="Yes"/>
    <x v="0"/>
    <n v="1107"/>
    <x v="2"/>
    <n v="9"/>
    <n v="4"/>
    <s v="Technical Degree"/>
    <n v="1467"/>
    <n v="1"/>
    <x v="0"/>
    <n v="52"/>
    <n v="3"/>
    <x v="1"/>
    <x v="8"/>
    <n v="3"/>
    <x v="1"/>
    <n v="2742"/>
    <n v="3072"/>
    <n v="1"/>
    <x v="1"/>
    <n v="15"/>
    <n v="3"/>
    <n v="4"/>
    <n v="0"/>
    <n v="2"/>
    <n v="0"/>
    <x v="1"/>
    <n v="2"/>
    <n v="2"/>
    <n v="2"/>
    <n v="2"/>
    <x v="2"/>
    <x v="3"/>
    <n v="1"/>
    <x v="2"/>
    <s v="Master"/>
    <x v="2"/>
    <x v="1"/>
  </r>
  <r>
    <n v="40"/>
    <s v="No"/>
    <x v="2"/>
    <n v="218"/>
    <x v="1"/>
    <n v="8"/>
    <n v="1"/>
    <s v="Medical"/>
    <n v="1468"/>
    <n v="4"/>
    <x v="1"/>
    <n v="55"/>
    <n v="2"/>
    <x v="2"/>
    <x v="7"/>
    <n v="2"/>
    <x v="2"/>
    <n v="13757"/>
    <n v="25178"/>
    <n v="2"/>
    <x v="1"/>
    <n v="11"/>
    <n v="3"/>
    <n v="3"/>
    <n v="1"/>
    <n v="16"/>
    <n v="5"/>
    <x v="1"/>
    <n v="9"/>
    <n v="8"/>
    <n v="4"/>
    <n v="8"/>
    <x v="0"/>
    <x v="0"/>
    <n v="0"/>
    <x v="1"/>
    <s v="Below College"/>
    <x v="1"/>
    <x v="1"/>
  </r>
  <r>
    <n v="28"/>
    <s v="No"/>
    <x v="0"/>
    <n v="866"/>
    <x v="0"/>
    <n v="5"/>
    <n v="3"/>
    <s v="Medical"/>
    <n v="1469"/>
    <n v="4"/>
    <x v="1"/>
    <n v="84"/>
    <n v="3"/>
    <x v="0"/>
    <x v="0"/>
    <n v="1"/>
    <x v="0"/>
    <n v="8463"/>
    <n v="23490"/>
    <n v="0"/>
    <x v="1"/>
    <n v="18"/>
    <n v="3"/>
    <n v="4"/>
    <n v="0"/>
    <n v="6"/>
    <n v="4"/>
    <x v="1"/>
    <n v="5"/>
    <n v="4"/>
    <n v="1"/>
    <n v="3"/>
    <x v="2"/>
    <x v="0"/>
    <n v="0"/>
    <x v="2"/>
    <s v="Bachelor"/>
    <x v="3"/>
    <x v="1"/>
  </r>
  <r>
    <n v="44"/>
    <s v="No"/>
    <x v="2"/>
    <n v="981"/>
    <x v="1"/>
    <n v="5"/>
    <n v="3"/>
    <s v="Life Sciences"/>
    <n v="1471"/>
    <n v="3"/>
    <x v="1"/>
    <n v="90"/>
    <n v="2"/>
    <x v="1"/>
    <x v="2"/>
    <n v="3"/>
    <x v="0"/>
    <n v="3162"/>
    <n v="7973"/>
    <n v="3"/>
    <x v="1"/>
    <n v="14"/>
    <n v="3"/>
    <n v="4"/>
    <n v="0"/>
    <n v="7"/>
    <n v="5"/>
    <x v="1"/>
    <n v="5"/>
    <n v="2"/>
    <n v="0"/>
    <n v="3"/>
    <x v="0"/>
    <x v="2"/>
    <n v="0"/>
    <x v="2"/>
    <s v="Bachelor"/>
    <x v="2"/>
    <x v="1"/>
  </r>
  <r>
    <n v="53"/>
    <s v="No"/>
    <x v="0"/>
    <n v="447"/>
    <x v="1"/>
    <n v="2"/>
    <n v="3"/>
    <s v="Medical"/>
    <n v="1472"/>
    <n v="4"/>
    <x v="1"/>
    <n v="39"/>
    <n v="4"/>
    <x v="3"/>
    <x v="7"/>
    <n v="2"/>
    <x v="0"/>
    <n v="16598"/>
    <n v="19764"/>
    <n v="4"/>
    <x v="1"/>
    <n v="12"/>
    <n v="3"/>
    <n v="2"/>
    <n v="0"/>
    <n v="35"/>
    <n v="2"/>
    <x v="2"/>
    <n v="9"/>
    <n v="8"/>
    <n v="8"/>
    <n v="8"/>
    <x v="1"/>
    <x v="0"/>
    <n v="0"/>
    <x v="0"/>
    <s v="Bachelor"/>
    <x v="1"/>
    <x v="2"/>
  </r>
  <r>
    <n v="49"/>
    <s v="No"/>
    <x v="0"/>
    <n v="1495"/>
    <x v="1"/>
    <n v="5"/>
    <n v="4"/>
    <s v="Technical Degree"/>
    <n v="1473"/>
    <n v="1"/>
    <x v="1"/>
    <n v="96"/>
    <n v="3"/>
    <x v="0"/>
    <x v="4"/>
    <n v="3"/>
    <x v="1"/>
    <n v="6651"/>
    <n v="21534"/>
    <n v="2"/>
    <x v="1"/>
    <n v="14"/>
    <n v="3"/>
    <n v="2"/>
    <n v="1"/>
    <n v="20"/>
    <n v="0"/>
    <x v="2"/>
    <n v="3"/>
    <n v="2"/>
    <n v="1"/>
    <n v="2"/>
    <x v="1"/>
    <x v="0"/>
    <n v="0"/>
    <x v="0"/>
    <s v="Master"/>
    <x v="2"/>
    <x v="2"/>
  </r>
  <r>
    <n v="40"/>
    <s v="No"/>
    <x v="0"/>
    <n v="896"/>
    <x v="1"/>
    <n v="2"/>
    <n v="3"/>
    <s v="Medical"/>
    <n v="1474"/>
    <n v="3"/>
    <x v="1"/>
    <n v="68"/>
    <n v="3"/>
    <x v="1"/>
    <x v="1"/>
    <n v="3"/>
    <x v="2"/>
    <n v="2345"/>
    <n v="8045"/>
    <n v="2"/>
    <x v="1"/>
    <n v="14"/>
    <n v="3"/>
    <n v="3"/>
    <n v="1"/>
    <n v="8"/>
    <n v="3"/>
    <x v="3"/>
    <n v="3"/>
    <n v="1"/>
    <n v="1"/>
    <n v="2"/>
    <x v="0"/>
    <x v="2"/>
    <n v="0"/>
    <x v="2"/>
    <s v="Bachelor"/>
    <x v="2"/>
    <x v="3"/>
  </r>
  <r>
    <n v="44"/>
    <s v="No"/>
    <x v="0"/>
    <n v="1467"/>
    <x v="1"/>
    <n v="20"/>
    <n v="3"/>
    <s v="Life Sciences"/>
    <n v="1475"/>
    <n v="4"/>
    <x v="1"/>
    <n v="49"/>
    <n v="3"/>
    <x v="1"/>
    <x v="1"/>
    <n v="2"/>
    <x v="0"/>
    <n v="3420"/>
    <n v="21158"/>
    <n v="1"/>
    <x v="1"/>
    <n v="13"/>
    <n v="3"/>
    <n v="3"/>
    <n v="0"/>
    <n v="6"/>
    <n v="3"/>
    <x v="2"/>
    <n v="5"/>
    <n v="2"/>
    <n v="1"/>
    <n v="3"/>
    <x v="0"/>
    <x v="0"/>
    <n v="0"/>
    <x v="0"/>
    <s v="Bachelor"/>
    <x v="1"/>
    <x v="2"/>
  </r>
  <r>
    <n v="33"/>
    <s v="No"/>
    <x v="1"/>
    <n v="430"/>
    <x v="0"/>
    <n v="7"/>
    <n v="3"/>
    <s v="Medical"/>
    <n v="1477"/>
    <n v="4"/>
    <x v="1"/>
    <n v="54"/>
    <n v="3"/>
    <x v="0"/>
    <x v="0"/>
    <n v="1"/>
    <x v="1"/>
    <n v="4373"/>
    <n v="17456"/>
    <n v="0"/>
    <x v="1"/>
    <n v="14"/>
    <n v="3"/>
    <n v="1"/>
    <n v="2"/>
    <n v="5"/>
    <n v="2"/>
    <x v="1"/>
    <n v="4"/>
    <n v="3"/>
    <n v="0"/>
    <n v="3"/>
    <x v="2"/>
    <x v="0"/>
    <n v="0"/>
    <x v="2"/>
    <s v="Bachelor"/>
    <x v="3"/>
    <x v="1"/>
  </r>
  <r>
    <n v="34"/>
    <s v="No"/>
    <x v="0"/>
    <n v="1326"/>
    <x v="0"/>
    <n v="3"/>
    <n v="3"/>
    <s v="Other"/>
    <n v="1478"/>
    <n v="4"/>
    <x v="1"/>
    <n v="81"/>
    <n v="1"/>
    <x v="0"/>
    <x v="0"/>
    <n v="1"/>
    <x v="0"/>
    <n v="4759"/>
    <n v="15891"/>
    <n v="3"/>
    <x v="1"/>
    <n v="18"/>
    <n v="3"/>
    <n v="4"/>
    <n v="0"/>
    <n v="15"/>
    <n v="2"/>
    <x v="1"/>
    <n v="13"/>
    <n v="9"/>
    <n v="3"/>
    <n v="12"/>
    <x v="2"/>
    <x v="0"/>
    <n v="0"/>
    <x v="3"/>
    <s v="Bachelor"/>
    <x v="3"/>
    <x v="1"/>
  </r>
  <r>
    <n v="30"/>
    <s v="No"/>
    <x v="0"/>
    <n v="1358"/>
    <x v="0"/>
    <n v="16"/>
    <n v="1"/>
    <s v="Life Sciences"/>
    <n v="1479"/>
    <n v="4"/>
    <x v="1"/>
    <n v="96"/>
    <n v="3"/>
    <x v="0"/>
    <x v="0"/>
    <n v="3"/>
    <x v="1"/>
    <n v="5301"/>
    <n v="2939"/>
    <n v="8"/>
    <x v="1"/>
    <n v="15"/>
    <n v="3"/>
    <n v="3"/>
    <n v="2"/>
    <n v="4"/>
    <n v="2"/>
    <x v="2"/>
    <n v="2"/>
    <n v="1"/>
    <n v="2"/>
    <n v="2"/>
    <x v="2"/>
    <x v="1"/>
    <n v="0"/>
    <x v="0"/>
    <s v="Below College"/>
    <x v="2"/>
    <x v="2"/>
  </r>
  <r>
    <n v="42"/>
    <s v="No"/>
    <x v="1"/>
    <n v="748"/>
    <x v="1"/>
    <n v="9"/>
    <n v="2"/>
    <s v="Medical"/>
    <n v="1480"/>
    <n v="1"/>
    <x v="0"/>
    <n v="74"/>
    <n v="3"/>
    <x v="1"/>
    <x v="2"/>
    <n v="4"/>
    <x v="0"/>
    <n v="3673"/>
    <n v="16458"/>
    <n v="1"/>
    <x v="1"/>
    <n v="13"/>
    <n v="3"/>
    <n v="3"/>
    <n v="0"/>
    <n v="12"/>
    <n v="3"/>
    <x v="1"/>
    <n v="12"/>
    <n v="9"/>
    <n v="5"/>
    <n v="8"/>
    <x v="0"/>
    <x v="0"/>
    <n v="0"/>
    <x v="3"/>
    <s v="College"/>
    <x v="0"/>
    <x v="1"/>
  </r>
  <r>
    <n v="44"/>
    <s v="No"/>
    <x v="1"/>
    <n v="383"/>
    <x v="0"/>
    <n v="1"/>
    <n v="5"/>
    <s v="Marketing"/>
    <n v="1481"/>
    <n v="1"/>
    <x v="0"/>
    <n v="79"/>
    <n v="3"/>
    <x v="0"/>
    <x v="0"/>
    <n v="3"/>
    <x v="1"/>
    <n v="4768"/>
    <n v="9282"/>
    <n v="7"/>
    <x v="1"/>
    <n v="12"/>
    <n v="3"/>
    <n v="3"/>
    <n v="1"/>
    <n v="11"/>
    <n v="4"/>
    <x v="2"/>
    <n v="1"/>
    <n v="0"/>
    <n v="0"/>
    <n v="0"/>
    <x v="0"/>
    <x v="2"/>
    <n v="0"/>
    <x v="0"/>
    <s v="Doctor"/>
    <x v="2"/>
    <x v="2"/>
  </r>
  <r>
    <n v="30"/>
    <s v="No"/>
    <x v="2"/>
    <n v="990"/>
    <x v="1"/>
    <n v="7"/>
    <n v="3"/>
    <s v="Technical Degree"/>
    <n v="1482"/>
    <n v="3"/>
    <x v="1"/>
    <n v="64"/>
    <n v="3"/>
    <x v="1"/>
    <x v="1"/>
    <n v="3"/>
    <x v="2"/>
    <n v="1274"/>
    <n v="7152"/>
    <n v="1"/>
    <x v="1"/>
    <n v="13"/>
    <n v="3"/>
    <n v="2"/>
    <n v="2"/>
    <n v="1"/>
    <n v="2"/>
    <x v="2"/>
    <n v="1"/>
    <n v="0"/>
    <n v="0"/>
    <n v="0"/>
    <x v="2"/>
    <x v="2"/>
    <n v="0"/>
    <x v="0"/>
    <s v="Bachelor"/>
    <x v="2"/>
    <x v="2"/>
  </r>
  <r>
    <n v="57"/>
    <s v="No"/>
    <x v="0"/>
    <n v="405"/>
    <x v="1"/>
    <n v="1"/>
    <n v="2"/>
    <s v="Life Sciences"/>
    <n v="1483"/>
    <n v="2"/>
    <x v="1"/>
    <n v="93"/>
    <n v="4"/>
    <x v="0"/>
    <x v="1"/>
    <n v="3"/>
    <x v="1"/>
    <n v="4900"/>
    <n v="2721"/>
    <n v="0"/>
    <x v="1"/>
    <n v="24"/>
    <n v="4"/>
    <n v="1"/>
    <n v="1"/>
    <n v="13"/>
    <n v="2"/>
    <x v="2"/>
    <n v="12"/>
    <n v="9"/>
    <n v="2"/>
    <n v="8"/>
    <x v="1"/>
    <x v="1"/>
    <n v="0"/>
    <x v="0"/>
    <s v="College"/>
    <x v="2"/>
    <x v="2"/>
  </r>
  <r>
    <n v="49"/>
    <s v="No"/>
    <x v="0"/>
    <n v="1490"/>
    <x v="1"/>
    <n v="7"/>
    <n v="4"/>
    <s v="Life Sciences"/>
    <n v="1484"/>
    <n v="3"/>
    <x v="1"/>
    <n v="35"/>
    <n v="3"/>
    <x v="2"/>
    <x v="4"/>
    <n v="2"/>
    <x v="2"/>
    <n v="10466"/>
    <n v="20948"/>
    <n v="3"/>
    <x v="1"/>
    <n v="14"/>
    <n v="3"/>
    <n v="2"/>
    <n v="2"/>
    <n v="29"/>
    <n v="3"/>
    <x v="1"/>
    <n v="8"/>
    <n v="7"/>
    <n v="0"/>
    <n v="7"/>
    <x v="1"/>
    <x v="0"/>
    <n v="0"/>
    <x v="1"/>
    <s v="Master"/>
    <x v="1"/>
    <x v="1"/>
  </r>
  <r>
    <n v="34"/>
    <s v="No"/>
    <x v="1"/>
    <n v="829"/>
    <x v="1"/>
    <n v="15"/>
    <n v="3"/>
    <s v="Medical"/>
    <n v="1485"/>
    <n v="2"/>
    <x v="1"/>
    <n v="71"/>
    <n v="3"/>
    <x v="3"/>
    <x v="7"/>
    <n v="1"/>
    <x v="2"/>
    <n v="17007"/>
    <n v="11929"/>
    <n v="7"/>
    <x v="1"/>
    <n v="14"/>
    <n v="3"/>
    <n v="4"/>
    <n v="2"/>
    <n v="16"/>
    <n v="3"/>
    <x v="2"/>
    <n v="14"/>
    <n v="8"/>
    <n v="6"/>
    <n v="9"/>
    <x v="2"/>
    <x v="0"/>
    <n v="0"/>
    <x v="0"/>
    <s v="Bachelor"/>
    <x v="3"/>
    <x v="2"/>
  </r>
  <r>
    <n v="28"/>
    <s v="Yes"/>
    <x v="1"/>
    <n v="1496"/>
    <x v="0"/>
    <n v="1"/>
    <n v="3"/>
    <s v="Technical Degree"/>
    <n v="1486"/>
    <n v="1"/>
    <x v="1"/>
    <n v="92"/>
    <n v="3"/>
    <x v="1"/>
    <x v="6"/>
    <n v="3"/>
    <x v="1"/>
    <n v="2909"/>
    <n v="15747"/>
    <n v="3"/>
    <x v="1"/>
    <n v="15"/>
    <n v="3"/>
    <n v="4"/>
    <n v="1"/>
    <n v="5"/>
    <n v="3"/>
    <x v="3"/>
    <n v="3"/>
    <n v="2"/>
    <n v="1"/>
    <n v="2"/>
    <x v="2"/>
    <x v="0"/>
    <n v="1"/>
    <x v="2"/>
    <s v="Bachelor"/>
    <x v="2"/>
    <x v="3"/>
  </r>
  <r>
    <n v="29"/>
    <s v="Yes"/>
    <x v="1"/>
    <n v="115"/>
    <x v="0"/>
    <n v="13"/>
    <n v="3"/>
    <s v="Technical Degree"/>
    <n v="1487"/>
    <n v="1"/>
    <x v="0"/>
    <n v="51"/>
    <n v="3"/>
    <x v="0"/>
    <x v="0"/>
    <n v="2"/>
    <x v="0"/>
    <n v="5765"/>
    <n v="17485"/>
    <n v="5"/>
    <x v="1"/>
    <n v="11"/>
    <n v="3"/>
    <n v="1"/>
    <n v="0"/>
    <n v="7"/>
    <n v="4"/>
    <x v="0"/>
    <n v="5"/>
    <n v="3"/>
    <n v="0"/>
    <n v="0"/>
    <x v="2"/>
    <x v="0"/>
    <n v="1"/>
    <x v="0"/>
    <s v="Bachelor"/>
    <x v="1"/>
    <x v="0"/>
  </r>
  <r>
    <n v="34"/>
    <s v="Yes"/>
    <x v="0"/>
    <n v="790"/>
    <x v="0"/>
    <n v="24"/>
    <n v="4"/>
    <s v="Medical"/>
    <n v="1489"/>
    <n v="1"/>
    <x v="0"/>
    <n v="40"/>
    <n v="2"/>
    <x v="0"/>
    <x v="0"/>
    <n v="2"/>
    <x v="0"/>
    <n v="4599"/>
    <n v="7815"/>
    <n v="0"/>
    <x v="0"/>
    <n v="23"/>
    <n v="4"/>
    <n v="3"/>
    <n v="0"/>
    <n v="16"/>
    <n v="2"/>
    <x v="3"/>
    <n v="15"/>
    <n v="9"/>
    <n v="10"/>
    <n v="10"/>
    <x v="2"/>
    <x v="2"/>
    <n v="1"/>
    <x v="3"/>
    <s v="Master"/>
    <x v="1"/>
    <x v="3"/>
  </r>
  <r>
    <n v="35"/>
    <s v="No"/>
    <x v="0"/>
    <n v="660"/>
    <x v="0"/>
    <n v="7"/>
    <n v="1"/>
    <s v="Life Sciences"/>
    <n v="1492"/>
    <n v="4"/>
    <x v="1"/>
    <n v="76"/>
    <n v="3"/>
    <x v="1"/>
    <x v="6"/>
    <n v="3"/>
    <x v="1"/>
    <n v="2404"/>
    <n v="16192"/>
    <n v="1"/>
    <x v="1"/>
    <n v="13"/>
    <n v="3"/>
    <n v="1"/>
    <n v="1"/>
    <n v="1"/>
    <n v="3"/>
    <x v="1"/>
    <n v="1"/>
    <n v="0"/>
    <n v="0"/>
    <n v="0"/>
    <x v="2"/>
    <x v="0"/>
    <n v="0"/>
    <x v="2"/>
    <s v="Below College"/>
    <x v="2"/>
    <x v="1"/>
  </r>
  <r>
    <n v="24"/>
    <s v="Yes"/>
    <x v="1"/>
    <n v="381"/>
    <x v="1"/>
    <n v="9"/>
    <n v="3"/>
    <s v="Medical"/>
    <n v="1494"/>
    <n v="2"/>
    <x v="1"/>
    <n v="89"/>
    <n v="3"/>
    <x v="1"/>
    <x v="2"/>
    <n v="1"/>
    <x v="0"/>
    <n v="3172"/>
    <n v="16998"/>
    <n v="2"/>
    <x v="0"/>
    <n v="11"/>
    <n v="3"/>
    <n v="3"/>
    <n v="0"/>
    <n v="4"/>
    <n v="2"/>
    <x v="2"/>
    <n v="0"/>
    <n v="0"/>
    <n v="0"/>
    <n v="0"/>
    <x v="3"/>
    <x v="0"/>
    <n v="1"/>
    <x v="0"/>
    <s v="Bachelor"/>
    <x v="3"/>
    <x v="2"/>
  </r>
  <r>
    <n v="24"/>
    <s v="No"/>
    <x v="2"/>
    <n v="830"/>
    <x v="0"/>
    <n v="13"/>
    <n v="2"/>
    <s v="Life Sciences"/>
    <n v="1495"/>
    <n v="4"/>
    <x v="0"/>
    <n v="78"/>
    <n v="3"/>
    <x v="1"/>
    <x v="6"/>
    <n v="2"/>
    <x v="1"/>
    <n v="2033"/>
    <n v="7103"/>
    <n v="1"/>
    <x v="1"/>
    <n v="13"/>
    <n v="3"/>
    <n v="3"/>
    <n v="1"/>
    <n v="1"/>
    <n v="2"/>
    <x v="1"/>
    <n v="1"/>
    <n v="0"/>
    <n v="0"/>
    <n v="0"/>
    <x v="3"/>
    <x v="2"/>
    <n v="0"/>
    <x v="2"/>
    <s v="College"/>
    <x v="1"/>
    <x v="1"/>
  </r>
  <r>
    <n v="44"/>
    <s v="No"/>
    <x v="1"/>
    <n v="1193"/>
    <x v="1"/>
    <n v="2"/>
    <n v="1"/>
    <s v="Medical"/>
    <n v="1496"/>
    <n v="2"/>
    <x v="1"/>
    <n v="86"/>
    <n v="3"/>
    <x v="2"/>
    <x v="3"/>
    <n v="3"/>
    <x v="0"/>
    <n v="10209"/>
    <n v="19719"/>
    <n v="5"/>
    <x v="0"/>
    <n v="18"/>
    <n v="3"/>
    <n v="2"/>
    <n v="0"/>
    <n v="16"/>
    <n v="2"/>
    <x v="2"/>
    <n v="2"/>
    <n v="2"/>
    <n v="2"/>
    <n v="2"/>
    <x v="0"/>
    <x v="0"/>
    <n v="0"/>
    <x v="0"/>
    <s v="Below College"/>
    <x v="2"/>
    <x v="2"/>
  </r>
  <r>
    <n v="29"/>
    <s v="No"/>
    <x v="0"/>
    <n v="1246"/>
    <x v="0"/>
    <n v="19"/>
    <n v="3"/>
    <s v="Life Sciences"/>
    <n v="1497"/>
    <n v="3"/>
    <x v="1"/>
    <n v="77"/>
    <n v="2"/>
    <x v="0"/>
    <x v="0"/>
    <n v="3"/>
    <x v="2"/>
    <n v="8620"/>
    <n v="23757"/>
    <n v="1"/>
    <x v="1"/>
    <n v="14"/>
    <n v="3"/>
    <n v="3"/>
    <n v="2"/>
    <n v="10"/>
    <n v="3"/>
    <x v="1"/>
    <n v="10"/>
    <n v="7"/>
    <n v="0"/>
    <n v="4"/>
    <x v="2"/>
    <x v="0"/>
    <n v="0"/>
    <x v="1"/>
    <s v="Bachelor"/>
    <x v="2"/>
    <x v="1"/>
  </r>
  <r>
    <n v="30"/>
    <s v="No"/>
    <x v="0"/>
    <n v="330"/>
    <x v="2"/>
    <n v="1"/>
    <n v="3"/>
    <s v="Life Sciences"/>
    <n v="1499"/>
    <n v="3"/>
    <x v="1"/>
    <n v="46"/>
    <n v="3"/>
    <x v="1"/>
    <x v="8"/>
    <n v="3"/>
    <x v="2"/>
    <n v="2064"/>
    <n v="15428"/>
    <n v="0"/>
    <x v="1"/>
    <n v="21"/>
    <n v="4"/>
    <n v="1"/>
    <n v="1"/>
    <n v="6"/>
    <n v="3"/>
    <x v="3"/>
    <n v="5"/>
    <n v="3"/>
    <n v="1"/>
    <n v="3"/>
    <x v="2"/>
    <x v="0"/>
    <n v="0"/>
    <x v="2"/>
    <s v="Bachelor"/>
    <x v="2"/>
    <x v="3"/>
  </r>
  <r>
    <n v="55"/>
    <s v="No"/>
    <x v="0"/>
    <n v="1229"/>
    <x v="1"/>
    <n v="4"/>
    <n v="4"/>
    <s v="Life Sciences"/>
    <n v="1501"/>
    <n v="4"/>
    <x v="1"/>
    <n v="30"/>
    <n v="3"/>
    <x v="0"/>
    <x v="4"/>
    <n v="3"/>
    <x v="1"/>
    <n v="4035"/>
    <n v="16143"/>
    <n v="0"/>
    <x v="0"/>
    <n v="16"/>
    <n v="3"/>
    <n v="2"/>
    <n v="0"/>
    <n v="4"/>
    <n v="2"/>
    <x v="1"/>
    <n v="3"/>
    <n v="2"/>
    <n v="1"/>
    <n v="2"/>
    <x v="1"/>
    <x v="0"/>
    <n v="0"/>
    <x v="2"/>
    <s v="Master"/>
    <x v="2"/>
    <x v="1"/>
  </r>
  <r>
    <n v="33"/>
    <s v="No"/>
    <x v="0"/>
    <n v="1099"/>
    <x v="1"/>
    <n v="4"/>
    <n v="4"/>
    <s v="Medical"/>
    <n v="1502"/>
    <n v="1"/>
    <x v="0"/>
    <n v="82"/>
    <n v="2"/>
    <x v="1"/>
    <x v="2"/>
    <n v="2"/>
    <x v="1"/>
    <n v="3838"/>
    <n v="8192"/>
    <n v="8"/>
    <x v="1"/>
    <n v="11"/>
    <n v="3"/>
    <n v="4"/>
    <n v="0"/>
    <n v="8"/>
    <n v="5"/>
    <x v="1"/>
    <n v="5"/>
    <n v="4"/>
    <n v="0"/>
    <n v="2"/>
    <x v="2"/>
    <x v="2"/>
    <n v="0"/>
    <x v="2"/>
    <s v="Master"/>
    <x v="1"/>
    <x v="1"/>
  </r>
  <r>
    <n v="47"/>
    <s v="No"/>
    <x v="0"/>
    <n v="571"/>
    <x v="0"/>
    <n v="14"/>
    <n v="3"/>
    <s v="Medical"/>
    <n v="1503"/>
    <n v="3"/>
    <x v="0"/>
    <n v="78"/>
    <n v="3"/>
    <x v="0"/>
    <x v="0"/>
    <n v="3"/>
    <x v="1"/>
    <n v="4591"/>
    <n v="24200"/>
    <n v="3"/>
    <x v="0"/>
    <n v="17"/>
    <n v="3"/>
    <n v="3"/>
    <n v="1"/>
    <n v="11"/>
    <n v="4"/>
    <x v="2"/>
    <n v="5"/>
    <n v="4"/>
    <n v="1"/>
    <n v="2"/>
    <x v="1"/>
    <x v="0"/>
    <n v="0"/>
    <x v="0"/>
    <s v="Bachelor"/>
    <x v="2"/>
    <x v="2"/>
  </r>
  <r>
    <n v="28"/>
    <s v="Yes"/>
    <x v="1"/>
    <n v="289"/>
    <x v="1"/>
    <n v="2"/>
    <n v="2"/>
    <s v="Medical"/>
    <n v="1504"/>
    <n v="3"/>
    <x v="1"/>
    <n v="38"/>
    <n v="2"/>
    <x v="1"/>
    <x v="2"/>
    <n v="1"/>
    <x v="0"/>
    <n v="2561"/>
    <n v="5355"/>
    <n v="7"/>
    <x v="1"/>
    <n v="11"/>
    <n v="3"/>
    <n v="3"/>
    <n v="0"/>
    <n v="8"/>
    <n v="2"/>
    <x v="2"/>
    <n v="0"/>
    <n v="0"/>
    <n v="0"/>
    <n v="0"/>
    <x v="2"/>
    <x v="3"/>
    <n v="1"/>
    <x v="0"/>
    <s v="College"/>
    <x v="3"/>
    <x v="2"/>
  </r>
  <r>
    <n v="28"/>
    <s v="No"/>
    <x v="0"/>
    <n v="1423"/>
    <x v="1"/>
    <n v="1"/>
    <n v="3"/>
    <s v="Life Sciences"/>
    <n v="1506"/>
    <n v="1"/>
    <x v="1"/>
    <n v="72"/>
    <n v="2"/>
    <x v="1"/>
    <x v="1"/>
    <n v="3"/>
    <x v="2"/>
    <n v="1563"/>
    <n v="12530"/>
    <n v="1"/>
    <x v="1"/>
    <n v="14"/>
    <n v="3"/>
    <n v="4"/>
    <n v="1"/>
    <n v="1"/>
    <n v="2"/>
    <x v="0"/>
    <n v="1"/>
    <n v="0"/>
    <n v="0"/>
    <n v="0"/>
    <x v="2"/>
    <x v="0"/>
    <n v="0"/>
    <x v="0"/>
    <s v="Bachelor"/>
    <x v="2"/>
    <x v="0"/>
  </r>
  <r>
    <n v="28"/>
    <s v="No"/>
    <x v="1"/>
    <n v="467"/>
    <x v="0"/>
    <n v="7"/>
    <n v="3"/>
    <s v="Life Sciences"/>
    <n v="1507"/>
    <n v="3"/>
    <x v="1"/>
    <n v="55"/>
    <n v="3"/>
    <x v="0"/>
    <x v="0"/>
    <n v="1"/>
    <x v="0"/>
    <n v="4898"/>
    <n v="11827"/>
    <n v="0"/>
    <x v="1"/>
    <n v="14"/>
    <n v="3"/>
    <n v="4"/>
    <n v="0"/>
    <n v="5"/>
    <n v="5"/>
    <x v="1"/>
    <n v="4"/>
    <n v="2"/>
    <n v="1"/>
    <n v="3"/>
    <x v="2"/>
    <x v="0"/>
    <n v="0"/>
    <x v="2"/>
    <s v="Bachelor"/>
    <x v="3"/>
    <x v="1"/>
  </r>
  <r>
    <n v="49"/>
    <s v="No"/>
    <x v="0"/>
    <n v="271"/>
    <x v="1"/>
    <n v="3"/>
    <n v="2"/>
    <s v="Medical"/>
    <n v="1509"/>
    <n v="3"/>
    <x v="0"/>
    <n v="43"/>
    <n v="2"/>
    <x v="0"/>
    <x v="2"/>
    <n v="1"/>
    <x v="1"/>
    <n v="4789"/>
    <n v="23070"/>
    <n v="4"/>
    <x v="1"/>
    <n v="25"/>
    <n v="4"/>
    <n v="1"/>
    <n v="1"/>
    <n v="10"/>
    <n v="3"/>
    <x v="1"/>
    <n v="3"/>
    <n v="2"/>
    <n v="1"/>
    <n v="2"/>
    <x v="1"/>
    <x v="0"/>
    <n v="0"/>
    <x v="2"/>
    <s v="College"/>
    <x v="3"/>
    <x v="1"/>
  </r>
  <r>
    <n v="29"/>
    <s v="No"/>
    <x v="1"/>
    <n v="410"/>
    <x v="1"/>
    <n v="2"/>
    <n v="1"/>
    <s v="Life Sciences"/>
    <n v="1513"/>
    <n v="4"/>
    <x v="0"/>
    <n v="97"/>
    <n v="3"/>
    <x v="1"/>
    <x v="2"/>
    <n v="2"/>
    <x v="1"/>
    <n v="3180"/>
    <n v="4668"/>
    <n v="0"/>
    <x v="1"/>
    <n v="13"/>
    <n v="3"/>
    <n v="3"/>
    <n v="3"/>
    <n v="4"/>
    <n v="3"/>
    <x v="1"/>
    <n v="3"/>
    <n v="2"/>
    <n v="0"/>
    <n v="2"/>
    <x v="2"/>
    <x v="3"/>
    <n v="0"/>
    <x v="2"/>
    <s v="Below College"/>
    <x v="1"/>
    <x v="1"/>
  </r>
  <r>
    <n v="28"/>
    <s v="No"/>
    <x v="0"/>
    <n v="1083"/>
    <x v="1"/>
    <n v="29"/>
    <n v="1"/>
    <s v="Life Sciences"/>
    <n v="1514"/>
    <n v="3"/>
    <x v="1"/>
    <n v="96"/>
    <n v="1"/>
    <x v="0"/>
    <x v="3"/>
    <n v="2"/>
    <x v="1"/>
    <n v="6549"/>
    <n v="3173"/>
    <n v="1"/>
    <x v="1"/>
    <n v="14"/>
    <n v="3"/>
    <n v="2"/>
    <n v="2"/>
    <n v="8"/>
    <n v="2"/>
    <x v="2"/>
    <n v="8"/>
    <n v="6"/>
    <n v="1"/>
    <n v="7"/>
    <x v="2"/>
    <x v="3"/>
    <n v="0"/>
    <x v="0"/>
    <s v="Below College"/>
    <x v="1"/>
    <x v="2"/>
  </r>
  <r>
    <n v="33"/>
    <s v="No"/>
    <x v="0"/>
    <n v="516"/>
    <x v="1"/>
    <n v="8"/>
    <n v="5"/>
    <s v="Life Sciences"/>
    <n v="1515"/>
    <n v="4"/>
    <x v="1"/>
    <n v="69"/>
    <n v="3"/>
    <x v="0"/>
    <x v="4"/>
    <n v="3"/>
    <x v="0"/>
    <n v="6388"/>
    <n v="22049"/>
    <n v="2"/>
    <x v="0"/>
    <n v="17"/>
    <n v="3"/>
    <n v="1"/>
    <n v="0"/>
    <n v="14"/>
    <n v="6"/>
    <x v="1"/>
    <n v="0"/>
    <n v="0"/>
    <n v="0"/>
    <n v="0"/>
    <x v="2"/>
    <x v="0"/>
    <n v="0"/>
    <x v="2"/>
    <s v="Doctor"/>
    <x v="2"/>
    <x v="1"/>
  </r>
  <r>
    <n v="32"/>
    <s v="No"/>
    <x v="0"/>
    <n v="495"/>
    <x v="1"/>
    <n v="10"/>
    <n v="3"/>
    <s v="Medical"/>
    <n v="1516"/>
    <n v="3"/>
    <x v="1"/>
    <n v="64"/>
    <n v="3"/>
    <x v="2"/>
    <x v="5"/>
    <n v="4"/>
    <x v="0"/>
    <n v="11244"/>
    <n v="21072"/>
    <n v="2"/>
    <x v="1"/>
    <n v="25"/>
    <n v="4"/>
    <n v="2"/>
    <n v="0"/>
    <n v="10"/>
    <n v="5"/>
    <x v="3"/>
    <n v="5"/>
    <n v="2"/>
    <n v="0"/>
    <n v="0"/>
    <x v="2"/>
    <x v="0"/>
    <n v="0"/>
    <x v="2"/>
    <s v="Bachelor"/>
    <x v="0"/>
    <x v="3"/>
  </r>
  <r>
    <n v="54"/>
    <s v="No"/>
    <x v="1"/>
    <n v="1050"/>
    <x v="1"/>
    <n v="11"/>
    <n v="4"/>
    <s v="Medical"/>
    <n v="1520"/>
    <n v="2"/>
    <x v="0"/>
    <n v="87"/>
    <n v="3"/>
    <x v="3"/>
    <x v="5"/>
    <n v="4"/>
    <x v="2"/>
    <n v="16032"/>
    <n v="24456"/>
    <n v="3"/>
    <x v="1"/>
    <n v="20"/>
    <n v="4"/>
    <n v="1"/>
    <n v="1"/>
    <n v="26"/>
    <n v="2"/>
    <x v="1"/>
    <n v="14"/>
    <n v="9"/>
    <n v="1"/>
    <n v="12"/>
    <x v="1"/>
    <x v="0"/>
    <n v="0"/>
    <x v="3"/>
    <s v="Master"/>
    <x v="0"/>
    <x v="1"/>
  </r>
  <r>
    <n v="29"/>
    <s v="Yes"/>
    <x v="0"/>
    <n v="224"/>
    <x v="1"/>
    <n v="1"/>
    <n v="4"/>
    <s v="Technical Degree"/>
    <n v="1522"/>
    <n v="1"/>
    <x v="1"/>
    <n v="100"/>
    <n v="2"/>
    <x v="1"/>
    <x v="1"/>
    <n v="1"/>
    <x v="0"/>
    <n v="2362"/>
    <n v="7568"/>
    <n v="6"/>
    <x v="1"/>
    <n v="13"/>
    <n v="3"/>
    <n v="3"/>
    <n v="0"/>
    <n v="11"/>
    <n v="2"/>
    <x v="0"/>
    <n v="9"/>
    <n v="7"/>
    <n v="0"/>
    <n v="7"/>
    <x v="2"/>
    <x v="2"/>
    <n v="1"/>
    <x v="0"/>
    <s v="Master"/>
    <x v="3"/>
    <x v="0"/>
  </r>
  <r>
    <n v="44"/>
    <s v="No"/>
    <x v="0"/>
    <n v="136"/>
    <x v="1"/>
    <n v="28"/>
    <n v="3"/>
    <s v="Life Sciences"/>
    <n v="1523"/>
    <n v="4"/>
    <x v="1"/>
    <n v="32"/>
    <n v="3"/>
    <x v="3"/>
    <x v="7"/>
    <n v="1"/>
    <x v="1"/>
    <n v="16328"/>
    <n v="22074"/>
    <n v="3"/>
    <x v="1"/>
    <n v="13"/>
    <n v="3"/>
    <n v="3"/>
    <n v="1"/>
    <n v="24"/>
    <n v="1"/>
    <x v="3"/>
    <n v="20"/>
    <n v="6"/>
    <n v="14"/>
    <n v="17"/>
    <x v="0"/>
    <x v="0"/>
    <n v="0"/>
    <x v="3"/>
    <s v="Bachelor"/>
    <x v="3"/>
    <x v="3"/>
  </r>
  <r>
    <n v="39"/>
    <s v="No"/>
    <x v="0"/>
    <n v="1089"/>
    <x v="1"/>
    <n v="6"/>
    <n v="3"/>
    <s v="Life Sciences"/>
    <n v="1525"/>
    <n v="2"/>
    <x v="0"/>
    <n v="32"/>
    <n v="3"/>
    <x v="2"/>
    <x v="3"/>
    <n v="2"/>
    <x v="0"/>
    <n v="8376"/>
    <n v="9150"/>
    <n v="4"/>
    <x v="1"/>
    <n v="18"/>
    <n v="3"/>
    <n v="4"/>
    <n v="0"/>
    <n v="9"/>
    <n v="3"/>
    <x v="1"/>
    <n v="2"/>
    <n v="0"/>
    <n v="2"/>
    <n v="2"/>
    <x v="0"/>
    <x v="2"/>
    <n v="0"/>
    <x v="2"/>
    <s v="Bachelor"/>
    <x v="1"/>
    <x v="1"/>
  </r>
  <r>
    <n v="46"/>
    <s v="No"/>
    <x v="0"/>
    <n v="228"/>
    <x v="0"/>
    <n v="3"/>
    <n v="3"/>
    <s v="Life Sciences"/>
    <n v="1527"/>
    <n v="3"/>
    <x v="0"/>
    <n v="51"/>
    <n v="3"/>
    <x v="3"/>
    <x v="5"/>
    <n v="2"/>
    <x v="1"/>
    <n v="16606"/>
    <n v="11380"/>
    <n v="8"/>
    <x v="1"/>
    <n v="12"/>
    <n v="3"/>
    <n v="4"/>
    <n v="1"/>
    <n v="23"/>
    <n v="2"/>
    <x v="3"/>
    <n v="13"/>
    <n v="12"/>
    <n v="5"/>
    <n v="1"/>
    <x v="1"/>
    <x v="0"/>
    <n v="0"/>
    <x v="3"/>
    <s v="Bachelor"/>
    <x v="1"/>
    <x v="3"/>
  </r>
  <r>
    <n v="35"/>
    <s v="No"/>
    <x v="0"/>
    <n v="1029"/>
    <x v="1"/>
    <n v="16"/>
    <n v="3"/>
    <s v="Life Sciences"/>
    <n v="1529"/>
    <n v="4"/>
    <x v="0"/>
    <n v="91"/>
    <n v="2"/>
    <x v="2"/>
    <x v="4"/>
    <n v="2"/>
    <x v="0"/>
    <n v="8606"/>
    <n v="21195"/>
    <n v="1"/>
    <x v="1"/>
    <n v="19"/>
    <n v="3"/>
    <n v="4"/>
    <n v="0"/>
    <n v="11"/>
    <n v="3"/>
    <x v="0"/>
    <n v="11"/>
    <n v="8"/>
    <n v="3"/>
    <n v="3"/>
    <x v="2"/>
    <x v="0"/>
    <n v="0"/>
    <x v="0"/>
    <s v="Bachelor"/>
    <x v="1"/>
    <x v="0"/>
  </r>
  <r>
    <n v="23"/>
    <s v="No"/>
    <x v="0"/>
    <n v="507"/>
    <x v="1"/>
    <n v="20"/>
    <n v="1"/>
    <s v="Life Sciences"/>
    <n v="1533"/>
    <n v="1"/>
    <x v="1"/>
    <n v="97"/>
    <n v="3"/>
    <x v="0"/>
    <x v="2"/>
    <n v="3"/>
    <x v="0"/>
    <n v="2272"/>
    <n v="24812"/>
    <n v="0"/>
    <x v="1"/>
    <n v="14"/>
    <n v="3"/>
    <n v="2"/>
    <n v="0"/>
    <n v="5"/>
    <n v="2"/>
    <x v="1"/>
    <n v="4"/>
    <n v="3"/>
    <n v="1"/>
    <n v="2"/>
    <x v="3"/>
    <x v="0"/>
    <n v="0"/>
    <x v="2"/>
    <s v="Below College"/>
    <x v="2"/>
    <x v="1"/>
  </r>
  <r>
    <n v="40"/>
    <s v="Yes"/>
    <x v="0"/>
    <n v="676"/>
    <x v="1"/>
    <n v="9"/>
    <n v="4"/>
    <s v="Life Sciences"/>
    <n v="1534"/>
    <n v="4"/>
    <x v="1"/>
    <n v="86"/>
    <n v="3"/>
    <x v="1"/>
    <x v="2"/>
    <n v="1"/>
    <x v="0"/>
    <n v="2018"/>
    <n v="21831"/>
    <n v="3"/>
    <x v="1"/>
    <n v="14"/>
    <n v="3"/>
    <n v="2"/>
    <n v="0"/>
    <n v="15"/>
    <n v="3"/>
    <x v="0"/>
    <n v="5"/>
    <n v="4"/>
    <n v="1"/>
    <n v="0"/>
    <x v="0"/>
    <x v="0"/>
    <n v="1"/>
    <x v="0"/>
    <s v="Master"/>
    <x v="3"/>
    <x v="0"/>
  </r>
  <r>
    <n v="34"/>
    <s v="No"/>
    <x v="0"/>
    <n v="971"/>
    <x v="0"/>
    <n v="1"/>
    <n v="3"/>
    <s v="Technical Degree"/>
    <n v="1535"/>
    <n v="4"/>
    <x v="1"/>
    <n v="64"/>
    <n v="2"/>
    <x v="2"/>
    <x v="0"/>
    <n v="3"/>
    <x v="1"/>
    <n v="7083"/>
    <n v="12288"/>
    <n v="1"/>
    <x v="0"/>
    <n v="14"/>
    <n v="3"/>
    <n v="4"/>
    <n v="0"/>
    <n v="10"/>
    <n v="3"/>
    <x v="1"/>
    <n v="10"/>
    <n v="9"/>
    <n v="8"/>
    <n v="6"/>
    <x v="2"/>
    <x v="0"/>
    <n v="0"/>
    <x v="1"/>
    <s v="Bachelor"/>
    <x v="2"/>
    <x v="1"/>
  </r>
  <r>
    <n v="31"/>
    <s v="Yes"/>
    <x v="1"/>
    <n v="561"/>
    <x v="1"/>
    <n v="3"/>
    <n v="3"/>
    <s v="Life Sciences"/>
    <n v="1537"/>
    <n v="4"/>
    <x v="0"/>
    <n v="33"/>
    <n v="3"/>
    <x v="1"/>
    <x v="1"/>
    <n v="3"/>
    <x v="0"/>
    <n v="4084"/>
    <n v="4156"/>
    <n v="1"/>
    <x v="1"/>
    <n v="12"/>
    <n v="3"/>
    <n v="1"/>
    <n v="0"/>
    <n v="7"/>
    <n v="2"/>
    <x v="0"/>
    <n v="7"/>
    <n v="2"/>
    <n v="7"/>
    <n v="7"/>
    <x v="2"/>
    <x v="3"/>
    <n v="1"/>
    <x v="0"/>
    <s v="Bachelor"/>
    <x v="2"/>
    <x v="0"/>
  </r>
  <r>
    <n v="50"/>
    <s v="No"/>
    <x v="1"/>
    <n v="333"/>
    <x v="1"/>
    <n v="22"/>
    <n v="5"/>
    <s v="Medical"/>
    <n v="1539"/>
    <n v="3"/>
    <x v="1"/>
    <n v="88"/>
    <n v="1"/>
    <x v="3"/>
    <x v="7"/>
    <n v="4"/>
    <x v="0"/>
    <n v="14411"/>
    <n v="24450"/>
    <n v="1"/>
    <x v="0"/>
    <n v="13"/>
    <n v="3"/>
    <n v="4"/>
    <n v="0"/>
    <n v="32"/>
    <n v="2"/>
    <x v="1"/>
    <n v="32"/>
    <n v="6"/>
    <n v="13"/>
    <n v="9"/>
    <x v="1"/>
    <x v="0"/>
    <n v="0"/>
    <x v="3"/>
    <s v="Doctor"/>
    <x v="0"/>
    <x v="1"/>
  </r>
  <r>
    <n v="34"/>
    <s v="No"/>
    <x v="0"/>
    <n v="1440"/>
    <x v="0"/>
    <n v="7"/>
    <n v="2"/>
    <s v="Technical Degree"/>
    <n v="1541"/>
    <n v="2"/>
    <x v="1"/>
    <n v="55"/>
    <n v="3"/>
    <x v="1"/>
    <x v="6"/>
    <n v="3"/>
    <x v="1"/>
    <n v="2308"/>
    <n v="4944"/>
    <n v="0"/>
    <x v="0"/>
    <n v="25"/>
    <n v="4"/>
    <n v="2"/>
    <n v="1"/>
    <n v="12"/>
    <n v="4"/>
    <x v="1"/>
    <n v="11"/>
    <n v="10"/>
    <n v="5"/>
    <n v="7"/>
    <x v="2"/>
    <x v="3"/>
    <n v="0"/>
    <x v="3"/>
    <s v="College"/>
    <x v="2"/>
    <x v="1"/>
  </r>
  <r>
    <n v="42"/>
    <s v="No"/>
    <x v="0"/>
    <n v="1210"/>
    <x v="1"/>
    <n v="2"/>
    <n v="3"/>
    <s v="Medical"/>
    <n v="1542"/>
    <n v="3"/>
    <x v="1"/>
    <n v="68"/>
    <n v="2"/>
    <x v="1"/>
    <x v="2"/>
    <n v="2"/>
    <x v="1"/>
    <n v="4841"/>
    <n v="24052"/>
    <n v="4"/>
    <x v="1"/>
    <n v="14"/>
    <n v="3"/>
    <n v="2"/>
    <n v="1"/>
    <n v="4"/>
    <n v="3"/>
    <x v="1"/>
    <n v="1"/>
    <n v="0"/>
    <n v="0"/>
    <n v="0"/>
    <x v="0"/>
    <x v="0"/>
    <n v="0"/>
    <x v="2"/>
    <s v="Bachelor"/>
    <x v="1"/>
    <x v="1"/>
  </r>
  <r>
    <n v="37"/>
    <s v="No"/>
    <x v="0"/>
    <n v="674"/>
    <x v="1"/>
    <n v="13"/>
    <n v="3"/>
    <s v="Medical"/>
    <n v="1543"/>
    <n v="1"/>
    <x v="1"/>
    <n v="47"/>
    <n v="3"/>
    <x v="0"/>
    <x v="1"/>
    <n v="4"/>
    <x v="1"/>
    <n v="4285"/>
    <n v="3031"/>
    <n v="1"/>
    <x v="1"/>
    <n v="17"/>
    <n v="3"/>
    <n v="1"/>
    <n v="0"/>
    <n v="10"/>
    <n v="2"/>
    <x v="1"/>
    <n v="10"/>
    <n v="8"/>
    <n v="3"/>
    <n v="7"/>
    <x v="0"/>
    <x v="3"/>
    <n v="0"/>
    <x v="1"/>
    <s v="Bachelor"/>
    <x v="0"/>
    <x v="1"/>
  </r>
  <r>
    <n v="29"/>
    <s v="No"/>
    <x v="0"/>
    <n v="441"/>
    <x v="1"/>
    <n v="8"/>
    <n v="1"/>
    <s v="Other"/>
    <n v="1544"/>
    <n v="3"/>
    <x v="0"/>
    <n v="39"/>
    <n v="1"/>
    <x v="0"/>
    <x v="4"/>
    <n v="1"/>
    <x v="1"/>
    <n v="9715"/>
    <n v="7288"/>
    <n v="3"/>
    <x v="1"/>
    <n v="13"/>
    <n v="3"/>
    <n v="3"/>
    <n v="1"/>
    <n v="9"/>
    <n v="3"/>
    <x v="1"/>
    <n v="7"/>
    <n v="7"/>
    <n v="0"/>
    <n v="7"/>
    <x v="2"/>
    <x v="2"/>
    <n v="0"/>
    <x v="1"/>
    <s v="Below College"/>
    <x v="3"/>
    <x v="1"/>
  </r>
  <r>
    <n v="33"/>
    <s v="No"/>
    <x v="0"/>
    <n v="575"/>
    <x v="1"/>
    <n v="25"/>
    <n v="3"/>
    <s v="Life Sciences"/>
    <n v="1545"/>
    <n v="4"/>
    <x v="1"/>
    <n v="44"/>
    <n v="2"/>
    <x v="0"/>
    <x v="3"/>
    <n v="2"/>
    <x v="0"/>
    <n v="4320"/>
    <n v="24152"/>
    <n v="1"/>
    <x v="1"/>
    <n v="13"/>
    <n v="3"/>
    <n v="4"/>
    <n v="0"/>
    <n v="5"/>
    <n v="2"/>
    <x v="1"/>
    <n v="5"/>
    <n v="3"/>
    <n v="0"/>
    <n v="2"/>
    <x v="2"/>
    <x v="0"/>
    <n v="0"/>
    <x v="2"/>
    <s v="Bachelor"/>
    <x v="1"/>
    <x v="1"/>
  </r>
  <r>
    <n v="45"/>
    <s v="No"/>
    <x v="0"/>
    <n v="950"/>
    <x v="1"/>
    <n v="28"/>
    <n v="3"/>
    <s v="Technical Degree"/>
    <n v="1546"/>
    <n v="4"/>
    <x v="1"/>
    <n v="97"/>
    <n v="3"/>
    <x v="1"/>
    <x v="1"/>
    <n v="4"/>
    <x v="1"/>
    <n v="2132"/>
    <n v="4585"/>
    <n v="4"/>
    <x v="1"/>
    <n v="20"/>
    <n v="4"/>
    <n v="4"/>
    <n v="1"/>
    <n v="8"/>
    <n v="3"/>
    <x v="1"/>
    <n v="5"/>
    <n v="4"/>
    <n v="0"/>
    <n v="3"/>
    <x v="0"/>
    <x v="3"/>
    <n v="0"/>
    <x v="2"/>
    <s v="Bachelor"/>
    <x v="0"/>
    <x v="1"/>
  </r>
  <r>
    <n v="42"/>
    <s v="No"/>
    <x v="1"/>
    <n v="288"/>
    <x v="1"/>
    <n v="2"/>
    <n v="3"/>
    <s v="Life Sciences"/>
    <n v="1547"/>
    <n v="4"/>
    <x v="1"/>
    <n v="40"/>
    <n v="3"/>
    <x v="2"/>
    <x v="4"/>
    <n v="4"/>
    <x v="1"/>
    <n v="10124"/>
    <n v="18611"/>
    <n v="2"/>
    <x v="0"/>
    <n v="14"/>
    <n v="3"/>
    <n v="3"/>
    <n v="1"/>
    <n v="24"/>
    <n v="3"/>
    <x v="0"/>
    <n v="20"/>
    <n v="8"/>
    <n v="13"/>
    <n v="9"/>
    <x v="0"/>
    <x v="0"/>
    <n v="0"/>
    <x v="0"/>
    <s v="Bachelor"/>
    <x v="0"/>
    <x v="0"/>
  </r>
  <r>
    <n v="40"/>
    <s v="No"/>
    <x v="0"/>
    <n v="1342"/>
    <x v="0"/>
    <n v="9"/>
    <n v="2"/>
    <s v="Medical"/>
    <n v="1548"/>
    <n v="1"/>
    <x v="1"/>
    <n v="47"/>
    <n v="3"/>
    <x v="0"/>
    <x v="0"/>
    <n v="1"/>
    <x v="1"/>
    <n v="5473"/>
    <n v="19345"/>
    <n v="0"/>
    <x v="1"/>
    <n v="12"/>
    <n v="3"/>
    <n v="4"/>
    <n v="0"/>
    <n v="9"/>
    <n v="5"/>
    <x v="3"/>
    <n v="8"/>
    <n v="4"/>
    <n v="7"/>
    <n v="1"/>
    <x v="0"/>
    <x v="0"/>
    <n v="0"/>
    <x v="1"/>
    <s v="College"/>
    <x v="3"/>
    <x v="3"/>
  </r>
  <r>
    <n v="33"/>
    <s v="No"/>
    <x v="0"/>
    <n v="589"/>
    <x v="1"/>
    <n v="28"/>
    <n v="4"/>
    <s v="Life Sciences"/>
    <n v="1549"/>
    <n v="2"/>
    <x v="1"/>
    <n v="79"/>
    <n v="3"/>
    <x v="0"/>
    <x v="2"/>
    <n v="3"/>
    <x v="1"/>
    <n v="5207"/>
    <n v="22949"/>
    <n v="1"/>
    <x v="0"/>
    <n v="12"/>
    <n v="3"/>
    <n v="2"/>
    <n v="1"/>
    <n v="15"/>
    <n v="3"/>
    <x v="1"/>
    <n v="15"/>
    <n v="14"/>
    <n v="5"/>
    <n v="7"/>
    <x v="2"/>
    <x v="0"/>
    <n v="0"/>
    <x v="3"/>
    <s v="Master"/>
    <x v="2"/>
    <x v="1"/>
  </r>
  <r>
    <n v="40"/>
    <s v="No"/>
    <x v="0"/>
    <n v="898"/>
    <x v="2"/>
    <n v="6"/>
    <n v="2"/>
    <s v="Medical"/>
    <n v="1550"/>
    <n v="3"/>
    <x v="1"/>
    <n v="38"/>
    <n v="3"/>
    <x v="3"/>
    <x v="5"/>
    <n v="4"/>
    <x v="0"/>
    <n v="16437"/>
    <n v="17381"/>
    <n v="1"/>
    <x v="0"/>
    <n v="21"/>
    <n v="4"/>
    <n v="4"/>
    <n v="0"/>
    <n v="21"/>
    <n v="2"/>
    <x v="1"/>
    <n v="21"/>
    <n v="7"/>
    <n v="7"/>
    <n v="7"/>
    <x v="0"/>
    <x v="0"/>
    <n v="0"/>
    <x v="3"/>
    <s v="College"/>
    <x v="0"/>
    <x v="1"/>
  </r>
  <r>
    <n v="24"/>
    <s v="No"/>
    <x v="0"/>
    <n v="350"/>
    <x v="1"/>
    <n v="21"/>
    <n v="2"/>
    <s v="Technical Degree"/>
    <n v="1551"/>
    <n v="3"/>
    <x v="1"/>
    <n v="57"/>
    <n v="2"/>
    <x v="1"/>
    <x v="2"/>
    <n v="1"/>
    <x v="2"/>
    <n v="2296"/>
    <n v="10036"/>
    <n v="0"/>
    <x v="1"/>
    <n v="14"/>
    <n v="3"/>
    <n v="2"/>
    <n v="3"/>
    <n v="2"/>
    <n v="3"/>
    <x v="1"/>
    <n v="1"/>
    <n v="1"/>
    <n v="0"/>
    <n v="0"/>
    <x v="3"/>
    <x v="0"/>
    <n v="0"/>
    <x v="2"/>
    <s v="College"/>
    <x v="3"/>
    <x v="1"/>
  </r>
  <r>
    <n v="40"/>
    <s v="No"/>
    <x v="2"/>
    <n v="1142"/>
    <x v="1"/>
    <n v="8"/>
    <n v="2"/>
    <s v="Life Sciences"/>
    <n v="1552"/>
    <n v="4"/>
    <x v="1"/>
    <n v="72"/>
    <n v="3"/>
    <x v="0"/>
    <x v="4"/>
    <n v="4"/>
    <x v="2"/>
    <n v="4069"/>
    <n v="8841"/>
    <n v="3"/>
    <x v="0"/>
    <n v="18"/>
    <n v="3"/>
    <n v="3"/>
    <n v="0"/>
    <n v="8"/>
    <n v="2"/>
    <x v="1"/>
    <n v="2"/>
    <n v="2"/>
    <n v="2"/>
    <n v="2"/>
    <x v="0"/>
    <x v="2"/>
    <n v="0"/>
    <x v="2"/>
    <s v="College"/>
    <x v="0"/>
    <x v="1"/>
  </r>
  <r>
    <n v="45"/>
    <s v="No"/>
    <x v="0"/>
    <n v="538"/>
    <x v="1"/>
    <n v="1"/>
    <n v="4"/>
    <s v="Technical Degree"/>
    <n v="1553"/>
    <n v="1"/>
    <x v="1"/>
    <n v="66"/>
    <n v="3"/>
    <x v="2"/>
    <x v="4"/>
    <n v="2"/>
    <x v="2"/>
    <n v="7441"/>
    <n v="20933"/>
    <n v="1"/>
    <x v="1"/>
    <n v="12"/>
    <n v="3"/>
    <n v="1"/>
    <n v="3"/>
    <n v="10"/>
    <n v="4"/>
    <x v="1"/>
    <n v="10"/>
    <n v="8"/>
    <n v="7"/>
    <n v="7"/>
    <x v="0"/>
    <x v="0"/>
    <n v="0"/>
    <x v="1"/>
    <s v="Master"/>
    <x v="1"/>
    <x v="1"/>
  </r>
  <r>
    <n v="35"/>
    <s v="No"/>
    <x v="0"/>
    <n v="1402"/>
    <x v="0"/>
    <n v="28"/>
    <n v="4"/>
    <s v="Life Sciences"/>
    <n v="1554"/>
    <n v="2"/>
    <x v="0"/>
    <n v="98"/>
    <n v="2"/>
    <x v="1"/>
    <x v="6"/>
    <n v="3"/>
    <x v="1"/>
    <n v="2430"/>
    <n v="26204"/>
    <n v="0"/>
    <x v="1"/>
    <n v="23"/>
    <n v="4"/>
    <n v="1"/>
    <n v="2"/>
    <n v="6"/>
    <n v="5"/>
    <x v="1"/>
    <n v="5"/>
    <n v="3"/>
    <n v="4"/>
    <n v="2"/>
    <x v="2"/>
    <x v="0"/>
    <n v="0"/>
    <x v="2"/>
    <s v="Master"/>
    <x v="2"/>
    <x v="1"/>
  </r>
  <r>
    <n v="32"/>
    <s v="No"/>
    <x v="0"/>
    <n v="824"/>
    <x v="1"/>
    <n v="5"/>
    <n v="2"/>
    <s v="Life Sciences"/>
    <n v="1555"/>
    <n v="4"/>
    <x v="0"/>
    <n v="67"/>
    <n v="2"/>
    <x v="0"/>
    <x v="1"/>
    <n v="2"/>
    <x v="1"/>
    <n v="5878"/>
    <n v="15624"/>
    <n v="3"/>
    <x v="1"/>
    <n v="12"/>
    <n v="3"/>
    <n v="1"/>
    <n v="1"/>
    <n v="12"/>
    <n v="2"/>
    <x v="1"/>
    <n v="7"/>
    <n v="1"/>
    <n v="2"/>
    <n v="5"/>
    <x v="2"/>
    <x v="0"/>
    <n v="0"/>
    <x v="1"/>
    <s v="College"/>
    <x v="1"/>
    <x v="1"/>
  </r>
  <r>
    <n v="36"/>
    <s v="No"/>
    <x v="0"/>
    <n v="1157"/>
    <x v="0"/>
    <n v="2"/>
    <n v="4"/>
    <s v="Life Sciences"/>
    <n v="1556"/>
    <n v="3"/>
    <x v="1"/>
    <n v="70"/>
    <n v="3"/>
    <x v="1"/>
    <x v="6"/>
    <n v="4"/>
    <x v="0"/>
    <n v="2644"/>
    <n v="17001"/>
    <n v="3"/>
    <x v="0"/>
    <n v="21"/>
    <n v="4"/>
    <n v="4"/>
    <n v="0"/>
    <n v="7"/>
    <n v="3"/>
    <x v="2"/>
    <n v="3"/>
    <n v="2"/>
    <n v="1"/>
    <n v="2"/>
    <x v="0"/>
    <x v="0"/>
    <n v="0"/>
    <x v="0"/>
    <s v="Master"/>
    <x v="0"/>
    <x v="2"/>
  </r>
  <r>
    <n v="48"/>
    <s v="No"/>
    <x v="0"/>
    <n v="492"/>
    <x v="0"/>
    <n v="16"/>
    <n v="4"/>
    <s v="Life Sciences"/>
    <n v="1557"/>
    <n v="3"/>
    <x v="0"/>
    <n v="96"/>
    <n v="3"/>
    <x v="0"/>
    <x v="0"/>
    <n v="3"/>
    <x v="2"/>
    <n v="6439"/>
    <n v="13693"/>
    <n v="8"/>
    <x v="1"/>
    <n v="14"/>
    <n v="3"/>
    <n v="3"/>
    <n v="1"/>
    <n v="18"/>
    <n v="2"/>
    <x v="1"/>
    <n v="8"/>
    <n v="7"/>
    <n v="7"/>
    <n v="7"/>
    <x v="1"/>
    <x v="0"/>
    <n v="0"/>
    <x v="1"/>
    <s v="Master"/>
    <x v="2"/>
    <x v="1"/>
  </r>
  <r>
    <n v="29"/>
    <s v="No"/>
    <x v="0"/>
    <n v="598"/>
    <x v="1"/>
    <n v="9"/>
    <n v="3"/>
    <s v="Life Sciences"/>
    <n v="1558"/>
    <n v="3"/>
    <x v="1"/>
    <n v="91"/>
    <n v="4"/>
    <x v="1"/>
    <x v="1"/>
    <n v="3"/>
    <x v="1"/>
    <n v="2451"/>
    <n v="22376"/>
    <n v="6"/>
    <x v="1"/>
    <n v="18"/>
    <n v="3"/>
    <n v="1"/>
    <n v="2"/>
    <n v="5"/>
    <n v="2"/>
    <x v="2"/>
    <n v="1"/>
    <n v="0"/>
    <n v="0"/>
    <n v="0"/>
    <x v="2"/>
    <x v="0"/>
    <n v="0"/>
    <x v="0"/>
    <s v="Bachelor"/>
    <x v="2"/>
    <x v="2"/>
  </r>
  <r>
    <n v="33"/>
    <s v="No"/>
    <x v="0"/>
    <n v="1242"/>
    <x v="0"/>
    <n v="8"/>
    <n v="4"/>
    <s v="Life Sciences"/>
    <n v="1560"/>
    <n v="1"/>
    <x v="1"/>
    <n v="46"/>
    <n v="3"/>
    <x v="0"/>
    <x v="0"/>
    <n v="1"/>
    <x v="1"/>
    <n v="6392"/>
    <n v="10589"/>
    <n v="2"/>
    <x v="1"/>
    <n v="13"/>
    <n v="3"/>
    <n v="4"/>
    <n v="1"/>
    <n v="8"/>
    <n v="6"/>
    <x v="0"/>
    <n v="2"/>
    <n v="2"/>
    <n v="2"/>
    <n v="2"/>
    <x v="2"/>
    <x v="0"/>
    <n v="0"/>
    <x v="0"/>
    <s v="Master"/>
    <x v="3"/>
    <x v="0"/>
  </r>
  <r>
    <n v="30"/>
    <s v="Yes"/>
    <x v="0"/>
    <n v="740"/>
    <x v="0"/>
    <n v="1"/>
    <n v="3"/>
    <s v="Life Sciences"/>
    <n v="1562"/>
    <n v="2"/>
    <x v="1"/>
    <n v="64"/>
    <n v="2"/>
    <x v="0"/>
    <x v="0"/>
    <n v="1"/>
    <x v="1"/>
    <n v="9714"/>
    <n v="5323"/>
    <n v="1"/>
    <x v="1"/>
    <n v="11"/>
    <n v="3"/>
    <n v="4"/>
    <n v="1"/>
    <n v="10"/>
    <n v="4"/>
    <x v="1"/>
    <n v="10"/>
    <n v="8"/>
    <n v="6"/>
    <n v="7"/>
    <x v="2"/>
    <x v="3"/>
    <n v="1"/>
    <x v="1"/>
    <s v="Bachelor"/>
    <x v="3"/>
    <x v="1"/>
  </r>
  <r>
    <n v="38"/>
    <s v="No"/>
    <x v="1"/>
    <n v="888"/>
    <x v="2"/>
    <n v="10"/>
    <n v="4"/>
    <s v="Human Resources"/>
    <n v="1563"/>
    <n v="3"/>
    <x v="1"/>
    <n v="71"/>
    <n v="3"/>
    <x v="0"/>
    <x v="8"/>
    <n v="3"/>
    <x v="1"/>
    <n v="6077"/>
    <n v="14814"/>
    <n v="3"/>
    <x v="1"/>
    <n v="11"/>
    <n v="3"/>
    <n v="3"/>
    <n v="0"/>
    <n v="10"/>
    <n v="2"/>
    <x v="1"/>
    <n v="6"/>
    <n v="3"/>
    <n v="1"/>
    <n v="2"/>
    <x v="0"/>
    <x v="0"/>
    <n v="0"/>
    <x v="1"/>
    <s v="Master"/>
    <x v="2"/>
    <x v="1"/>
  </r>
  <r>
    <n v="35"/>
    <s v="No"/>
    <x v="0"/>
    <n v="992"/>
    <x v="1"/>
    <n v="1"/>
    <n v="3"/>
    <s v="Medical"/>
    <n v="1564"/>
    <n v="4"/>
    <x v="1"/>
    <n v="68"/>
    <n v="2"/>
    <x v="1"/>
    <x v="2"/>
    <n v="1"/>
    <x v="0"/>
    <n v="2450"/>
    <n v="21731"/>
    <n v="1"/>
    <x v="1"/>
    <n v="19"/>
    <n v="3"/>
    <n v="2"/>
    <n v="0"/>
    <n v="3"/>
    <n v="3"/>
    <x v="1"/>
    <n v="3"/>
    <n v="0"/>
    <n v="1"/>
    <n v="2"/>
    <x v="2"/>
    <x v="0"/>
    <n v="0"/>
    <x v="2"/>
    <s v="Bachelor"/>
    <x v="3"/>
    <x v="1"/>
  </r>
  <r>
    <n v="30"/>
    <s v="No"/>
    <x v="0"/>
    <n v="1288"/>
    <x v="0"/>
    <n v="29"/>
    <n v="4"/>
    <s v="Technical Degree"/>
    <n v="1568"/>
    <n v="3"/>
    <x v="1"/>
    <n v="33"/>
    <n v="3"/>
    <x v="2"/>
    <x v="0"/>
    <n v="2"/>
    <x v="1"/>
    <n v="9250"/>
    <n v="17799"/>
    <n v="3"/>
    <x v="1"/>
    <n v="12"/>
    <n v="3"/>
    <n v="2"/>
    <n v="1"/>
    <n v="9"/>
    <n v="3"/>
    <x v="1"/>
    <n v="4"/>
    <n v="2"/>
    <n v="1"/>
    <n v="3"/>
    <x v="2"/>
    <x v="0"/>
    <n v="0"/>
    <x v="2"/>
    <s v="Master"/>
    <x v="1"/>
    <x v="1"/>
  </r>
  <r>
    <n v="35"/>
    <s v="Yes"/>
    <x v="0"/>
    <n v="104"/>
    <x v="1"/>
    <n v="2"/>
    <n v="3"/>
    <s v="Life Sciences"/>
    <n v="1569"/>
    <n v="1"/>
    <x v="0"/>
    <n v="69"/>
    <n v="3"/>
    <x v="1"/>
    <x v="2"/>
    <n v="1"/>
    <x v="2"/>
    <n v="2074"/>
    <n v="26619"/>
    <n v="1"/>
    <x v="0"/>
    <n v="12"/>
    <n v="3"/>
    <n v="4"/>
    <n v="1"/>
    <n v="1"/>
    <n v="2"/>
    <x v="1"/>
    <n v="1"/>
    <n v="0"/>
    <n v="0"/>
    <n v="0"/>
    <x v="2"/>
    <x v="0"/>
    <n v="1"/>
    <x v="2"/>
    <s v="Bachelor"/>
    <x v="3"/>
    <x v="1"/>
  </r>
  <r>
    <n v="53"/>
    <s v="Yes"/>
    <x v="0"/>
    <n v="607"/>
    <x v="1"/>
    <n v="2"/>
    <n v="5"/>
    <s v="Technical Degree"/>
    <n v="1572"/>
    <n v="3"/>
    <x v="0"/>
    <n v="78"/>
    <n v="2"/>
    <x v="2"/>
    <x v="3"/>
    <n v="4"/>
    <x v="1"/>
    <n v="10169"/>
    <n v="14618"/>
    <n v="0"/>
    <x v="1"/>
    <n v="16"/>
    <n v="3"/>
    <n v="2"/>
    <n v="1"/>
    <n v="34"/>
    <n v="4"/>
    <x v="1"/>
    <n v="33"/>
    <n v="7"/>
    <n v="1"/>
    <n v="9"/>
    <x v="1"/>
    <x v="0"/>
    <n v="1"/>
    <x v="3"/>
    <s v="Doctor"/>
    <x v="0"/>
    <x v="1"/>
  </r>
  <r>
    <n v="38"/>
    <s v="Yes"/>
    <x v="0"/>
    <n v="903"/>
    <x v="1"/>
    <n v="2"/>
    <n v="3"/>
    <s v="Medical"/>
    <n v="1573"/>
    <n v="3"/>
    <x v="1"/>
    <n v="81"/>
    <n v="3"/>
    <x v="0"/>
    <x v="3"/>
    <n v="2"/>
    <x v="1"/>
    <n v="4855"/>
    <n v="7653"/>
    <n v="4"/>
    <x v="1"/>
    <n v="11"/>
    <n v="3"/>
    <n v="1"/>
    <n v="2"/>
    <n v="7"/>
    <n v="2"/>
    <x v="1"/>
    <n v="5"/>
    <n v="2"/>
    <n v="1"/>
    <n v="4"/>
    <x v="0"/>
    <x v="2"/>
    <n v="1"/>
    <x v="2"/>
    <s v="Bachelor"/>
    <x v="1"/>
    <x v="1"/>
  </r>
  <r>
    <n v="32"/>
    <s v="No"/>
    <x v="2"/>
    <n v="1200"/>
    <x v="1"/>
    <n v="1"/>
    <n v="4"/>
    <s v="Technical Degree"/>
    <n v="1574"/>
    <n v="4"/>
    <x v="1"/>
    <n v="62"/>
    <n v="3"/>
    <x v="0"/>
    <x v="1"/>
    <n v="1"/>
    <x v="1"/>
    <n v="4087"/>
    <n v="25174"/>
    <n v="4"/>
    <x v="1"/>
    <n v="14"/>
    <n v="3"/>
    <n v="2"/>
    <n v="1"/>
    <n v="9"/>
    <n v="3"/>
    <x v="2"/>
    <n v="6"/>
    <n v="5"/>
    <n v="1"/>
    <n v="2"/>
    <x v="2"/>
    <x v="0"/>
    <n v="0"/>
    <x v="0"/>
    <s v="Master"/>
    <x v="3"/>
    <x v="2"/>
  </r>
  <r>
    <n v="48"/>
    <s v="No"/>
    <x v="0"/>
    <n v="1108"/>
    <x v="1"/>
    <n v="15"/>
    <n v="4"/>
    <s v="Other"/>
    <n v="1576"/>
    <n v="3"/>
    <x v="0"/>
    <n v="65"/>
    <n v="3"/>
    <x v="1"/>
    <x v="1"/>
    <n v="1"/>
    <x v="1"/>
    <n v="2367"/>
    <n v="16530"/>
    <n v="8"/>
    <x v="1"/>
    <n v="12"/>
    <n v="3"/>
    <n v="4"/>
    <n v="1"/>
    <n v="10"/>
    <n v="3"/>
    <x v="2"/>
    <n v="8"/>
    <n v="2"/>
    <n v="7"/>
    <n v="6"/>
    <x v="1"/>
    <x v="0"/>
    <n v="0"/>
    <x v="0"/>
    <s v="Master"/>
    <x v="3"/>
    <x v="2"/>
  </r>
  <r>
    <n v="34"/>
    <s v="No"/>
    <x v="0"/>
    <n v="479"/>
    <x v="1"/>
    <n v="7"/>
    <n v="4"/>
    <s v="Medical"/>
    <n v="1577"/>
    <n v="1"/>
    <x v="1"/>
    <n v="35"/>
    <n v="3"/>
    <x v="1"/>
    <x v="1"/>
    <n v="4"/>
    <x v="0"/>
    <n v="2972"/>
    <n v="22061"/>
    <n v="1"/>
    <x v="1"/>
    <n v="13"/>
    <n v="3"/>
    <n v="3"/>
    <n v="0"/>
    <n v="1"/>
    <n v="4"/>
    <x v="0"/>
    <n v="1"/>
    <n v="0"/>
    <n v="0"/>
    <n v="0"/>
    <x v="2"/>
    <x v="0"/>
    <n v="0"/>
    <x v="0"/>
    <s v="Master"/>
    <x v="0"/>
    <x v="0"/>
  </r>
  <r>
    <n v="55"/>
    <s v="No"/>
    <x v="0"/>
    <n v="685"/>
    <x v="0"/>
    <n v="26"/>
    <n v="5"/>
    <s v="Marketing"/>
    <n v="1578"/>
    <n v="3"/>
    <x v="1"/>
    <n v="60"/>
    <n v="2"/>
    <x v="4"/>
    <x v="5"/>
    <n v="4"/>
    <x v="1"/>
    <n v="19586"/>
    <n v="23037"/>
    <n v="1"/>
    <x v="1"/>
    <n v="21"/>
    <n v="4"/>
    <n v="3"/>
    <n v="1"/>
    <n v="36"/>
    <n v="3"/>
    <x v="1"/>
    <n v="36"/>
    <n v="6"/>
    <n v="2"/>
    <n v="13"/>
    <x v="1"/>
    <x v="0"/>
    <n v="0"/>
    <x v="3"/>
    <s v="Doctor"/>
    <x v="0"/>
    <x v="1"/>
  </r>
  <r>
    <n v="34"/>
    <s v="No"/>
    <x v="0"/>
    <n v="1351"/>
    <x v="1"/>
    <n v="1"/>
    <n v="4"/>
    <s v="Life Sciences"/>
    <n v="1580"/>
    <n v="2"/>
    <x v="1"/>
    <n v="45"/>
    <n v="3"/>
    <x v="0"/>
    <x v="1"/>
    <n v="4"/>
    <x v="1"/>
    <n v="5484"/>
    <n v="13008"/>
    <n v="9"/>
    <x v="1"/>
    <n v="17"/>
    <n v="3"/>
    <n v="2"/>
    <n v="1"/>
    <n v="9"/>
    <n v="3"/>
    <x v="2"/>
    <n v="2"/>
    <n v="2"/>
    <n v="2"/>
    <n v="1"/>
    <x v="2"/>
    <x v="0"/>
    <n v="0"/>
    <x v="0"/>
    <s v="Master"/>
    <x v="0"/>
    <x v="2"/>
  </r>
  <r>
    <n v="26"/>
    <s v="No"/>
    <x v="0"/>
    <n v="474"/>
    <x v="1"/>
    <n v="3"/>
    <n v="3"/>
    <s v="Life Sciences"/>
    <n v="1581"/>
    <n v="1"/>
    <x v="0"/>
    <n v="89"/>
    <n v="3"/>
    <x v="1"/>
    <x v="1"/>
    <n v="4"/>
    <x v="1"/>
    <n v="2061"/>
    <n v="11133"/>
    <n v="1"/>
    <x v="1"/>
    <n v="21"/>
    <n v="4"/>
    <n v="1"/>
    <n v="0"/>
    <n v="1"/>
    <n v="5"/>
    <x v="1"/>
    <n v="1"/>
    <n v="0"/>
    <n v="0"/>
    <n v="0"/>
    <x v="2"/>
    <x v="0"/>
    <n v="0"/>
    <x v="2"/>
    <s v="Bachelor"/>
    <x v="0"/>
    <x v="1"/>
  </r>
  <r>
    <n v="38"/>
    <s v="No"/>
    <x v="0"/>
    <n v="1245"/>
    <x v="0"/>
    <n v="14"/>
    <n v="3"/>
    <s v="Life Sciences"/>
    <n v="1582"/>
    <n v="3"/>
    <x v="1"/>
    <n v="80"/>
    <n v="3"/>
    <x v="0"/>
    <x v="0"/>
    <n v="2"/>
    <x v="1"/>
    <n v="9924"/>
    <n v="12355"/>
    <n v="0"/>
    <x v="1"/>
    <n v="11"/>
    <n v="3"/>
    <n v="4"/>
    <n v="1"/>
    <n v="10"/>
    <n v="3"/>
    <x v="1"/>
    <n v="9"/>
    <n v="8"/>
    <n v="7"/>
    <n v="7"/>
    <x v="0"/>
    <x v="0"/>
    <n v="0"/>
    <x v="1"/>
    <s v="Bachelor"/>
    <x v="1"/>
    <x v="1"/>
  </r>
  <r>
    <n v="38"/>
    <s v="No"/>
    <x v="0"/>
    <n v="437"/>
    <x v="0"/>
    <n v="16"/>
    <n v="3"/>
    <s v="Life Sciences"/>
    <n v="1583"/>
    <n v="2"/>
    <x v="0"/>
    <n v="90"/>
    <n v="3"/>
    <x v="0"/>
    <x v="0"/>
    <n v="2"/>
    <x v="0"/>
    <n v="4198"/>
    <n v="16379"/>
    <n v="2"/>
    <x v="1"/>
    <n v="12"/>
    <n v="3"/>
    <n v="2"/>
    <n v="0"/>
    <n v="8"/>
    <n v="5"/>
    <x v="3"/>
    <n v="3"/>
    <n v="2"/>
    <n v="1"/>
    <n v="2"/>
    <x v="0"/>
    <x v="0"/>
    <n v="0"/>
    <x v="2"/>
    <s v="Bachelor"/>
    <x v="1"/>
    <x v="3"/>
  </r>
  <r>
    <n v="36"/>
    <s v="No"/>
    <x v="0"/>
    <n v="884"/>
    <x v="0"/>
    <n v="1"/>
    <n v="4"/>
    <s v="Life Sciences"/>
    <n v="1585"/>
    <n v="2"/>
    <x v="0"/>
    <n v="73"/>
    <n v="3"/>
    <x v="0"/>
    <x v="0"/>
    <n v="3"/>
    <x v="0"/>
    <n v="6815"/>
    <n v="21447"/>
    <n v="6"/>
    <x v="1"/>
    <n v="13"/>
    <n v="3"/>
    <n v="1"/>
    <n v="0"/>
    <n v="15"/>
    <n v="5"/>
    <x v="1"/>
    <n v="1"/>
    <n v="0"/>
    <n v="0"/>
    <n v="0"/>
    <x v="0"/>
    <x v="0"/>
    <n v="0"/>
    <x v="2"/>
    <s v="Master"/>
    <x v="2"/>
    <x v="1"/>
  </r>
  <r>
    <n v="29"/>
    <s v="No"/>
    <x v="0"/>
    <n v="1370"/>
    <x v="1"/>
    <n v="3"/>
    <n v="1"/>
    <s v="Medical"/>
    <n v="1586"/>
    <n v="2"/>
    <x v="1"/>
    <n v="87"/>
    <n v="3"/>
    <x v="1"/>
    <x v="2"/>
    <n v="1"/>
    <x v="0"/>
    <n v="4723"/>
    <n v="16213"/>
    <n v="1"/>
    <x v="0"/>
    <n v="18"/>
    <n v="3"/>
    <n v="4"/>
    <n v="0"/>
    <n v="10"/>
    <n v="3"/>
    <x v="1"/>
    <n v="10"/>
    <n v="9"/>
    <n v="1"/>
    <n v="5"/>
    <x v="2"/>
    <x v="0"/>
    <n v="0"/>
    <x v="1"/>
    <s v="Below College"/>
    <x v="3"/>
    <x v="1"/>
  </r>
  <r>
    <n v="35"/>
    <s v="No"/>
    <x v="0"/>
    <n v="670"/>
    <x v="1"/>
    <n v="10"/>
    <n v="4"/>
    <s v="Medical"/>
    <n v="1587"/>
    <n v="1"/>
    <x v="0"/>
    <n v="51"/>
    <n v="3"/>
    <x v="0"/>
    <x v="4"/>
    <n v="3"/>
    <x v="0"/>
    <n v="6142"/>
    <n v="4223"/>
    <n v="3"/>
    <x v="0"/>
    <n v="16"/>
    <n v="3"/>
    <n v="3"/>
    <n v="0"/>
    <n v="10"/>
    <n v="4"/>
    <x v="1"/>
    <n v="5"/>
    <n v="2"/>
    <n v="0"/>
    <n v="4"/>
    <x v="2"/>
    <x v="3"/>
    <n v="0"/>
    <x v="2"/>
    <s v="Master"/>
    <x v="2"/>
    <x v="1"/>
  </r>
  <r>
    <n v="39"/>
    <s v="No"/>
    <x v="0"/>
    <n v="1462"/>
    <x v="0"/>
    <n v="6"/>
    <n v="3"/>
    <s v="Medical"/>
    <n v="1588"/>
    <n v="4"/>
    <x v="1"/>
    <n v="38"/>
    <n v="4"/>
    <x v="2"/>
    <x v="0"/>
    <n v="3"/>
    <x v="1"/>
    <n v="8237"/>
    <n v="4658"/>
    <n v="2"/>
    <x v="1"/>
    <n v="11"/>
    <n v="3"/>
    <n v="1"/>
    <n v="1"/>
    <n v="11"/>
    <n v="3"/>
    <x v="1"/>
    <n v="7"/>
    <n v="6"/>
    <n v="7"/>
    <n v="6"/>
    <x v="0"/>
    <x v="3"/>
    <n v="0"/>
    <x v="1"/>
    <s v="Bachelor"/>
    <x v="2"/>
    <x v="1"/>
  </r>
  <r>
    <n v="29"/>
    <s v="No"/>
    <x v="1"/>
    <n v="995"/>
    <x v="1"/>
    <n v="2"/>
    <n v="1"/>
    <s v="Life Sciences"/>
    <n v="1590"/>
    <n v="1"/>
    <x v="1"/>
    <n v="87"/>
    <n v="3"/>
    <x v="0"/>
    <x v="4"/>
    <n v="4"/>
    <x v="2"/>
    <n v="8853"/>
    <n v="24483"/>
    <n v="1"/>
    <x v="1"/>
    <n v="19"/>
    <n v="3"/>
    <n v="4"/>
    <n v="1"/>
    <n v="6"/>
    <n v="0"/>
    <x v="3"/>
    <n v="6"/>
    <n v="4"/>
    <n v="1"/>
    <n v="3"/>
    <x v="2"/>
    <x v="0"/>
    <n v="0"/>
    <x v="1"/>
    <s v="Below College"/>
    <x v="0"/>
    <x v="3"/>
  </r>
  <r>
    <n v="50"/>
    <s v="No"/>
    <x v="0"/>
    <n v="264"/>
    <x v="0"/>
    <n v="9"/>
    <n v="3"/>
    <s v="Marketing"/>
    <n v="1591"/>
    <n v="3"/>
    <x v="1"/>
    <n v="59"/>
    <n v="3"/>
    <x v="4"/>
    <x v="5"/>
    <n v="3"/>
    <x v="1"/>
    <n v="19331"/>
    <n v="19519"/>
    <n v="4"/>
    <x v="0"/>
    <n v="16"/>
    <n v="3"/>
    <n v="3"/>
    <n v="1"/>
    <n v="27"/>
    <n v="2"/>
    <x v="1"/>
    <n v="1"/>
    <n v="0"/>
    <n v="0"/>
    <n v="0"/>
    <x v="1"/>
    <x v="0"/>
    <n v="0"/>
    <x v="2"/>
    <s v="Bachelor"/>
    <x v="2"/>
    <x v="1"/>
  </r>
  <r>
    <n v="23"/>
    <s v="No"/>
    <x v="0"/>
    <n v="977"/>
    <x v="1"/>
    <n v="10"/>
    <n v="3"/>
    <s v="Technical Degree"/>
    <n v="1592"/>
    <n v="4"/>
    <x v="1"/>
    <n v="45"/>
    <n v="4"/>
    <x v="1"/>
    <x v="1"/>
    <n v="3"/>
    <x v="1"/>
    <n v="2073"/>
    <n v="12826"/>
    <n v="2"/>
    <x v="1"/>
    <n v="16"/>
    <n v="3"/>
    <n v="4"/>
    <n v="1"/>
    <n v="4"/>
    <n v="2"/>
    <x v="1"/>
    <n v="2"/>
    <n v="2"/>
    <n v="2"/>
    <n v="2"/>
    <x v="3"/>
    <x v="0"/>
    <n v="0"/>
    <x v="2"/>
    <s v="Bachelor"/>
    <x v="2"/>
    <x v="1"/>
  </r>
  <r>
    <n v="36"/>
    <s v="No"/>
    <x v="1"/>
    <n v="1302"/>
    <x v="1"/>
    <n v="6"/>
    <n v="4"/>
    <s v="Life Sciences"/>
    <n v="1594"/>
    <n v="1"/>
    <x v="1"/>
    <n v="80"/>
    <n v="4"/>
    <x v="0"/>
    <x v="2"/>
    <n v="1"/>
    <x v="1"/>
    <n v="5562"/>
    <n v="19711"/>
    <n v="3"/>
    <x v="0"/>
    <n v="13"/>
    <n v="3"/>
    <n v="4"/>
    <n v="1"/>
    <n v="9"/>
    <n v="3"/>
    <x v="1"/>
    <n v="3"/>
    <n v="2"/>
    <n v="0"/>
    <n v="2"/>
    <x v="0"/>
    <x v="0"/>
    <n v="0"/>
    <x v="2"/>
    <s v="Master"/>
    <x v="3"/>
    <x v="1"/>
  </r>
  <r>
    <n v="42"/>
    <s v="No"/>
    <x v="0"/>
    <n v="1059"/>
    <x v="1"/>
    <n v="9"/>
    <n v="2"/>
    <s v="Other"/>
    <n v="1595"/>
    <n v="4"/>
    <x v="1"/>
    <n v="93"/>
    <n v="2"/>
    <x v="4"/>
    <x v="5"/>
    <n v="4"/>
    <x v="0"/>
    <n v="19613"/>
    <n v="26362"/>
    <n v="8"/>
    <x v="1"/>
    <n v="22"/>
    <n v="4"/>
    <n v="4"/>
    <n v="0"/>
    <n v="24"/>
    <n v="2"/>
    <x v="1"/>
    <n v="1"/>
    <n v="0"/>
    <n v="0"/>
    <n v="1"/>
    <x v="0"/>
    <x v="0"/>
    <n v="0"/>
    <x v="2"/>
    <s v="College"/>
    <x v="0"/>
    <x v="1"/>
  </r>
  <r>
    <n v="35"/>
    <s v="No"/>
    <x v="0"/>
    <n v="750"/>
    <x v="1"/>
    <n v="28"/>
    <n v="3"/>
    <s v="Life Sciences"/>
    <n v="1596"/>
    <n v="2"/>
    <x v="1"/>
    <n v="46"/>
    <n v="4"/>
    <x v="0"/>
    <x v="2"/>
    <n v="3"/>
    <x v="1"/>
    <n v="3407"/>
    <n v="25348"/>
    <n v="1"/>
    <x v="1"/>
    <n v="17"/>
    <n v="3"/>
    <n v="4"/>
    <n v="2"/>
    <n v="10"/>
    <n v="3"/>
    <x v="2"/>
    <n v="10"/>
    <n v="9"/>
    <n v="6"/>
    <n v="8"/>
    <x v="2"/>
    <x v="0"/>
    <n v="0"/>
    <x v="0"/>
    <s v="Bachelor"/>
    <x v="2"/>
    <x v="2"/>
  </r>
  <r>
    <n v="34"/>
    <s v="No"/>
    <x v="1"/>
    <n v="653"/>
    <x v="1"/>
    <n v="10"/>
    <n v="4"/>
    <s v="Technical Degree"/>
    <n v="1597"/>
    <n v="4"/>
    <x v="1"/>
    <n v="92"/>
    <n v="2"/>
    <x v="0"/>
    <x v="4"/>
    <n v="3"/>
    <x v="1"/>
    <n v="5063"/>
    <n v="15332"/>
    <n v="1"/>
    <x v="1"/>
    <n v="14"/>
    <n v="3"/>
    <n v="2"/>
    <n v="1"/>
    <n v="8"/>
    <n v="3"/>
    <x v="2"/>
    <n v="8"/>
    <n v="2"/>
    <n v="7"/>
    <n v="7"/>
    <x v="2"/>
    <x v="0"/>
    <n v="0"/>
    <x v="0"/>
    <s v="Master"/>
    <x v="2"/>
    <x v="2"/>
  </r>
  <r>
    <n v="40"/>
    <s v="No"/>
    <x v="0"/>
    <n v="118"/>
    <x v="0"/>
    <n v="14"/>
    <n v="2"/>
    <s v="Life Sciences"/>
    <n v="1598"/>
    <n v="4"/>
    <x v="0"/>
    <n v="84"/>
    <n v="3"/>
    <x v="0"/>
    <x v="0"/>
    <n v="1"/>
    <x v="1"/>
    <n v="4639"/>
    <n v="11262"/>
    <n v="1"/>
    <x v="1"/>
    <n v="15"/>
    <n v="3"/>
    <n v="3"/>
    <n v="1"/>
    <n v="5"/>
    <n v="2"/>
    <x v="1"/>
    <n v="5"/>
    <n v="4"/>
    <n v="1"/>
    <n v="2"/>
    <x v="0"/>
    <x v="0"/>
    <n v="0"/>
    <x v="2"/>
    <s v="College"/>
    <x v="3"/>
    <x v="1"/>
  </r>
  <r>
    <n v="43"/>
    <s v="No"/>
    <x v="0"/>
    <n v="990"/>
    <x v="1"/>
    <n v="27"/>
    <n v="3"/>
    <s v="Technical Degree"/>
    <n v="1599"/>
    <n v="4"/>
    <x v="1"/>
    <n v="87"/>
    <n v="4"/>
    <x v="1"/>
    <x v="2"/>
    <n v="2"/>
    <x v="2"/>
    <n v="4876"/>
    <n v="5855"/>
    <n v="5"/>
    <x v="1"/>
    <n v="12"/>
    <n v="3"/>
    <n v="3"/>
    <n v="1"/>
    <n v="8"/>
    <n v="0"/>
    <x v="1"/>
    <n v="6"/>
    <n v="4"/>
    <n v="0"/>
    <n v="2"/>
    <x v="0"/>
    <x v="3"/>
    <n v="0"/>
    <x v="1"/>
    <s v="Bachelor"/>
    <x v="1"/>
    <x v="1"/>
  </r>
  <r>
    <n v="35"/>
    <s v="No"/>
    <x v="0"/>
    <n v="1349"/>
    <x v="1"/>
    <n v="7"/>
    <n v="2"/>
    <s v="Life Sciences"/>
    <n v="1601"/>
    <n v="3"/>
    <x v="1"/>
    <n v="63"/>
    <n v="2"/>
    <x v="1"/>
    <x v="2"/>
    <n v="4"/>
    <x v="1"/>
    <n v="2690"/>
    <n v="7713"/>
    <n v="1"/>
    <x v="1"/>
    <n v="18"/>
    <n v="3"/>
    <n v="4"/>
    <n v="1"/>
    <n v="1"/>
    <n v="5"/>
    <x v="2"/>
    <n v="1"/>
    <n v="0"/>
    <n v="0"/>
    <n v="1"/>
    <x v="2"/>
    <x v="2"/>
    <n v="0"/>
    <x v="0"/>
    <s v="College"/>
    <x v="0"/>
    <x v="2"/>
  </r>
  <r>
    <n v="46"/>
    <s v="No"/>
    <x v="0"/>
    <n v="563"/>
    <x v="0"/>
    <n v="1"/>
    <n v="4"/>
    <s v="Life Sciences"/>
    <n v="1602"/>
    <n v="4"/>
    <x v="1"/>
    <n v="56"/>
    <n v="4"/>
    <x v="3"/>
    <x v="5"/>
    <n v="1"/>
    <x v="0"/>
    <n v="17567"/>
    <n v="3156"/>
    <n v="1"/>
    <x v="1"/>
    <n v="15"/>
    <n v="3"/>
    <n v="2"/>
    <n v="0"/>
    <n v="27"/>
    <n v="5"/>
    <x v="0"/>
    <n v="26"/>
    <n v="0"/>
    <n v="0"/>
    <n v="12"/>
    <x v="1"/>
    <x v="3"/>
    <n v="0"/>
    <x v="0"/>
    <s v="Master"/>
    <x v="3"/>
    <x v="0"/>
  </r>
  <r>
    <n v="28"/>
    <s v="Yes"/>
    <x v="0"/>
    <n v="329"/>
    <x v="1"/>
    <n v="24"/>
    <n v="3"/>
    <s v="Medical"/>
    <n v="1604"/>
    <n v="3"/>
    <x v="1"/>
    <n v="51"/>
    <n v="3"/>
    <x v="1"/>
    <x v="2"/>
    <n v="2"/>
    <x v="1"/>
    <n v="2408"/>
    <n v="7324"/>
    <n v="1"/>
    <x v="0"/>
    <n v="17"/>
    <n v="3"/>
    <n v="3"/>
    <n v="3"/>
    <n v="1"/>
    <n v="3"/>
    <x v="1"/>
    <n v="1"/>
    <n v="1"/>
    <n v="0"/>
    <n v="0"/>
    <x v="2"/>
    <x v="2"/>
    <n v="1"/>
    <x v="2"/>
    <s v="Bachelor"/>
    <x v="1"/>
    <x v="1"/>
  </r>
  <r>
    <n v="22"/>
    <s v="No"/>
    <x v="2"/>
    <n v="457"/>
    <x v="1"/>
    <n v="26"/>
    <n v="2"/>
    <s v="Other"/>
    <n v="1605"/>
    <n v="2"/>
    <x v="0"/>
    <n v="85"/>
    <n v="2"/>
    <x v="1"/>
    <x v="1"/>
    <n v="3"/>
    <x v="1"/>
    <n v="2814"/>
    <n v="10293"/>
    <n v="1"/>
    <x v="0"/>
    <n v="14"/>
    <n v="3"/>
    <n v="2"/>
    <n v="0"/>
    <n v="4"/>
    <n v="2"/>
    <x v="2"/>
    <n v="4"/>
    <n v="2"/>
    <n v="1"/>
    <n v="3"/>
    <x v="3"/>
    <x v="0"/>
    <n v="0"/>
    <x v="0"/>
    <s v="College"/>
    <x v="2"/>
    <x v="2"/>
  </r>
  <r>
    <n v="50"/>
    <s v="No"/>
    <x v="1"/>
    <n v="1234"/>
    <x v="1"/>
    <n v="20"/>
    <n v="5"/>
    <s v="Medical"/>
    <n v="1606"/>
    <n v="2"/>
    <x v="1"/>
    <n v="41"/>
    <n v="3"/>
    <x v="3"/>
    <x v="4"/>
    <n v="3"/>
    <x v="1"/>
    <n v="11245"/>
    <n v="20689"/>
    <n v="2"/>
    <x v="0"/>
    <n v="15"/>
    <n v="3"/>
    <n v="3"/>
    <n v="1"/>
    <n v="32"/>
    <n v="3"/>
    <x v="1"/>
    <n v="30"/>
    <n v="8"/>
    <n v="12"/>
    <n v="13"/>
    <x v="1"/>
    <x v="0"/>
    <n v="0"/>
    <x v="3"/>
    <s v="Doctor"/>
    <x v="2"/>
    <x v="1"/>
  </r>
  <r>
    <n v="32"/>
    <s v="No"/>
    <x v="0"/>
    <n v="634"/>
    <x v="1"/>
    <n v="5"/>
    <n v="4"/>
    <s v="Other"/>
    <n v="1607"/>
    <n v="2"/>
    <x v="0"/>
    <n v="35"/>
    <n v="4"/>
    <x v="1"/>
    <x v="1"/>
    <n v="4"/>
    <x v="1"/>
    <n v="3312"/>
    <n v="18783"/>
    <n v="3"/>
    <x v="1"/>
    <n v="17"/>
    <n v="3"/>
    <n v="4"/>
    <n v="2"/>
    <n v="6"/>
    <n v="3"/>
    <x v="1"/>
    <n v="3"/>
    <n v="2"/>
    <n v="0"/>
    <n v="2"/>
    <x v="2"/>
    <x v="0"/>
    <n v="0"/>
    <x v="2"/>
    <s v="Master"/>
    <x v="0"/>
    <x v="1"/>
  </r>
  <r>
    <n v="44"/>
    <s v="No"/>
    <x v="0"/>
    <n v="1313"/>
    <x v="1"/>
    <n v="7"/>
    <n v="3"/>
    <s v="Medical"/>
    <n v="1608"/>
    <n v="2"/>
    <x v="0"/>
    <n v="31"/>
    <n v="3"/>
    <x v="4"/>
    <x v="7"/>
    <n v="4"/>
    <x v="2"/>
    <n v="19049"/>
    <n v="3549"/>
    <n v="0"/>
    <x v="0"/>
    <n v="14"/>
    <n v="3"/>
    <n v="4"/>
    <n v="1"/>
    <n v="23"/>
    <n v="4"/>
    <x v="2"/>
    <n v="22"/>
    <n v="7"/>
    <n v="1"/>
    <n v="10"/>
    <x v="0"/>
    <x v="3"/>
    <n v="0"/>
    <x v="0"/>
    <s v="Bachelor"/>
    <x v="0"/>
    <x v="2"/>
  </r>
  <r>
    <n v="30"/>
    <s v="No"/>
    <x v="0"/>
    <n v="241"/>
    <x v="1"/>
    <n v="7"/>
    <n v="3"/>
    <s v="Medical"/>
    <n v="1609"/>
    <n v="2"/>
    <x v="1"/>
    <n v="48"/>
    <n v="2"/>
    <x v="1"/>
    <x v="1"/>
    <n v="2"/>
    <x v="1"/>
    <n v="2141"/>
    <n v="5348"/>
    <n v="1"/>
    <x v="1"/>
    <n v="12"/>
    <n v="3"/>
    <n v="2"/>
    <n v="1"/>
    <n v="6"/>
    <n v="3"/>
    <x v="2"/>
    <n v="6"/>
    <n v="4"/>
    <n v="1"/>
    <n v="1"/>
    <x v="2"/>
    <x v="3"/>
    <n v="0"/>
    <x v="0"/>
    <s v="Bachelor"/>
    <x v="1"/>
    <x v="2"/>
  </r>
  <r>
    <n v="45"/>
    <s v="No"/>
    <x v="0"/>
    <n v="1015"/>
    <x v="1"/>
    <n v="5"/>
    <n v="5"/>
    <s v="Medical"/>
    <n v="1611"/>
    <n v="3"/>
    <x v="0"/>
    <n v="50"/>
    <n v="1"/>
    <x v="0"/>
    <x v="2"/>
    <n v="1"/>
    <x v="0"/>
    <n v="5769"/>
    <n v="23447"/>
    <n v="1"/>
    <x v="0"/>
    <n v="14"/>
    <n v="3"/>
    <n v="1"/>
    <n v="0"/>
    <n v="10"/>
    <n v="3"/>
    <x v="1"/>
    <n v="10"/>
    <n v="7"/>
    <n v="1"/>
    <n v="4"/>
    <x v="0"/>
    <x v="0"/>
    <n v="0"/>
    <x v="1"/>
    <s v="Doctor"/>
    <x v="3"/>
    <x v="1"/>
  </r>
  <r>
    <n v="45"/>
    <s v="No"/>
    <x v="2"/>
    <n v="336"/>
    <x v="0"/>
    <n v="26"/>
    <n v="3"/>
    <s v="Marketing"/>
    <n v="1612"/>
    <n v="1"/>
    <x v="1"/>
    <n v="52"/>
    <n v="2"/>
    <x v="0"/>
    <x v="0"/>
    <n v="1"/>
    <x v="1"/>
    <n v="4385"/>
    <n v="24162"/>
    <n v="1"/>
    <x v="1"/>
    <n v="15"/>
    <n v="3"/>
    <n v="1"/>
    <n v="1"/>
    <n v="10"/>
    <n v="2"/>
    <x v="1"/>
    <n v="10"/>
    <n v="7"/>
    <n v="4"/>
    <n v="5"/>
    <x v="0"/>
    <x v="0"/>
    <n v="0"/>
    <x v="1"/>
    <s v="Bachelor"/>
    <x v="3"/>
    <x v="1"/>
  </r>
  <r>
    <n v="31"/>
    <s v="No"/>
    <x v="1"/>
    <n v="715"/>
    <x v="0"/>
    <n v="2"/>
    <n v="4"/>
    <s v="Other"/>
    <n v="1613"/>
    <n v="4"/>
    <x v="1"/>
    <n v="54"/>
    <n v="3"/>
    <x v="0"/>
    <x v="0"/>
    <n v="1"/>
    <x v="0"/>
    <n v="5332"/>
    <n v="21602"/>
    <n v="7"/>
    <x v="1"/>
    <n v="13"/>
    <n v="3"/>
    <n v="4"/>
    <n v="0"/>
    <n v="10"/>
    <n v="3"/>
    <x v="1"/>
    <n v="5"/>
    <n v="2"/>
    <n v="0"/>
    <n v="3"/>
    <x v="2"/>
    <x v="0"/>
    <n v="0"/>
    <x v="2"/>
    <s v="Master"/>
    <x v="3"/>
    <x v="1"/>
  </r>
  <r>
    <n v="36"/>
    <s v="No"/>
    <x v="0"/>
    <n v="559"/>
    <x v="1"/>
    <n v="12"/>
    <n v="4"/>
    <s v="Life Sciences"/>
    <n v="1614"/>
    <n v="3"/>
    <x v="0"/>
    <n v="76"/>
    <n v="3"/>
    <x v="0"/>
    <x v="3"/>
    <n v="3"/>
    <x v="1"/>
    <n v="4663"/>
    <n v="12421"/>
    <n v="9"/>
    <x v="0"/>
    <n v="12"/>
    <n v="3"/>
    <n v="2"/>
    <n v="2"/>
    <n v="7"/>
    <n v="2"/>
    <x v="1"/>
    <n v="3"/>
    <n v="2"/>
    <n v="1"/>
    <n v="1"/>
    <x v="0"/>
    <x v="0"/>
    <n v="0"/>
    <x v="2"/>
    <s v="Master"/>
    <x v="2"/>
    <x v="1"/>
  </r>
  <r>
    <n v="34"/>
    <s v="No"/>
    <x v="1"/>
    <n v="426"/>
    <x v="1"/>
    <n v="10"/>
    <n v="4"/>
    <s v="Life Sciences"/>
    <n v="1615"/>
    <n v="3"/>
    <x v="1"/>
    <n v="42"/>
    <n v="4"/>
    <x v="0"/>
    <x v="3"/>
    <n v="4"/>
    <x v="2"/>
    <n v="4724"/>
    <n v="17000"/>
    <n v="1"/>
    <x v="1"/>
    <n v="13"/>
    <n v="3"/>
    <n v="1"/>
    <n v="1"/>
    <n v="9"/>
    <n v="3"/>
    <x v="1"/>
    <n v="9"/>
    <n v="7"/>
    <n v="7"/>
    <n v="2"/>
    <x v="2"/>
    <x v="0"/>
    <n v="0"/>
    <x v="1"/>
    <s v="Master"/>
    <x v="0"/>
    <x v="1"/>
  </r>
  <r>
    <n v="49"/>
    <s v="No"/>
    <x v="0"/>
    <n v="722"/>
    <x v="1"/>
    <n v="25"/>
    <n v="4"/>
    <s v="Life Sciences"/>
    <n v="1617"/>
    <n v="3"/>
    <x v="0"/>
    <n v="84"/>
    <n v="3"/>
    <x v="1"/>
    <x v="2"/>
    <n v="1"/>
    <x v="1"/>
    <n v="3211"/>
    <n v="22102"/>
    <n v="1"/>
    <x v="1"/>
    <n v="14"/>
    <n v="3"/>
    <n v="4"/>
    <n v="1"/>
    <n v="10"/>
    <n v="3"/>
    <x v="2"/>
    <n v="9"/>
    <n v="6"/>
    <n v="1"/>
    <n v="4"/>
    <x v="1"/>
    <x v="0"/>
    <n v="0"/>
    <x v="0"/>
    <s v="Master"/>
    <x v="3"/>
    <x v="2"/>
  </r>
  <r>
    <n v="39"/>
    <s v="No"/>
    <x v="0"/>
    <n v="1387"/>
    <x v="1"/>
    <n v="10"/>
    <n v="5"/>
    <s v="Medical"/>
    <n v="1618"/>
    <n v="2"/>
    <x v="1"/>
    <n v="76"/>
    <n v="3"/>
    <x v="0"/>
    <x v="3"/>
    <n v="1"/>
    <x v="1"/>
    <n v="5377"/>
    <n v="3835"/>
    <n v="2"/>
    <x v="1"/>
    <n v="13"/>
    <n v="3"/>
    <n v="4"/>
    <n v="3"/>
    <n v="10"/>
    <n v="3"/>
    <x v="1"/>
    <n v="7"/>
    <n v="7"/>
    <n v="7"/>
    <n v="7"/>
    <x v="0"/>
    <x v="3"/>
    <n v="0"/>
    <x v="1"/>
    <s v="Doctor"/>
    <x v="3"/>
    <x v="1"/>
  </r>
  <r>
    <n v="27"/>
    <s v="No"/>
    <x v="0"/>
    <n v="1302"/>
    <x v="1"/>
    <n v="19"/>
    <n v="3"/>
    <s v="Other"/>
    <n v="1619"/>
    <n v="4"/>
    <x v="1"/>
    <n v="67"/>
    <n v="2"/>
    <x v="1"/>
    <x v="2"/>
    <n v="1"/>
    <x v="2"/>
    <n v="4066"/>
    <n v="16290"/>
    <n v="1"/>
    <x v="1"/>
    <n v="11"/>
    <n v="3"/>
    <n v="1"/>
    <n v="2"/>
    <n v="7"/>
    <n v="3"/>
    <x v="1"/>
    <n v="7"/>
    <n v="7"/>
    <n v="0"/>
    <n v="7"/>
    <x v="2"/>
    <x v="0"/>
    <n v="0"/>
    <x v="1"/>
    <s v="Bachelor"/>
    <x v="3"/>
    <x v="1"/>
  </r>
  <r>
    <n v="35"/>
    <s v="No"/>
    <x v="0"/>
    <n v="819"/>
    <x v="1"/>
    <n v="18"/>
    <n v="5"/>
    <s v="Life Sciences"/>
    <n v="1621"/>
    <n v="2"/>
    <x v="1"/>
    <n v="48"/>
    <n v="4"/>
    <x v="0"/>
    <x v="1"/>
    <n v="1"/>
    <x v="1"/>
    <n v="5208"/>
    <n v="26312"/>
    <n v="1"/>
    <x v="1"/>
    <n v="11"/>
    <n v="3"/>
    <n v="4"/>
    <n v="0"/>
    <n v="16"/>
    <n v="2"/>
    <x v="1"/>
    <n v="16"/>
    <n v="15"/>
    <n v="1"/>
    <n v="10"/>
    <x v="2"/>
    <x v="0"/>
    <n v="0"/>
    <x v="3"/>
    <s v="Doctor"/>
    <x v="3"/>
    <x v="1"/>
  </r>
  <r>
    <n v="28"/>
    <s v="No"/>
    <x v="0"/>
    <n v="580"/>
    <x v="1"/>
    <n v="27"/>
    <n v="3"/>
    <s v="Medical"/>
    <n v="1622"/>
    <n v="2"/>
    <x v="0"/>
    <n v="39"/>
    <n v="1"/>
    <x v="0"/>
    <x v="3"/>
    <n v="1"/>
    <x v="2"/>
    <n v="4877"/>
    <n v="20460"/>
    <n v="0"/>
    <x v="1"/>
    <n v="21"/>
    <n v="4"/>
    <n v="2"/>
    <n v="1"/>
    <n v="6"/>
    <n v="5"/>
    <x v="2"/>
    <n v="5"/>
    <n v="3"/>
    <n v="0"/>
    <n v="0"/>
    <x v="2"/>
    <x v="0"/>
    <n v="0"/>
    <x v="0"/>
    <s v="Bachelor"/>
    <x v="3"/>
    <x v="2"/>
  </r>
  <r>
    <n v="21"/>
    <s v="No"/>
    <x v="0"/>
    <n v="546"/>
    <x v="1"/>
    <n v="5"/>
    <n v="1"/>
    <s v="Medical"/>
    <n v="1623"/>
    <n v="3"/>
    <x v="1"/>
    <n v="97"/>
    <n v="3"/>
    <x v="1"/>
    <x v="1"/>
    <n v="4"/>
    <x v="0"/>
    <n v="3117"/>
    <n v="26009"/>
    <n v="1"/>
    <x v="1"/>
    <n v="18"/>
    <n v="3"/>
    <n v="3"/>
    <n v="0"/>
    <n v="3"/>
    <n v="2"/>
    <x v="1"/>
    <n v="2"/>
    <n v="2"/>
    <n v="2"/>
    <n v="2"/>
    <x v="3"/>
    <x v="0"/>
    <n v="0"/>
    <x v="2"/>
    <s v="Below College"/>
    <x v="0"/>
    <x v="1"/>
  </r>
  <r>
    <n v="18"/>
    <s v="Yes"/>
    <x v="1"/>
    <n v="544"/>
    <x v="0"/>
    <n v="3"/>
    <n v="2"/>
    <s v="Medical"/>
    <n v="1624"/>
    <n v="2"/>
    <x v="0"/>
    <n v="70"/>
    <n v="3"/>
    <x v="1"/>
    <x v="6"/>
    <n v="4"/>
    <x v="0"/>
    <n v="1569"/>
    <n v="18420"/>
    <n v="1"/>
    <x v="0"/>
    <n v="12"/>
    <n v="3"/>
    <n v="3"/>
    <n v="0"/>
    <n v="0"/>
    <n v="2"/>
    <x v="3"/>
    <n v="0"/>
    <n v="0"/>
    <n v="0"/>
    <n v="0"/>
    <x v="3"/>
    <x v="0"/>
    <n v="1"/>
    <x v="2"/>
    <s v="College"/>
    <x v="0"/>
    <x v="3"/>
  </r>
  <r>
    <n v="47"/>
    <s v="No"/>
    <x v="0"/>
    <n v="1176"/>
    <x v="2"/>
    <n v="26"/>
    <n v="4"/>
    <s v="Life Sciences"/>
    <n v="1625"/>
    <n v="4"/>
    <x v="0"/>
    <n v="98"/>
    <n v="3"/>
    <x v="4"/>
    <x v="5"/>
    <n v="3"/>
    <x v="1"/>
    <n v="19658"/>
    <n v="5220"/>
    <n v="3"/>
    <x v="1"/>
    <n v="11"/>
    <n v="3"/>
    <n v="3"/>
    <n v="1"/>
    <n v="27"/>
    <n v="2"/>
    <x v="1"/>
    <n v="5"/>
    <n v="2"/>
    <n v="1"/>
    <n v="0"/>
    <x v="1"/>
    <x v="3"/>
    <n v="0"/>
    <x v="2"/>
    <s v="Master"/>
    <x v="2"/>
    <x v="1"/>
  </r>
  <r>
    <n v="39"/>
    <s v="No"/>
    <x v="0"/>
    <n v="170"/>
    <x v="1"/>
    <n v="3"/>
    <n v="2"/>
    <s v="Medical"/>
    <n v="1627"/>
    <n v="3"/>
    <x v="1"/>
    <n v="76"/>
    <n v="2"/>
    <x v="0"/>
    <x v="2"/>
    <n v="3"/>
    <x v="2"/>
    <n v="3069"/>
    <n v="10302"/>
    <n v="0"/>
    <x v="1"/>
    <n v="15"/>
    <n v="3"/>
    <n v="4"/>
    <n v="1"/>
    <n v="11"/>
    <n v="3"/>
    <x v="1"/>
    <n v="10"/>
    <n v="8"/>
    <n v="0"/>
    <n v="7"/>
    <x v="0"/>
    <x v="0"/>
    <n v="0"/>
    <x v="1"/>
    <s v="College"/>
    <x v="2"/>
    <x v="1"/>
  </r>
  <r>
    <n v="40"/>
    <s v="No"/>
    <x v="0"/>
    <n v="884"/>
    <x v="1"/>
    <n v="15"/>
    <n v="3"/>
    <s v="Life Sciences"/>
    <n v="1628"/>
    <n v="1"/>
    <x v="0"/>
    <n v="80"/>
    <n v="2"/>
    <x v="2"/>
    <x v="3"/>
    <n v="3"/>
    <x v="1"/>
    <n v="10435"/>
    <n v="25800"/>
    <n v="1"/>
    <x v="1"/>
    <n v="13"/>
    <n v="3"/>
    <n v="4"/>
    <n v="2"/>
    <n v="18"/>
    <n v="2"/>
    <x v="1"/>
    <n v="18"/>
    <n v="15"/>
    <n v="14"/>
    <n v="12"/>
    <x v="0"/>
    <x v="0"/>
    <n v="0"/>
    <x v="3"/>
    <s v="Bachelor"/>
    <x v="2"/>
    <x v="1"/>
  </r>
  <r>
    <n v="35"/>
    <s v="No"/>
    <x v="2"/>
    <n v="208"/>
    <x v="1"/>
    <n v="8"/>
    <n v="4"/>
    <s v="Life Sciences"/>
    <n v="1630"/>
    <n v="3"/>
    <x v="0"/>
    <n v="52"/>
    <n v="3"/>
    <x v="0"/>
    <x v="4"/>
    <n v="3"/>
    <x v="1"/>
    <n v="4148"/>
    <n v="12250"/>
    <n v="1"/>
    <x v="1"/>
    <n v="12"/>
    <n v="3"/>
    <n v="4"/>
    <n v="1"/>
    <n v="15"/>
    <n v="5"/>
    <x v="1"/>
    <n v="14"/>
    <n v="11"/>
    <n v="2"/>
    <n v="9"/>
    <x v="2"/>
    <x v="0"/>
    <n v="0"/>
    <x v="3"/>
    <s v="Master"/>
    <x v="2"/>
    <x v="1"/>
  </r>
  <r>
    <n v="37"/>
    <s v="No"/>
    <x v="0"/>
    <n v="671"/>
    <x v="1"/>
    <n v="19"/>
    <n v="3"/>
    <s v="Life Sciences"/>
    <n v="1631"/>
    <n v="3"/>
    <x v="1"/>
    <n v="85"/>
    <n v="3"/>
    <x v="0"/>
    <x v="3"/>
    <n v="3"/>
    <x v="1"/>
    <n v="5768"/>
    <n v="26493"/>
    <n v="3"/>
    <x v="1"/>
    <n v="17"/>
    <n v="3"/>
    <n v="1"/>
    <n v="3"/>
    <n v="9"/>
    <n v="2"/>
    <x v="2"/>
    <n v="4"/>
    <n v="3"/>
    <n v="0"/>
    <n v="2"/>
    <x v="0"/>
    <x v="0"/>
    <n v="0"/>
    <x v="0"/>
    <s v="Bachelor"/>
    <x v="2"/>
    <x v="2"/>
  </r>
  <r>
    <n v="39"/>
    <s v="No"/>
    <x v="1"/>
    <n v="711"/>
    <x v="1"/>
    <n v="4"/>
    <n v="3"/>
    <s v="Medical"/>
    <n v="1633"/>
    <n v="1"/>
    <x v="0"/>
    <n v="81"/>
    <n v="3"/>
    <x v="0"/>
    <x v="3"/>
    <n v="3"/>
    <x v="0"/>
    <n v="5042"/>
    <n v="3140"/>
    <n v="0"/>
    <x v="1"/>
    <n v="13"/>
    <n v="3"/>
    <n v="4"/>
    <n v="0"/>
    <n v="10"/>
    <n v="2"/>
    <x v="0"/>
    <n v="9"/>
    <n v="2"/>
    <n v="3"/>
    <n v="8"/>
    <x v="0"/>
    <x v="3"/>
    <n v="0"/>
    <x v="0"/>
    <s v="Bachelor"/>
    <x v="2"/>
    <x v="0"/>
  </r>
  <r>
    <n v="45"/>
    <s v="No"/>
    <x v="0"/>
    <n v="1329"/>
    <x v="1"/>
    <n v="2"/>
    <n v="2"/>
    <s v="Other"/>
    <n v="1635"/>
    <n v="4"/>
    <x v="0"/>
    <n v="59"/>
    <n v="2"/>
    <x v="0"/>
    <x v="3"/>
    <n v="4"/>
    <x v="2"/>
    <n v="5770"/>
    <n v="5388"/>
    <n v="1"/>
    <x v="1"/>
    <n v="19"/>
    <n v="3"/>
    <n v="1"/>
    <n v="2"/>
    <n v="10"/>
    <n v="3"/>
    <x v="1"/>
    <n v="10"/>
    <n v="7"/>
    <n v="3"/>
    <n v="9"/>
    <x v="0"/>
    <x v="3"/>
    <n v="0"/>
    <x v="1"/>
    <s v="College"/>
    <x v="0"/>
    <x v="1"/>
  </r>
  <r>
    <n v="38"/>
    <s v="No"/>
    <x v="0"/>
    <n v="397"/>
    <x v="1"/>
    <n v="2"/>
    <n v="2"/>
    <s v="Medical"/>
    <n v="1638"/>
    <n v="4"/>
    <x v="0"/>
    <n v="54"/>
    <n v="2"/>
    <x v="2"/>
    <x v="3"/>
    <n v="3"/>
    <x v="1"/>
    <n v="7756"/>
    <n v="14199"/>
    <n v="3"/>
    <x v="0"/>
    <n v="19"/>
    <n v="3"/>
    <n v="4"/>
    <n v="1"/>
    <n v="10"/>
    <n v="6"/>
    <x v="3"/>
    <n v="5"/>
    <n v="4"/>
    <n v="0"/>
    <n v="2"/>
    <x v="0"/>
    <x v="0"/>
    <n v="0"/>
    <x v="2"/>
    <s v="College"/>
    <x v="2"/>
    <x v="3"/>
  </r>
  <r>
    <n v="35"/>
    <s v="Yes"/>
    <x v="0"/>
    <n v="737"/>
    <x v="0"/>
    <n v="10"/>
    <n v="3"/>
    <s v="Medical"/>
    <n v="1639"/>
    <n v="4"/>
    <x v="1"/>
    <n v="55"/>
    <n v="2"/>
    <x v="2"/>
    <x v="0"/>
    <n v="1"/>
    <x v="1"/>
    <n v="10306"/>
    <n v="21530"/>
    <n v="9"/>
    <x v="1"/>
    <n v="17"/>
    <n v="3"/>
    <n v="3"/>
    <n v="0"/>
    <n v="15"/>
    <n v="3"/>
    <x v="1"/>
    <n v="13"/>
    <n v="12"/>
    <n v="6"/>
    <n v="0"/>
    <x v="2"/>
    <x v="0"/>
    <n v="1"/>
    <x v="3"/>
    <s v="Bachelor"/>
    <x v="3"/>
    <x v="1"/>
  </r>
  <r>
    <n v="37"/>
    <s v="No"/>
    <x v="0"/>
    <n v="1470"/>
    <x v="1"/>
    <n v="10"/>
    <n v="3"/>
    <s v="Medical"/>
    <n v="1640"/>
    <n v="2"/>
    <x v="0"/>
    <n v="71"/>
    <n v="3"/>
    <x v="1"/>
    <x v="1"/>
    <n v="2"/>
    <x v="1"/>
    <n v="3936"/>
    <n v="9953"/>
    <n v="1"/>
    <x v="1"/>
    <n v="11"/>
    <n v="3"/>
    <n v="1"/>
    <n v="1"/>
    <n v="8"/>
    <n v="2"/>
    <x v="0"/>
    <n v="8"/>
    <n v="4"/>
    <n v="7"/>
    <n v="7"/>
    <x v="0"/>
    <x v="2"/>
    <n v="0"/>
    <x v="0"/>
    <s v="Bachelor"/>
    <x v="1"/>
    <x v="0"/>
  </r>
  <r>
    <n v="40"/>
    <s v="No"/>
    <x v="0"/>
    <n v="448"/>
    <x v="1"/>
    <n v="16"/>
    <n v="3"/>
    <s v="Life Sciences"/>
    <n v="1641"/>
    <n v="3"/>
    <x v="0"/>
    <n v="84"/>
    <n v="3"/>
    <x v="2"/>
    <x v="3"/>
    <n v="4"/>
    <x v="0"/>
    <n v="7945"/>
    <n v="19948"/>
    <n v="6"/>
    <x v="0"/>
    <n v="15"/>
    <n v="3"/>
    <n v="4"/>
    <n v="0"/>
    <n v="18"/>
    <n v="2"/>
    <x v="2"/>
    <n v="4"/>
    <n v="2"/>
    <n v="3"/>
    <n v="3"/>
    <x v="0"/>
    <x v="0"/>
    <n v="0"/>
    <x v="0"/>
    <s v="Bachelor"/>
    <x v="0"/>
    <x v="2"/>
  </r>
  <r>
    <n v="44"/>
    <s v="No"/>
    <x v="1"/>
    <n v="602"/>
    <x v="2"/>
    <n v="1"/>
    <n v="5"/>
    <s v="Human Resources"/>
    <n v="1642"/>
    <n v="1"/>
    <x v="1"/>
    <n v="37"/>
    <n v="3"/>
    <x v="0"/>
    <x v="8"/>
    <n v="4"/>
    <x v="1"/>
    <n v="5743"/>
    <n v="10503"/>
    <n v="4"/>
    <x v="0"/>
    <n v="11"/>
    <n v="3"/>
    <n v="3"/>
    <n v="0"/>
    <n v="14"/>
    <n v="3"/>
    <x v="1"/>
    <n v="10"/>
    <n v="7"/>
    <n v="0"/>
    <n v="2"/>
    <x v="0"/>
    <x v="0"/>
    <n v="0"/>
    <x v="1"/>
    <s v="Doctor"/>
    <x v="0"/>
    <x v="1"/>
  </r>
  <r>
    <n v="48"/>
    <s v="No"/>
    <x v="1"/>
    <n v="365"/>
    <x v="1"/>
    <n v="4"/>
    <n v="5"/>
    <s v="Medical"/>
    <n v="1644"/>
    <n v="3"/>
    <x v="1"/>
    <n v="89"/>
    <n v="2"/>
    <x v="3"/>
    <x v="5"/>
    <n v="4"/>
    <x v="1"/>
    <n v="15202"/>
    <n v="5602"/>
    <n v="2"/>
    <x v="1"/>
    <n v="25"/>
    <n v="4"/>
    <n v="2"/>
    <n v="1"/>
    <n v="23"/>
    <n v="3"/>
    <x v="1"/>
    <n v="2"/>
    <n v="2"/>
    <n v="2"/>
    <n v="2"/>
    <x v="1"/>
    <x v="3"/>
    <n v="0"/>
    <x v="2"/>
    <s v="Doctor"/>
    <x v="0"/>
    <x v="1"/>
  </r>
  <r>
    <n v="35"/>
    <s v="Yes"/>
    <x v="0"/>
    <n v="763"/>
    <x v="0"/>
    <n v="15"/>
    <n v="2"/>
    <s v="Medical"/>
    <n v="1645"/>
    <n v="1"/>
    <x v="1"/>
    <n v="59"/>
    <n v="1"/>
    <x v="0"/>
    <x v="0"/>
    <n v="4"/>
    <x v="2"/>
    <n v="5440"/>
    <n v="22098"/>
    <n v="6"/>
    <x v="0"/>
    <n v="14"/>
    <n v="3"/>
    <n v="4"/>
    <n v="2"/>
    <n v="7"/>
    <n v="2"/>
    <x v="2"/>
    <n v="2"/>
    <n v="2"/>
    <n v="2"/>
    <n v="2"/>
    <x v="2"/>
    <x v="0"/>
    <n v="1"/>
    <x v="0"/>
    <s v="College"/>
    <x v="0"/>
    <x v="2"/>
  </r>
  <r>
    <n v="24"/>
    <s v="No"/>
    <x v="1"/>
    <n v="567"/>
    <x v="1"/>
    <n v="2"/>
    <n v="1"/>
    <s v="Technical Degree"/>
    <n v="1646"/>
    <n v="1"/>
    <x v="0"/>
    <n v="32"/>
    <n v="3"/>
    <x v="1"/>
    <x v="1"/>
    <n v="4"/>
    <x v="0"/>
    <n v="3760"/>
    <n v="17218"/>
    <n v="1"/>
    <x v="0"/>
    <n v="13"/>
    <n v="3"/>
    <n v="3"/>
    <n v="0"/>
    <n v="6"/>
    <n v="2"/>
    <x v="1"/>
    <n v="6"/>
    <n v="3"/>
    <n v="1"/>
    <n v="3"/>
    <x v="3"/>
    <x v="0"/>
    <n v="0"/>
    <x v="1"/>
    <s v="Below College"/>
    <x v="0"/>
    <x v="1"/>
  </r>
  <r>
    <n v="27"/>
    <s v="No"/>
    <x v="0"/>
    <n v="486"/>
    <x v="1"/>
    <n v="8"/>
    <n v="3"/>
    <s v="Medical"/>
    <n v="1647"/>
    <n v="2"/>
    <x v="0"/>
    <n v="86"/>
    <n v="4"/>
    <x v="1"/>
    <x v="1"/>
    <n v="3"/>
    <x v="1"/>
    <n v="3517"/>
    <n v="22490"/>
    <n v="7"/>
    <x v="1"/>
    <n v="17"/>
    <n v="3"/>
    <n v="1"/>
    <n v="0"/>
    <n v="5"/>
    <n v="0"/>
    <x v="1"/>
    <n v="3"/>
    <n v="2"/>
    <n v="0"/>
    <n v="2"/>
    <x v="2"/>
    <x v="0"/>
    <n v="0"/>
    <x v="2"/>
    <s v="Bachelor"/>
    <x v="2"/>
    <x v="1"/>
  </r>
  <r>
    <n v="27"/>
    <s v="No"/>
    <x v="1"/>
    <n v="591"/>
    <x v="1"/>
    <n v="2"/>
    <n v="3"/>
    <s v="Medical"/>
    <n v="1648"/>
    <n v="4"/>
    <x v="1"/>
    <n v="87"/>
    <n v="3"/>
    <x v="1"/>
    <x v="1"/>
    <n v="4"/>
    <x v="0"/>
    <n v="2580"/>
    <n v="6297"/>
    <n v="2"/>
    <x v="1"/>
    <n v="13"/>
    <n v="3"/>
    <n v="3"/>
    <n v="0"/>
    <n v="6"/>
    <n v="0"/>
    <x v="2"/>
    <n v="4"/>
    <n v="2"/>
    <n v="1"/>
    <n v="2"/>
    <x v="2"/>
    <x v="2"/>
    <n v="0"/>
    <x v="0"/>
    <s v="Bachelor"/>
    <x v="0"/>
    <x v="2"/>
  </r>
  <r>
    <n v="40"/>
    <s v="Yes"/>
    <x v="0"/>
    <n v="1329"/>
    <x v="1"/>
    <n v="7"/>
    <n v="3"/>
    <s v="Life Sciences"/>
    <n v="1649"/>
    <n v="1"/>
    <x v="1"/>
    <n v="73"/>
    <n v="3"/>
    <x v="1"/>
    <x v="2"/>
    <n v="1"/>
    <x v="0"/>
    <n v="2166"/>
    <n v="3339"/>
    <n v="3"/>
    <x v="0"/>
    <n v="14"/>
    <n v="3"/>
    <n v="2"/>
    <n v="0"/>
    <n v="10"/>
    <n v="3"/>
    <x v="0"/>
    <n v="4"/>
    <n v="2"/>
    <n v="0"/>
    <n v="3"/>
    <x v="0"/>
    <x v="3"/>
    <n v="1"/>
    <x v="0"/>
    <s v="Bachelor"/>
    <x v="3"/>
    <x v="0"/>
  </r>
  <r>
    <n v="29"/>
    <s v="No"/>
    <x v="0"/>
    <n v="469"/>
    <x v="0"/>
    <n v="10"/>
    <n v="3"/>
    <s v="Medical"/>
    <n v="1650"/>
    <n v="3"/>
    <x v="1"/>
    <n v="42"/>
    <n v="2"/>
    <x v="0"/>
    <x v="0"/>
    <n v="3"/>
    <x v="0"/>
    <n v="5869"/>
    <n v="23413"/>
    <n v="9"/>
    <x v="1"/>
    <n v="11"/>
    <n v="3"/>
    <n v="3"/>
    <n v="0"/>
    <n v="8"/>
    <n v="2"/>
    <x v="1"/>
    <n v="5"/>
    <n v="2"/>
    <n v="1"/>
    <n v="4"/>
    <x v="2"/>
    <x v="0"/>
    <n v="0"/>
    <x v="2"/>
    <s v="Bachelor"/>
    <x v="2"/>
    <x v="1"/>
  </r>
  <r>
    <n v="36"/>
    <s v="No"/>
    <x v="0"/>
    <n v="711"/>
    <x v="1"/>
    <n v="5"/>
    <n v="4"/>
    <s v="Life Sciences"/>
    <n v="1651"/>
    <n v="2"/>
    <x v="0"/>
    <n v="42"/>
    <n v="3"/>
    <x v="2"/>
    <x v="4"/>
    <n v="1"/>
    <x v="1"/>
    <n v="8008"/>
    <n v="22792"/>
    <n v="4"/>
    <x v="1"/>
    <n v="12"/>
    <n v="3"/>
    <n v="3"/>
    <n v="2"/>
    <n v="9"/>
    <n v="6"/>
    <x v="1"/>
    <n v="3"/>
    <n v="2"/>
    <n v="0"/>
    <n v="2"/>
    <x v="0"/>
    <x v="0"/>
    <n v="0"/>
    <x v="2"/>
    <s v="Master"/>
    <x v="3"/>
    <x v="1"/>
  </r>
  <r>
    <n v="25"/>
    <s v="No"/>
    <x v="1"/>
    <n v="772"/>
    <x v="1"/>
    <n v="2"/>
    <n v="1"/>
    <s v="Life Sciences"/>
    <n v="1653"/>
    <n v="4"/>
    <x v="1"/>
    <n v="77"/>
    <n v="4"/>
    <x v="0"/>
    <x v="3"/>
    <n v="3"/>
    <x v="2"/>
    <n v="5206"/>
    <n v="4973"/>
    <n v="1"/>
    <x v="1"/>
    <n v="17"/>
    <n v="3"/>
    <n v="3"/>
    <n v="2"/>
    <n v="7"/>
    <n v="6"/>
    <x v="1"/>
    <n v="7"/>
    <n v="7"/>
    <n v="0"/>
    <n v="7"/>
    <x v="3"/>
    <x v="3"/>
    <n v="0"/>
    <x v="1"/>
    <s v="Below College"/>
    <x v="2"/>
    <x v="1"/>
  </r>
  <r>
    <n v="39"/>
    <s v="No"/>
    <x v="0"/>
    <n v="492"/>
    <x v="1"/>
    <n v="12"/>
    <n v="3"/>
    <s v="Medical"/>
    <n v="1654"/>
    <n v="4"/>
    <x v="1"/>
    <n v="66"/>
    <n v="3"/>
    <x v="0"/>
    <x v="3"/>
    <n v="2"/>
    <x v="1"/>
    <n v="5295"/>
    <n v="7693"/>
    <n v="4"/>
    <x v="1"/>
    <n v="21"/>
    <n v="4"/>
    <n v="3"/>
    <n v="0"/>
    <n v="7"/>
    <n v="3"/>
    <x v="1"/>
    <n v="5"/>
    <n v="4"/>
    <n v="1"/>
    <n v="0"/>
    <x v="0"/>
    <x v="2"/>
    <n v="0"/>
    <x v="2"/>
    <s v="Bachelor"/>
    <x v="1"/>
    <x v="1"/>
  </r>
  <r>
    <n v="49"/>
    <s v="No"/>
    <x v="0"/>
    <n v="301"/>
    <x v="1"/>
    <n v="22"/>
    <n v="4"/>
    <s v="Other"/>
    <n v="1655"/>
    <n v="1"/>
    <x v="0"/>
    <n v="72"/>
    <n v="3"/>
    <x v="3"/>
    <x v="7"/>
    <n v="2"/>
    <x v="1"/>
    <n v="16413"/>
    <n v="3498"/>
    <n v="3"/>
    <x v="1"/>
    <n v="16"/>
    <n v="3"/>
    <n v="2"/>
    <n v="2"/>
    <n v="27"/>
    <n v="2"/>
    <x v="1"/>
    <n v="4"/>
    <n v="2"/>
    <n v="1"/>
    <n v="2"/>
    <x v="1"/>
    <x v="3"/>
    <n v="0"/>
    <x v="2"/>
    <s v="Master"/>
    <x v="1"/>
    <x v="1"/>
  </r>
  <r>
    <n v="50"/>
    <s v="No"/>
    <x v="0"/>
    <n v="813"/>
    <x v="1"/>
    <n v="17"/>
    <n v="5"/>
    <s v="Life Sciences"/>
    <n v="1656"/>
    <n v="4"/>
    <x v="0"/>
    <n v="50"/>
    <n v="2"/>
    <x v="2"/>
    <x v="7"/>
    <n v="1"/>
    <x v="2"/>
    <n v="13269"/>
    <n v="21981"/>
    <n v="5"/>
    <x v="1"/>
    <n v="15"/>
    <n v="3"/>
    <n v="3"/>
    <n v="3"/>
    <n v="19"/>
    <n v="3"/>
    <x v="1"/>
    <n v="14"/>
    <n v="11"/>
    <n v="1"/>
    <n v="11"/>
    <x v="1"/>
    <x v="0"/>
    <n v="0"/>
    <x v="3"/>
    <s v="Doctor"/>
    <x v="3"/>
    <x v="1"/>
  </r>
  <r>
    <n v="20"/>
    <s v="No"/>
    <x v="0"/>
    <n v="1141"/>
    <x v="0"/>
    <n v="2"/>
    <n v="3"/>
    <s v="Medical"/>
    <n v="1657"/>
    <n v="3"/>
    <x v="0"/>
    <n v="31"/>
    <n v="3"/>
    <x v="1"/>
    <x v="6"/>
    <n v="3"/>
    <x v="0"/>
    <n v="2783"/>
    <n v="13251"/>
    <n v="1"/>
    <x v="1"/>
    <n v="19"/>
    <n v="3"/>
    <n v="1"/>
    <n v="0"/>
    <n v="2"/>
    <n v="3"/>
    <x v="1"/>
    <n v="2"/>
    <n v="2"/>
    <n v="2"/>
    <n v="2"/>
    <x v="3"/>
    <x v="0"/>
    <n v="0"/>
    <x v="2"/>
    <s v="Bachelor"/>
    <x v="2"/>
    <x v="1"/>
  </r>
  <r>
    <n v="34"/>
    <s v="No"/>
    <x v="0"/>
    <n v="1130"/>
    <x v="1"/>
    <n v="3"/>
    <n v="3"/>
    <s v="Life Sciences"/>
    <n v="1658"/>
    <n v="4"/>
    <x v="0"/>
    <n v="66"/>
    <n v="3"/>
    <x v="0"/>
    <x v="1"/>
    <n v="2"/>
    <x v="2"/>
    <n v="5433"/>
    <n v="19332"/>
    <n v="1"/>
    <x v="1"/>
    <n v="12"/>
    <n v="3"/>
    <n v="3"/>
    <n v="1"/>
    <n v="11"/>
    <n v="2"/>
    <x v="1"/>
    <n v="11"/>
    <n v="8"/>
    <n v="7"/>
    <n v="9"/>
    <x v="2"/>
    <x v="0"/>
    <n v="0"/>
    <x v="3"/>
    <s v="Bachelor"/>
    <x v="1"/>
    <x v="1"/>
  </r>
  <r>
    <n v="36"/>
    <s v="No"/>
    <x v="0"/>
    <n v="311"/>
    <x v="1"/>
    <n v="7"/>
    <n v="3"/>
    <s v="Life Sciences"/>
    <n v="1659"/>
    <n v="1"/>
    <x v="1"/>
    <n v="77"/>
    <n v="3"/>
    <x v="1"/>
    <x v="2"/>
    <n v="2"/>
    <x v="0"/>
    <n v="2013"/>
    <n v="10950"/>
    <n v="2"/>
    <x v="1"/>
    <n v="11"/>
    <n v="3"/>
    <n v="3"/>
    <n v="0"/>
    <n v="15"/>
    <n v="4"/>
    <x v="1"/>
    <n v="4"/>
    <n v="3"/>
    <n v="1"/>
    <n v="3"/>
    <x v="0"/>
    <x v="0"/>
    <n v="0"/>
    <x v="2"/>
    <s v="Bachelor"/>
    <x v="1"/>
    <x v="1"/>
  </r>
  <r>
    <n v="49"/>
    <s v="No"/>
    <x v="0"/>
    <n v="465"/>
    <x v="1"/>
    <n v="6"/>
    <n v="1"/>
    <s v="Life Sciences"/>
    <n v="1661"/>
    <n v="3"/>
    <x v="0"/>
    <n v="41"/>
    <n v="2"/>
    <x v="3"/>
    <x v="4"/>
    <n v="3"/>
    <x v="1"/>
    <n v="13966"/>
    <n v="11652"/>
    <n v="2"/>
    <x v="0"/>
    <n v="19"/>
    <n v="3"/>
    <n v="2"/>
    <n v="1"/>
    <n v="30"/>
    <n v="3"/>
    <x v="1"/>
    <n v="15"/>
    <n v="11"/>
    <n v="2"/>
    <n v="12"/>
    <x v="1"/>
    <x v="0"/>
    <n v="0"/>
    <x v="3"/>
    <s v="Below College"/>
    <x v="2"/>
    <x v="1"/>
  </r>
  <r>
    <n v="36"/>
    <s v="No"/>
    <x v="2"/>
    <n v="894"/>
    <x v="1"/>
    <n v="1"/>
    <n v="4"/>
    <s v="Medical"/>
    <n v="1662"/>
    <n v="4"/>
    <x v="0"/>
    <n v="33"/>
    <n v="2"/>
    <x v="0"/>
    <x v="3"/>
    <n v="3"/>
    <x v="1"/>
    <n v="4374"/>
    <n v="15411"/>
    <n v="0"/>
    <x v="1"/>
    <n v="15"/>
    <n v="3"/>
    <n v="3"/>
    <n v="0"/>
    <n v="4"/>
    <n v="6"/>
    <x v="1"/>
    <n v="3"/>
    <n v="2"/>
    <n v="1"/>
    <n v="2"/>
    <x v="0"/>
    <x v="0"/>
    <n v="0"/>
    <x v="2"/>
    <s v="Master"/>
    <x v="2"/>
    <x v="1"/>
  </r>
  <r>
    <n v="36"/>
    <s v="No"/>
    <x v="0"/>
    <n v="1040"/>
    <x v="1"/>
    <n v="3"/>
    <n v="2"/>
    <s v="Life Sciences"/>
    <n v="1664"/>
    <n v="4"/>
    <x v="1"/>
    <n v="79"/>
    <n v="4"/>
    <x v="0"/>
    <x v="4"/>
    <n v="1"/>
    <x v="2"/>
    <n v="6842"/>
    <n v="26308"/>
    <n v="6"/>
    <x v="1"/>
    <n v="20"/>
    <n v="4"/>
    <n v="1"/>
    <n v="1"/>
    <n v="13"/>
    <n v="3"/>
    <x v="1"/>
    <n v="5"/>
    <n v="4"/>
    <n v="0"/>
    <n v="4"/>
    <x v="0"/>
    <x v="0"/>
    <n v="0"/>
    <x v="2"/>
    <s v="College"/>
    <x v="3"/>
    <x v="1"/>
  </r>
  <r>
    <n v="54"/>
    <s v="No"/>
    <x v="0"/>
    <n v="584"/>
    <x v="1"/>
    <n v="22"/>
    <n v="5"/>
    <s v="Medical"/>
    <n v="1665"/>
    <n v="2"/>
    <x v="0"/>
    <n v="91"/>
    <n v="3"/>
    <x v="3"/>
    <x v="5"/>
    <n v="3"/>
    <x v="1"/>
    <n v="17426"/>
    <n v="18685"/>
    <n v="3"/>
    <x v="1"/>
    <n v="25"/>
    <n v="4"/>
    <n v="3"/>
    <n v="1"/>
    <n v="36"/>
    <n v="6"/>
    <x v="1"/>
    <n v="10"/>
    <n v="8"/>
    <n v="4"/>
    <n v="7"/>
    <x v="1"/>
    <x v="0"/>
    <n v="0"/>
    <x v="1"/>
    <s v="Doctor"/>
    <x v="2"/>
    <x v="1"/>
  </r>
  <r>
    <n v="43"/>
    <s v="No"/>
    <x v="0"/>
    <n v="1291"/>
    <x v="1"/>
    <n v="15"/>
    <n v="2"/>
    <s v="Life Sciences"/>
    <n v="1666"/>
    <n v="3"/>
    <x v="1"/>
    <n v="65"/>
    <n v="2"/>
    <x v="3"/>
    <x v="7"/>
    <n v="3"/>
    <x v="1"/>
    <n v="17603"/>
    <n v="3525"/>
    <n v="1"/>
    <x v="1"/>
    <n v="24"/>
    <n v="4"/>
    <n v="1"/>
    <n v="1"/>
    <n v="14"/>
    <n v="3"/>
    <x v="1"/>
    <n v="14"/>
    <n v="10"/>
    <n v="6"/>
    <n v="11"/>
    <x v="0"/>
    <x v="3"/>
    <n v="0"/>
    <x v="3"/>
    <s v="College"/>
    <x v="2"/>
    <x v="1"/>
  </r>
  <r>
    <n v="35"/>
    <s v="Yes"/>
    <x v="1"/>
    <n v="880"/>
    <x v="0"/>
    <n v="12"/>
    <n v="4"/>
    <s v="Other"/>
    <n v="1667"/>
    <n v="4"/>
    <x v="1"/>
    <n v="36"/>
    <n v="3"/>
    <x v="0"/>
    <x v="0"/>
    <n v="4"/>
    <x v="0"/>
    <n v="4581"/>
    <n v="10414"/>
    <n v="3"/>
    <x v="0"/>
    <n v="24"/>
    <n v="4"/>
    <n v="1"/>
    <n v="0"/>
    <n v="13"/>
    <n v="2"/>
    <x v="3"/>
    <n v="11"/>
    <n v="9"/>
    <n v="6"/>
    <n v="7"/>
    <x v="2"/>
    <x v="0"/>
    <n v="1"/>
    <x v="3"/>
    <s v="Master"/>
    <x v="0"/>
    <x v="3"/>
  </r>
  <r>
    <n v="38"/>
    <s v="No"/>
    <x v="1"/>
    <n v="1189"/>
    <x v="1"/>
    <n v="1"/>
    <n v="3"/>
    <s v="Life Sciences"/>
    <n v="1668"/>
    <n v="4"/>
    <x v="1"/>
    <n v="90"/>
    <n v="3"/>
    <x v="0"/>
    <x v="1"/>
    <n v="4"/>
    <x v="1"/>
    <n v="4735"/>
    <n v="9867"/>
    <n v="7"/>
    <x v="1"/>
    <n v="15"/>
    <n v="3"/>
    <n v="4"/>
    <n v="2"/>
    <n v="19"/>
    <n v="4"/>
    <x v="3"/>
    <n v="13"/>
    <n v="11"/>
    <n v="2"/>
    <n v="9"/>
    <x v="0"/>
    <x v="2"/>
    <n v="0"/>
    <x v="3"/>
    <s v="Bachelor"/>
    <x v="0"/>
    <x v="3"/>
  </r>
  <r>
    <n v="29"/>
    <s v="No"/>
    <x v="0"/>
    <n v="991"/>
    <x v="0"/>
    <n v="5"/>
    <n v="3"/>
    <s v="Medical"/>
    <n v="1669"/>
    <n v="1"/>
    <x v="1"/>
    <n v="43"/>
    <n v="2"/>
    <x v="0"/>
    <x v="0"/>
    <n v="2"/>
    <x v="2"/>
    <n v="4187"/>
    <n v="3356"/>
    <n v="1"/>
    <x v="0"/>
    <n v="13"/>
    <n v="3"/>
    <n v="2"/>
    <n v="1"/>
    <n v="10"/>
    <n v="3"/>
    <x v="2"/>
    <n v="10"/>
    <n v="0"/>
    <n v="0"/>
    <n v="9"/>
    <x v="2"/>
    <x v="3"/>
    <n v="0"/>
    <x v="0"/>
    <s v="Bachelor"/>
    <x v="1"/>
    <x v="2"/>
  </r>
  <r>
    <n v="33"/>
    <s v="No"/>
    <x v="0"/>
    <n v="392"/>
    <x v="0"/>
    <n v="2"/>
    <n v="4"/>
    <s v="Medical"/>
    <n v="1670"/>
    <n v="4"/>
    <x v="1"/>
    <n v="93"/>
    <n v="3"/>
    <x v="0"/>
    <x v="0"/>
    <n v="4"/>
    <x v="2"/>
    <n v="5505"/>
    <n v="3921"/>
    <n v="1"/>
    <x v="1"/>
    <n v="14"/>
    <n v="3"/>
    <n v="3"/>
    <n v="2"/>
    <n v="6"/>
    <n v="5"/>
    <x v="1"/>
    <n v="6"/>
    <n v="2"/>
    <n v="0"/>
    <n v="4"/>
    <x v="2"/>
    <x v="3"/>
    <n v="0"/>
    <x v="1"/>
    <s v="Master"/>
    <x v="0"/>
    <x v="1"/>
  </r>
  <r>
    <n v="32"/>
    <s v="No"/>
    <x v="0"/>
    <n v="977"/>
    <x v="1"/>
    <n v="2"/>
    <n v="3"/>
    <s v="Medical"/>
    <n v="1671"/>
    <n v="4"/>
    <x v="1"/>
    <n v="45"/>
    <n v="3"/>
    <x v="0"/>
    <x v="1"/>
    <n v="2"/>
    <x v="2"/>
    <n v="5470"/>
    <n v="25518"/>
    <n v="0"/>
    <x v="1"/>
    <n v="13"/>
    <n v="3"/>
    <n v="3"/>
    <n v="2"/>
    <n v="10"/>
    <n v="4"/>
    <x v="2"/>
    <n v="9"/>
    <n v="5"/>
    <n v="1"/>
    <n v="6"/>
    <x v="2"/>
    <x v="0"/>
    <n v="0"/>
    <x v="0"/>
    <s v="Bachelor"/>
    <x v="1"/>
    <x v="2"/>
  </r>
  <r>
    <n v="31"/>
    <s v="No"/>
    <x v="0"/>
    <n v="1112"/>
    <x v="0"/>
    <n v="5"/>
    <n v="4"/>
    <s v="Life Sciences"/>
    <n v="1673"/>
    <n v="1"/>
    <x v="0"/>
    <n v="67"/>
    <n v="3"/>
    <x v="0"/>
    <x v="0"/>
    <n v="4"/>
    <x v="1"/>
    <n v="5476"/>
    <n v="22589"/>
    <n v="1"/>
    <x v="1"/>
    <n v="11"/>
    <n v="3"/>
    <n v="1"/>
    <n v="2"/>
    <n v="10"/>
    <n v="2"/>
    <x v="1"/>
    <n v="10"/>
    <n v="0"/>
    <n v="0"/>
    <n v="2"/>
    <x v="2"/>
    <x v="0"/>
    <n v="0"/>
    <x v="1"/>
    <s v="Master"/>
    <x v="0"/>
    <x v="1"/>
  </r>
  <r>
    <n v="49"/>
    <s v="No"/>
    <x v="0"/>
    <n v="464"/>
    <x v="1"/>
    <n v="16"/>
    <n v="3"/>
    <s v="Medical"/>
    <n v="1674"/>
    <n v="4"/>
    <x v="0"/>
    <n v="74"/>
    <n v="3"/>
    <x v="1"/>
    <x v="2"/>
    <n v="1"/>
    <x v="2"/>
    <n v="2587"/>
    <n v="24941"/>
    <n v="4"/>
    <x v="0"/>
    <n v="16"/>
    <n v="3"/>
    <n v="2"/>
    <n v="1"/>
    <n v="17"/>
    <n v="2"/>
    <x v="2"/>
    <n v="2"/>
    <n v="2"/>
    <n v="2"/>
    <n v="2"/>
    <x v="1"/>
    <x v="0"/>
    <n v="0"/>
    <x v="0"/>
    <s v="Bachelor"/>
    <x v="3"/>
    <x v="2"/>
  </r>
  <r>
    <n v="38"/>
    <s v="No"/>
    <x v="1"/>
    <n v="148"/>
    <x v="1"/>
    <n v="2"/>
    <n v="3"/>
    <s v="Medical"/>
    <n v="1675"/>
    <n v="4"/>
    <x v="0"/>
    <n v="42"/>
    <n v="2"/>
    <x v="1"/>
    <x v="2"/>
    <n v="2"/>
    <x v="0"/>
    <n v="2440"/>
    <n v="23826"/>
    <n v="1"/>
    <x v="1"/>
    <n v="22"/>
    <n v="4"/>
    <n v="2"/>
    <n v="0"/>
    <n v="4"/>
    <n v="3"/>
    <x v="1"/>
    <n v="4"/>
    <n v="3"/>
    <n v="3"/>
    <n v="3"/>
    <x v="0"/>
    <x v="0"/>
    <n v="0"/>
    <x v="2"/>
    <s v="Bachelor"/>
    <x v="1"/>
    <x v="1"/>
  </r>
  <r>
    <n v="47"/>
    <s v="No"/>
    <x v="0"/>
    <n v="1225"/>
    <x v="0"/>
    <n v="2"/>
    <n v="4"/>
    <s v="Life Sciences"/>
    <n v="1676"/>
    <n v="2"/>
    <x v="0"/>
    <n v="47"/>
    <n v="4"/>
    <x v="3"/>
    <x v="5"/>
    <n v="2"/>
    <x v="2"/>
    <n v="15972"/>
    <n v="21086"/>
    <n v="6"/>
    <x v="1"/>
    <n v="14"/>
    <n v="3"/>
    <n v="3"/>
    <n v="3"/>
    <n v="29"/>
    <n v="2"/>
    <x v="1"/>
    <n v="3"/>
    <n v="2"/>
    <n v="1"/>
    <n v="2"/>
    <x v="1"/>
    <x v="0"/>
    <n v="0"/>
    <x v="2"/>
    <s v="Master"/>
    <x v="1"/>
    <x v="1"/>
  </r>
  <r>
    <n v="49"/>
    <s v="No"/>
    <x v="0"/>
    <n v="809"/>
    <x v="1"/>
    <n v="1"/>
    <n v="3"/>
    <s v="Life Sciences"/>
    <n v="1677"/>
    <n v="3"/>
    <x v="1"/>
    <n v="36"/>
    <n v="3"/>
    <x v="3"/>
    <x v="5"/>
    <n v="3"/>
    <x v="0"/>
    <n v="15379"/>
    <n v="22384"/>
    <n v="4"/>
    <x v="1"/>
    <n v="14"/>
    <n v="3"/>
    <n v="1"/>
    <n v="0"/>
    <n v="23"/>
    <n v="2"/>
    <x v="1"/>
    <n v="8"/>
    <n v="7"/>
    <n v="0"/>
    <n v="0"/>
    <x v="1"/>
    <x v="0"/>
    <n v="0"/>
    <x v="1"/>
    <s v="Bachelor"/>
    <x v="2"/>
    <x v="1"/>
  </r>
  <r>
    <n v="41"/>
    <s v="No"/>
    <x v="0"/>
    <n v="1206"/>
    <x v="0"/>
    <n v="23"/>
    <n v="2"/>
    <s v="Life Sciences"/>
    <n v="1678"/>
    <n v="4"/>
    <x v="1"/>
    <n v="80"/>
    <n v="3"/>
    <x v="2"/>
    <x v="0"/>
    <n v="3"/>
    <x v="0"/>
    <n v="7082"/>
    <n v="11591"/>
    <n v="3"/>
    <x v="0"/>
    <n v="16"/>
    <n v="3"/>
    <n v="4"/>
    <n v="0"/>
    <n v="21"/>
    <n v="2"/>
    <x v="1"/>
    <n v="2"/>
    <n v="0"/>
    <n v="0"/>
    <n v="2"/>
    <x v="0"/>
    <x v="0"/>
    <n v="0"/>
    <x v="2"/>
    <s v="College"/>
    <x v="2"/>
    <x v="1"/>
  </r>
  <r>
    <n v="20"/>
    <s v="No"/>
    <x v="0"/>
    <n v="727"/>
    <x v="0"/>
    <n v="9"/>
    <n v="1"/>
    <s v="Life Sciences"/>
    <n v="1680"/>
    <n v="4"/>
    <x v="1"/>
    <n v="54"/>
    <n v="3"/>
    <x v="1"/>
    <x v="6"/>
    <n v="1"/>
    <x v="0"/>
    <n v="2728"/>
    <n v="21082"/>
    <n v="1"/>
    <x v="1"/>
    <n v="11"/>
    <n v="3"/>
    <n v="1"/>
    <n v="0"/>
    <n v="2"/>
    <n v="3"/>
    <x v="1"/>
    <n v="2"/>
    <n v="2"/>
    <n v="0"/>
    <n v="2"/>
    <x v="3"/>
    <x v="0"/>
    <n v="0"/>
    <x v="2"/>
    <s v="Below College"/>
    <x v="3"/>
    <x v="1"/>
  </r>
  <r>
    <n v="33"/>
    <s v="No"/>
    <x v="2"/>
    <n v="530"/>
    <x v="0"/>
    <n v="16"/>
    <n v="3"/>
    <s v="Life Sciences"/>
    <n v="1681"/>
    <n v="3"/>
    <x v="0"/>
    <n v="36"/>
    <n v="3"/>
    <x v="0"/>
    <x v="0"/>
    <n v="4"/>
    <x v="2"/>
    <n v="5368"/>
    <n v="16130"/>
    <n v="1"/>
    <x v="0"/>
    <n v="25"/>
    <n v="4"/>
    <n v="3"/>
    <n v="1"/>
    <n v="7"/>
    <n v="2"/>
    <x v="1"/>
    <n v="6"/>
    <n v="5"/>
    <n v="1"/>
    <n v="2"/>
    <x v="2"/>
    <x v="0"/>
    <n v="0"/>
    <x v="1"/>
    <s v="Bachelor"/>
    <x v="0"/>
    <x v="1"/>
  </r>
  <r>
    <n v="36"/>
    <s v="No"/>
    <x v="0"/>
    <n v="1351"/>
    <x v="1"/>
    <n v="26"/>
    <n v="4"/>
    <s v="Life Sciences"/>
    <n v="1682"/>
    <n v="1"/>
    <x v="1"/>
    <n v="80"/>
    <n v="3"/>
    <x v="0"/>
    <x v="4"/>
    <n v="3"/>
    <x v="1"/>
    <n v="5347"/>
    <n v="7419"/>
    <n v="6"/>
    <x v="1"/>
    <n v="14"/>
    <n v="3"/>
    <n v="2"/>
    <n v="2"/>
    <n v="10"/>
    <n v="2"/>
    <x v="2"/>
    <n v="3"/>
    <n v="2"/>
    <n v="0"/>
    <n v="2"/>
    <x v="0"/>
    <x v="2"/>
    <n v="0"/>
    <x v="0"/>
    <s v="Master"/>
    <x v="2"/>
    <x v="2"/>
  </r>
  <r>
    <n v="44"/>
    <s v="No"/>
    <x v="0"/>
    <n v="528"/>
    <x v="2"/>
    <n v="1"/>
    <n v="3"/>
    <s v="Life Sciences"/>
    <n v="1683"/>
    <n v="3"/>
    <x v="0"/>
    <n v="44"/>
    <n v="3"/>
    <x v="1"/>
    <x v="8"/>
    <n v="4"/>
    <x v="2"/>
    <n v="3195"/>
    <n v="4167"/>
    <n v="4"/>
    <x v="0"/>
    <n v="18"/>
    <n v="3"/>
    <n v="1"/>
    <n v="3"/>
    <n v="8"/>
    <n v="2"/>
    <x v="1"/>
    <n v="2"/>
    <n v="2"/>
    <n v="2"/>
    <n v="2"/>
    <x v="0"/>
    <x v="3"/>
    <n v="0"/>
    <x v="2"/>
    <s v="Bachelor"/>
    <x v="0"/>
    <x v="1"/>
  </r>
  <r>
    <n v="23"/>
    <s v="Yes"/>
    <x v="0"/>
    <n v="1320"/>
    <x v="1"/>
    <n v="8"/>
    <n v="1"/>
    <s v="Medical"/>
    <n v="1684"/>
    <n v="4"/>
    <x v="1"/>
    <n v="93"/>
    <n v="2"/>
    <x v="1"/>
    <x v="2"/>
    <n v="3"/>
    <x v="0"/>
    <n v="3989"/>
    <n v="20586"/>
    <n v="1"/>
    <x v="0"/>
    <n v="11"/>
    <n v="3"/>
    <n v="1"/>
    <n v="0"/>
    <n v="5"/>
    <n v="2"/>
    <x v="1"/>
    <n v="5"/>
    <n v="4"/>
    <n v="1"/>
    <n v="2"/>
    <x v="3"/>
    <x v="0"/>
    <n v="1"/>
    <x v="2"/>
    <s v="Below College"/>
    <x v="2"/>
    <x v="1"/>
  </r>
  <r>
    <n v="38"/>
    <s v="No"/>
    <x v="0"/>
    <n v="1495"/>
    <x v="1"/>
    <n v="4"/>
    <n v="2"/>
    <s v="Medical"/>
    <n v="1687"/>
    <n v="4"/>
    <x v="0"/>
    <n v="87"/>
    <n v="3"/>
    <x v="1"/>
    <x v="2"/>
    <n v="3"/>
    <x v="1"/>
    <n v="3306"/>
    <n v="26176"/>
    <n v="7"/>
    <x v="1"/>
    <n v="19"/>
    <n v="3"/>
    <n v="4"/>
    <n v="1"/>
    <n v="7"/>
    <n v="5"/>
    <x v="2"/>
    <n v="0"/>
    <n v="0"/>
    <n v="0"/>
    <n v="0"/>
    <x v="0"/>
    <x v="0"/>
    <n v="0"/>
    <x v="0"/>
    <s v="College"/>
    <x v="2"/>
    <x v="2"/>
  </r>
  <r>
    <n v="53"/>
    <s v="No"/>
    <x v="0"/>
    <n v="1395"/>
    <x v="1"/>
    <n v="24"/>
    <n v="4"/>
    <s v="Medical"/>
    <n v="1689"/>
    <n v="2"/>
    <x v="1"/>
    <n v="48"/>
    <n v="4"/>
    <x v="2"/>
    <x v="4"/>
    <n v="4"/>
    <x v="1"/>
    <n v="7005"/>
    <n v="3458"/>
    <n v="3"/>
    <x v="1"/>
    <n v="15"/>
    <n v="3"/>
    <n v="3"/>
    <n v="0"/>
    <n v="11"/>
    <n v="2"/>
    <x v="1"/>
    <n v="4"/>
    <n v="3"/>
    <n v="1"/>
    <n v="2"/>
    <x v="1"/>
    <x v="3"/>
    <n v="0"/>
    <x v="2"/>
    <s v="Master"/>
    <x v="0"/>
    <x v="1"/>
  </r>
  <r>
    <n v="48"/>
    <s v="Yes"/>
    <x v="1"/>
    <n v="708"/>
    <x v="0"/>
    <n v="7"/>
    <n v="2"/>
    <s v="Medical"/>
    <n v="1691"/>
    <n v="4"/>
    <x v="0"/>
    <n v="95"/>
    <n v="3"/>
    <x v="1"/>
    <x v="6"/>
    <n v="3"/>
    <x v="1"/>
    <n v="2655"/>
    <n v="11740"/>
    <n v="2"/>
    <x v="0"/>
    <n v="11"/>
    <n v="3"/>
    <n v="3"/>
    <n v="2"/>
    <n v="19"/>
    <n v="3"/>
    <x v="1"/>
    <n v="9"/>
    <n v="7"/>
    <n v="7"/>
    <n v="7"/>
    <x v="1"/>
    <x v="0"/>
    <n v="1"/>
    <x v="1"/>
    <s v="College"/>
    <x v="2"/>
    <x v="1"/>
  </r>
  <r>
    <n v="32"/>
    <s v="Yes"/>
    <x v="0"/>
    <n v="1259"/>
    <x v="1"/>
    <n v="2"/>
    <n v="4"/>
    <s v="Life Sciences"/>
    <n v="1692"/>
    <n v="4"/>
    <x v="1"/>
    <n v="95"/>
    <n v="3"/>
    <x v="1"/>
    <x v="2"/>
    <n v="2"/>
    <x v="0"/>
    <n v="1393"/>
    <n v="24852"/>
    <n v="1"/>
    <x v="1"/>
    <n v="12"/>
    <n v="3"/>
    <n v="1"/>
    <n v="0"/>
    <n v="1"/>
    <n v="2"/>
    <x v="1"/>
    <n v="1"/>
    <n v="0"/>
    <n v="0"/>
    <n v="0"/>
    <x v="2"/>
    <x v="0"/>
    <n v="1"/>
    <x v="2"/>
    <s v="Master"/>
    <x v="1"/>
    <x v="1"/>
  </r>
  <r>
    <n v="26"/>
    <s v="No"/>
    <x v="2"/>
    <n v="786"/>
    <x v="1"/>
    <n v="7"/>
    <n v="3"/>
    <s v="Medical"/>
    <n v="1693"/>
    <n v="4"/>
    <x v="1"/>
    <n v="76"/>
    <n v="3"/>
    <x v="1"/>
    <x v="2"/>
    <n v="4"/>
    <x v="0"/>
    <n v="2570"/>
    <n v="11925"/>
    <n v="1"/>
    <x v="1"/>
    <n v="20"/>
    <n v="4"/>
    <n v="3"/>
    <n v="0"/>
    <n v="7"/>
    <n v="5"/>
    <x v="1"/>
    <n v="7"/>
    <n v="7"/>
    <n v="5"/>
    <n v="7"/>
    <x v="2"/>
    <x v="0"/>
    <n v="0"/>
    <x v="1"/>
    <s v="Bachelor"/>
    <x v="0"/>
    <x v="1"/>
  </r>
  <r>
    <n v="55"/>
    <s v="No"/>
    <x v="0"/>
    <n v="1441"/>
    <x v="1"/>
    <n v="22"/>
    <n v="3"/>
    <s v="Technical Degree"/>
    <n v="1694"/>
    <n v="1"/>
    <x v="1"/>
    <n v="94"/>
    <n v="2"/>
    <x v="1"/>
    <x v="1"/>
    <n v="2"/>
    <x v="2"/>
    <n v="3537"/>
    <n v="23737"/>
    <n v="5"/>
    <x v="1"/>
    <n v="12"/>
    <n v="3"/>
    <n v="4"/>
    <n v="1"/>
    <n v="8"/>
    <n v="1"/>
    <x v="1"/>
    <n v="4"/>
    <n v="2"/>
    <n v="1"/>
    <n v="2"/>
    <x v="1"/>
    <x v="0"/>
    <n v="0"/>
    <x v="2"/>
    <s v="Bachelor"/>
    <x v="1"/>
    <x v="1"/>
  </r>
  <r>
    <n v="34"/>
    <s v="No"/>
    <x v="0"/>
    <n v="1157"/>
    <x v="1"/>
    <n v="5"/>
    <n v="2"/>
    <s v="Medical"/>
    <n v="1696"/>
    <n v="2"/>
    <x v="1"/>
    <n v="57"/>
    <n v="2"/>
    <x v="0"/>
    <x v="2"/>
    <n v="4"/>
    <x v="1"/>
    <n v="3986"/>
    <n v="11912"/>
    <n v="1"/>
    <x v="1"/>
    <n v="14"/>
    <n v="3"/>
    <n v="3"/>
    <n v="1"/>
    <n v="15"/>
    <n v="3"/>
    <x v="3"/>
    <n v="15"/>
    <n v="10"/>
    <n v="4"/>
    <n v="13"/>
    <x v="2"/>
    <x v="0"/>
    <n v="0"/>
    <x v="3"/>
    <s v="College"/>
    <x v="0"/>
    <x v="3"/>
  </r>
  <r>
    <n v="60"/>
    <s v="No"/>
    <x v="0"/>
    <n v="370"/>
    <x v="1"/>
    <n v="1"/>
    <n v="4"/>
    <s v="Medical"/>
    <n v="1697"/>
    <n v="3"/>
    <x v="1"/>
    <n v="92"/>
    <n v="1"/>
    <x v="2"/>
    <x v="4"/>
    <n v="4"/>
    <x v="2"/>
    <n v="10883"/>
    <n v="20467"/>
    <n v="3"/>
    <x v="1"/>
    <n v="20"/>
    <n v="4"/>
    <n v="3"/>
    <n v="1"/>
    <n v="19"/>
    <n v="2"/>
    <x v="3"/>
    <n v="1"/>
    <n v="0"/>
    <n v="0"/>
    <n v="0"/>
    <x v="1"/>
    <x v="0"/>
    <n v="0"/>
    <x v="2"/>
    <s v="Master"/>
    <x v="0"/>
    <x v="3"/>
  </r>
  <r>
    <n v="33"/>
    <s v="No"/>
    <x v="0"/>
    <n v="267"/>
    <x v="1"/>
    <n v="21"/>
    <n v="3"/>
    <s v="Medical"/>
    <n v="1698"/>
    <n v="2"/>
    <x v="1"/>
    <n v="79"/>
    <n v="4"/>
    <x v="1"/>
    <x v="2"/>
    <n v="2"/>
    <x v="1"/>
    <n v="2028"/>
    <n v="13637"/>
    <n v="1"/>
    <x v="1"/>
    <n v="18"/>
    <n v="3"/>
    <n v="4"/>
    <n v="3"/>
    <n v="14"/>
    <n v="6"/>
    <x v="1"/>
    <n v="14"/>
    <n v="11"/>
    <n v="2"/>
    <n v="13"/>
    <x v="2"/>
    <x v="0"/>
    <n v="0"/>
    <x v="3"/>
    <s v="Bachelor"/>
    <x v="1"/>
    <x v="1"/>
  </r>
  <r>
    <n v="37"/>
    <s v="No"/>
    <x v="1"/>
    <n v="1278"/>
    <x v="0"/>
    <n v="1"/>
    <n v="4"/>
    <s v="Medical"/>
    <n v="1700"/>
    <n v="3"/>
    <x v="1"/>
    <n v="31"/>
    <n v="1"/>
    <x v="0"/>
    <x v="0"/>
    <n v="4"/>
    <x v="2"/>
    <n v="9525"/>
    <n v="7677"/>
    <n v="1"/>
    <x v="1"/>
    <n v="14"/>
    <n v="3"/>
    <n v="3"/>
    <n v="2"/>
    <n v="6"/>
    <n v="2"/>
    <x v="2"/>
    <n v="6"/>
    <n v="3"/>
    <n v="1"/>
    <n v="3"/>
    <x v="0"/>
    <x v="2"/>
    <n v="0"/>
    <x v="0"/>
    <s v="Master"/>
    <x v="0"/>
    <x v="2"/>
  </r>
  <r>
    <n v="34"/>
    <s v="No"/>
    <x v="0"/>
    <n v="678"/>
    <x v="1"/>
    <n v="19"/>
    <n v="3"/>
    <s v="Life Sciences"/>
    <n v="1701"/>
    <n v="2"/>
    <x v="0"/>
    <n v="35"/>
    <n v="2"/>
    <x v="1"/>
    <x v="1"/>
    <n v="4"/>
    <x v="1"/>
    <n v="2929"/>
    <n v="20338"/>
    <n v="1"/>
    <x v="1"/>
    <n v="12"/>
    <n v="3"/>
    <n v="2"/>
    <n v="0"/>
    <n v="10"/>
    <n v="3"/>
    <x v="1"/>
    <n v="10"/>
    <n v="9"/>
    <n v="8"/>
    <n v="7"/>
    <x v="2"/>
    <x v="0"/>
    <n v="0"/>
    <x v="1"/>
    <s v="Bachelor"/>
    <x v="0"/>
    <x v="1"/>
  </r>
  <r>
    <n v="23"/>
    <s v="Yes"/>
    <x v="0"/>
    <n v="427"/>
    <x v="0"/>
    <n v="7"/>
    <n v="3"/>
    <s v="Life Sciences"/>
    <n v="1702"/>
    <n v="3"/>
    <x v="1"/>
    <n v="99"/>
    <n v="3"/>
    <x v="1"/>
    <x v="6"/>
    <n v="4"/>
    <x v="2"/>
    <n v="2275"/>
    <n v="25103"/>
    <n v="1"/>
    <x v="0"/>
    <n v="21"/>
    <n v="4"/>
    <n v="2"/>
    <n v="1"/>
    <n v="3"/>
    <n v="2"/>
    <x v="1"/>
    <n v="3"/>
    <n v="2"/>
    <n v="0"/>
    <n v="2"/>
    <x v="3"/>
    <x v="0"/>
    <n v="1"/>
    <x v="2"/>
    <s v="Bachelor"/>
    <x v="0"/>
    <x v="1"/>
  </r>
  <r>
    <n v="44"/>
    <s v="No"/>
    <x v="0"/>
    <n v="921"/>
    <x v="1"/>
    <n v="2"/>
    <n v="3"/>
    <s v="Life Sciences"/>
    <n v="1703"/>
    <n v="3"/>
    <x v="0"/>
    <n v="96"/>
    <n v="4"/>
    <x v="2"/>
    <x v="4"/>
    <n v="4"/>
    <x v="1"/>
    <n v="7879"/>
    <n v="14810"/>
    <n v="1"/>
    <x v="0"/>
    <n v="19"/>
    <n v="3"/>
    <n v="2"/>
    <n v="1"/>
    <n v="9"/>
    <n v="2"/>
    <x v="1"/>
    <n v="8"/>
    <n v="7"/>
    <n v="6"/>
    <n v="7"/>
    <x v="0"/>
    <x v="0"/>
    <n v="0"/>
    <x v="1"/>
    <s v="Bachelor"/>
    <x v="0"/>
    <x v="1"/>
  </r>
  <r>
    <n v="35"/>
    <s v="No"/>
    <x v="1"/>
    <n v="146"/>
    <x v="1"/>
    <n v="2"/>
    <n v="4"/>
    <s v="Medical"/>
    <n v="1704"/>
    <n v="1"/>
    <x v="1"/>
    <n v="79"/>
    <n v="2"/>
    <x v="1"/>
    <x v="1"/>
    <n v="4"/>
    <x v="0"/>
    <n v="4930"/>
    <n v="13970"/>
    <n v="0"/>
    <x v="0"/>
    <n v="14"/>
    <n v="3"/>
    <n v="3"/>
    <n v="0"/>
    <n v="6"/>
    <n v="2"/>
    <x v="3"/>
    <n v="5"/>
    <n v="4"/>
    <n v="1"/>
    <n v="4"/>
    <x v="2"/>
    <x v="0"/>
    <n v="0"/>
    <x v="2"/>
    <s v="Master"/>
    <x v="0"/>
    <x v="3"/>
  </r>
  <r>
    <n v="43"/>
    <s v="No"/>
    <x v="0"/>
    <n v="1179"/>
    <x v="0"/>
    <n v="2"/>
    <n v="3"/>
    <s v="Medical"/>
    <n v="1706"/>
    <n v="4"/>
    <x v="1"/>
    <n v="73"/>
    <n v="3"/>
    <x v="0"/>
    <x v="0"/>
    <n v="4"/>
    <x v="1"/>
    <n v="7847"/>
    <n v="6069"/>
    <n v="1"/>
    <x v="0"/>
    <n v="17"/>
    <n v="3"/>
    <n v="1"/>
    <n v="1"/>
    <n v="10"/>
    <n v="3"/>
    <x v="1"/>
    <n v="10"/>
    <n v="9"/>
    <n v="8"/>
    <n v="8"/>
    <x v="0"/>
    <x v="2"/>
    <n v="0"/>
    <x v="1"/>
    <s v="Bachelor"/>
    <x v="0"/>
    <x v="1"/>
  </r>
  <r>
    <n v="24"/>
    <s v="No"/>
    <x v="0"/>
    <n v="581"/>
    <x v="1"/>
    <n v="9"/>
    <n v="3"/>
    <s v="Medical"/>
    <n v="1707"/>
    <n v="3"/>
    <x v="1"/>
    <n v="62"/>
    <n v="4"/>
    <x v="1"/>
    <x v="1"/>
    <n v="3"/>
    <x v="1"/>
    <n v="4401"/>
    <n v="17616"/>
    <n v="1"/>
    <x v="1"/>
    <n v="16"/>
    <n v="3"/>
    <n v="4"/>
    <n v="1"/>
    <n v="5"/>
    <n v="1"/>
    <x v="1"/>
    <n v="5"/>
    <n v="3"/>
    <n v="0"/>
    <n v="4"/>
    <x v="3"/>
    <x v="0"/>
    <n v="0"/>
    <x v="2"/>
    <s v="Bachelor"/>
    <x v="2"/>
    <x v="1"/>
  </r>
  <r>
    <n v="41"/>
    <s v="No"/>
    <x v="0"/>
    <n v="918"/>
    <x v="0"/>
    <n v="6"/>
    <n v="3"/>
    <s v="Marketing"/>
    <n v="1708"/>
    <n v="4"/>
    <x v="1"/>
    <n v="35"/>
    <n v="3"/>
    <x v="2"/>
    <x v="0"/>
    <n v="3"/>
    <x v="0"/>
    <n v="9241"/>
    <n v="15869"/>
    <n v="1"/>
    <x v="1"/>
    <n v="12"/>
    <n v="3"/>
    <n v="2"/>
    <n v="0"/>
    <n v="10"/>
    <n v="3"/>
    <x v="1"/>
    <n v="10"/>
    <n v="8"/>
    <n v="8"/>
    <n v="7"/>
    <x v="0"/>
    <x v="0"/>
    <n v="0"/>
    <x v="1"/>
    <s v="Bachelor"/>
    <x v="2"/>
    <x v="1"/>
  </r>
  <r>
    <n v="29"/>
    <s v="No"/>
    <x v="0"/>
    <n v="1082"/>
    <x v="1"/>
    <n v="9"/>
    <n v="4"/>
    <s v="Medical"/>
    <n v="1709"/>
    <n v="4"/>
    <x v="0"/>
    <n v="43"/>
    <n v="3"/>
    <x v="1"/>
    <x v="2"/>
    <n v="3"/>
    <x v="1"/>
    <n v="2974"/>
    <n v="25412"/>
    <n v="9"/>
    <x v="1"/>
    <n v="17"/>
    <n v="3"/>
    <n v="3"/>
    <n v="1"/>
    <n v="9"/>
    <n v="2"/>
    <x v="1"/>
    <n v="5"/>
    <n v="3"/>
    <n v="1"/>
    <n v="2"/>
    <x v="2"/>
    <x v="0"/>
    <n v="0"/>
    <x v="2"/>
    <s v="Master"/>
    <x v="2"/>
    <x v="1"/>
  </r>
  <r>
    <n v="36"/>
    <s v="No"/>
    <x v="0"/>
    <n v="530"/>
    <x v="0"/>
    <n v="2"/>
    <n v="4"/>
    <s v="Life Sciences"/>
    <n v="1710"/>
    <n v="3"/>
    <x v="0"/>
    <n v="51"/>
    <n v="3"/>
    <x v="0"/>
    <x v="6"/>
    <n v="4"/>
    <x v="0"/>
    <n v="4502"/>
    <n v="7439"/>
    <n v="3"/>
    <x v="1"/>
    <n v="15"/>
    <n v="3"/>
    <n v="3"/>
    <n v="0"/>
    <n v="17"/>
    <n v="2"/>
    <x v="2"/>
    <n v="13"/>
    <n v="7"/>
    <n v="6"/>
    <n v="7"/>
    <x v="0"/>
    <x v="2"/>
    <n v="0"/>
    <x v="0"/>
    <s v="Master"/>
    <x v="0"/>
    <x v="2"/>
  </r>
  <r>
    <n v="45"/>
    <s v="No"/>
    <x v="2"/>
    <n v="1238"/>
    <x v="1"/>
    <n v="1"/>
    <n v="1"/>
    <s v="Life Sciences"/>
    <n v="1712"/>
    <n v="3"/>
    <x v="1"/>
    <n v="74"/>
    <n v="2"/>
    <x v="2"/>
    <x v="4"/>
    <n v="3"/>
    <x v="1"/>
    <n v="10748"/>
    <n v="3395"/>
    <n v="3"/>
    <x v="1"/>
    <n v="23"/>
    <n v="4"/>
    <n v="4"/>
    <n v="1"/>
    <n v="25"/>
    <n v="3"/>
    <x v="2"/>
    <n v="23"/>
    <n v="15"/>
    <n v="14"/>
    <n v="4"/>
    <x v="0"/>
    <x v="3"/>
    <n v="0"/>
    <x v="0"/>
    <s v="Below College"/>
    <x v="2"/>
    <x v="2"/>
  </r>
  <r>
    <n v="24"/>
    <s v="Yes"/>
    <x v="0"/>
    <n v="240"/>
    <x v="2"/>
    <n v="22"/>
    <n v="1"/>
    <s v="Human Resources"/>
    <n v="1714"/>
    <n v="4"/>
    <x v="1"/>
    <n v="58"/>
    <n v="1"/>
    <x v="1"/>
    <x v="8"/>
    <n v="3"/>
    <x v="1"/>
    <n v="1555"/>
    <n v="11585"/>
    <n v="1"/>
    <x v="1"/>
    <n v="11"/>
    <n v="3"/>
    <n v="3"/>
    <n v="1"/>
    <n v="1"/>
    <n v="2"/>
    <x v="1"/>
    <n v="1"/>
    <n v="0"/>
    <n v="0"/>
    <n v="0"/>
    <x v="3"/>
    <x v="0"/>
    <n v="1"/>
    <x v="2"/>
    <s v="Below College"/>
    <x v="2"/>
    <x v="1"/>
  </r>
  <r>
    <n v="47"/>
    <s v="Yes"/>
    <x v="1"/>
    <n v="1093"/>
    <x v="0"/>
    <n v="9"/>
    <n v="3"/>
    <s v="Life Sciences"/>
    <n v="1716"/>
    <n v="3"/>
    <x v="1"/>
    <n v="82"/>
    <n v="1"/>
    <x v="3"/>
    <x v="0"/>
    <n v="3"/>
    <x v="1"/>
    <n v="12936"/>
    <n v="24164"/>
    <n v="7"/>
    <x v="1"/>
    <n v="11"/>
    <n v="3"/>
    <n v="3"/>
    <n v="0"/>
    <n v="25"/>
    <n v="3"/>
    <x v="0"/>
    <n v="23"/>
    <n v="5"/>
    <n v="14"/>
    <n v="10"/>
    <x v="1"/>
    <x v="0"/>
    <n v="1"/>
    <x v="0"/>
    <s v="Bachelor"/>
    <x v="2"/>
    <x v="0"/>
  </r>
  <r>
    <n v="26"/>
    <s v="No"/>
    <x v="0"/>
    <n v="390"/>
    <x v="1"/>
    <n v="17"/>
    <n v="4"/>
    <s v="Medical"/>
    <n v="1718"/>
    <n v="4"/>
    <x v="1"/>
    <n v="62"/>
    <n v="1"/>
    <x v="1"/>
    <x v="2"/>
    <n v="3"/>
    <x v="1"/>
    <n v="2305"/>
    <n v="6217"/>
    <n v="1"/>
    <x v="1"/>
    <n v="15"/>
    <n v="3"/>
    <n v="3"/>
    <n v="3"/>
    <n v="3"/>
    <n v="3"/>
    <x v="3"/>
    <n v="3"/>
    <n v="2"/>
    <n v="0"/>
    <n v="2"/>
    <x v="2"/>
    <x v="2"/>
    <n v="0"/>
    <x v="2"/>
    <s v="Master"/>
    <x v="2"/>
    <x v="3"/>
  </r>
  <r>
    <n v="45"/>
    <s v="No"/>
    <x v="0"/>
    <n v="1005"/>
    <x v="1"/>
    <n v="28"/>
    <n v="2"/>
    <s v="Technical Degree"/>
    <n v="1719"/>
    <n v="4"/>
    <x v="0"/>
    <n v="48"/>
    <n v="2"/>
    <x v="3"/>
    <x v="7"/>
    <n v="2"/>
    <x v="0"/>
    <n v="16704"/>
    <n v="17119"/>
    <n v="1"/>
    <x v="1"/>
    <n v="11"/>
    <n v="3"/>
    <n v="3"/>
    <n v="0"/>
    <n v="21"/>
    <n v="2"/>
    <x v="1"/>
    <n v="21"/>
    <n v="6"/>
    <n v="8"/>
    <n v="6"/>
    <x v="0"/>
    <x v="0"/>
    <n v="0"/>
    <x v="3"/>
    <s v="College"/>
    <x v="1"/>
    <x v="1"/>
  </r>
  <r>
    <n v="32"/>
    <s v="No"/>
    <x v="1"/>
    <n v="585"/>
    <x v="1"/>
    <n v="10"/>
    <n v="3"/>
    <s v="Life Sciences"/>
    <n v="1720"/>
    <n v="1"/>
    <x v="1"/>
    <n v="56"/>
    <n v="3"/>
    <x v="1"/>
    <x v="1"/>
    <n v="3"/>
    <x v="1"/>
    <n v="3433"/>
    <n v="17360"/>
    <n v="6"/>
    <x v="1"/>
    <n v="13"/>
    <n v="3"/>
    <n v="1"/>
    <n v="1"/>
    <n v="10"/>
    <n v="3"/>
    <x v="2"/>
    <n v="5"/>
    <n v="2"/>
    <n v="1"/>
    <n v="3"/>
    <x v="2"/>
    <x v="0"/>
    <n v="0"/>
    <x v="0"/>
    <s v="Bachelor"/>
    <x v="2"/>
    <x v="2"/>
  </r>
  <r>
    <n v="31"/>
    <s v="No"/>
    <x v="0"/>
    <n v="741"/>
    <x v="1"/>
    <n v="2"/>
    <n v="4"/>
    <s v="Life Sciences"/>
    <n v="1721"/>
    <n v="2"/>
    <x v="1"/>
    <n v="69"/>
    <n v="3"/>
    <x v="1"/>
    <x v="2"/>
    <n v="3"/>
    <x v="1"/>
    <n v="3477"/>
    <n v="18103"/>
    <n v="1"/>
    <x v="1"/>
    <n v="14"/>
    <n v="3"/>
    <n v="4"/>
    <n v="1"/>
    <n v="6"/>
    <n v="2"/>
    <x v="3"/>
    <n v="5"/>
    <n v="2"/>
    <n v="0"/>
    <n v="3"/>
    <x v="2"/>
    <x v="0"/>
    <n v="0"/>
    <x v="2"/>
    <s v="Master"/>
    <x v="2"/>
    <x v="3"/>
  </r>
  <r>
    <n v="41"/>
    <s v="No"/>
    <x v="2"/>
    <n v="552"/>
    <x v="2"/>
    <n v="4"/>
    <n v="3"/>
    <s v="Human Resources"/>
    <n v="1722"/>
    <n v="3"/>
    <x v="1"/>
    <n v="60"/>
    <n v="1"/>
    <x v="0"/>
    <x v="8"/>
    <n v="2"/>
    <x v="1"/>
    <n v="6430"/>
    <n v="20794"/>
    <n v="6"/>
    <x v="1"/>
    <n v="19"/>
    <n v="3"/>
    <n v="2"/>
    <n v="1"/>
    <n v="10"/>
    <n v="4"/>
    <x v="1"/>
    <n v="3"/>
    <n v="2"/>
    <n v="1"/>
    <n v="2"/>
    <x v="0"/>
    <x v="0"/>
    <n v="0"/>
    <x v="2"/>
    <s v="Bachelor"/>
    <x v="1"/>
    <x v="1"/>
  </r>
  <r>
    <n v="40"/>
    <s v="No"/>
    <x v="0"/>
    <n v="369"/>
    <x v="1"/>
    <n v="8"/>
    <n v="2"/>
    <s v="Life Sciences"/>
    <n v="1724"/>
    <n v="2"/>
    <x v="0"/>
    <n v="92"/>
    <n v="3"/>
    <x v="0"/>
    <x v="3"/>
    <n v="1"/>
    <x v="1"/>
    <n v="6516"/>
    <n v="5041"/>
    <n v="2"/>
    <x v="0"/>
    <n v="16"/>
    <n v="3"/>
    <n v="2"/>
    <n v="1"/>
    <n v="18"/>
    <n v="3"/>
    <x v="1"/>
    <n v="1"/>
    <n v="0"/>
    <n v="0"/>
    <n v="0"/>
    <x v="0"/>
    <x v="3"/>
    <n v="0"/>
    <x v="2"/>
    <s v="College"/>
    <x v="3"/>
    <x v="1"/>
  </r>
  <r>
    <n v="24"/>
    <s v="No"/>
    <x v="0"/>
    <n v="506"/>
    <x v="1"/>
    <n v="29"/>
    <n v="1"/>
    <s v="Medical"/>
    <n v="1725"/>
    <n v="2"/>
    <x v="1"/>
    <n v="91"/>
    <n v="3"/>
    <x v="1"/>
    <x v="2"/>
    <n v="1"/>
    <x v="2"/>
    <n v="3907"/>
    <n v="3622"/>
    <n v="1"/>
    <x v="1"/>
    <n v="13"/>
    <n v="3"/>
    <n v="2"/>
    <n v="3"/>
    <n v="6"/>
    <n v="2"/>
    <x v="3"/>
    <n v="6"/>
    <n v="2"/>
    <n v="1"/>
    <n v="2"/>
    <x v="3"/>
    <x v="3"/>
    <n v="0"/>
    <x v="1"/>
    <s v="Below College"/>
    <x v="3"/>
    <x v="3"/>
  </r>
  <r>
    <n v="46"/>
    <s v="No"/>
    <x v="0"/>
    <n v="717"/>
    <x v="1"/>
    <n v="13"/>
    <n v="4"/>
    <s v="Life Sciences"/>
    <n v="1727"/>
    <n v="3"/>
    <x v="1"/>
    <n v="34"/>
    <n v="3"/>
    <x v="0"/>
    <x v="4"/>
    <n v="2"/>
    <x v="0"/>
    <n v="5562"/>
    <n v="9697"/>
    <n v="6"/>
    <x v="1"/>
    <n v="14"/>
    <n v="3"/>
    <n v="4"/>
    <n v="0"/>
    <n v="19"/>
    <n v="3"/>
    <x v="1"/>
    <n v="10"/>
    <n v="7"/>
    <n v="0"/>
    <n v="9"/>
    <x v="1"/>
    <x v="2"/>
    <n v="0"/>
    <x v="1"/>
    <s v="Master"/>
    <x v="1"/>
    <x v="1"/>
  </r>
  <r>
    <n v="35"/>
    <s v="No"/>
    <x v="0"/>
    <n v="1370"/>
    <x v="1"/>
    <n v="27"/>
    <n v="4"/>
    <s v="Life Sciences"/>
    <n v="1728"/>
    <n v="4"/>
    <x v="1"/>
    <n v="49"/>
    <n v="3"/>
    <x v="0"/>
    <x v="3"/>
    <n v="3"/>
    <x v="1"/>
    <n v="6883"/>
    <n v="5151"/>
    <n v="2"/>
    <x v="1"/>
    <n v="16"/>
    <n v="3"/>
    <n v="2"/>
    <n v="1"/>
    <n v="17"/>
    <n v="3"/>
    <x v="1"/>
    <n v="7"/>
    <n v="7"/>
    <n v="0"/>
    <n v="7"/>
    <x v="2"/>
    <x v="3"/>
    <n v="0"/>
    <x v="1"/>
    <s v="Master"/>
    <x v="2"/>
    <x v="1"/>
  </r>
  <r>
    <n v="30"/>
    <s v="No"/>
    <x v="0"/>
    <n v="793"/>
    <x v="1"/>
    <n v="16"/>
    <n v="1"/>
    <s v="Life Sciences"/>
    <n v="1729"/>
    <n v="2"/>
    <x v="1"/>
    <n v="33"/>
    <n v="3"/>
    <x v="1"/>
    <x v="1"/>
    <n v="4"/>
    <x v="1"/>
    <n v="2862"/>
    <n v="3811"/>
    <n v="1"/>
    <x v="1"/>
    <n v="12"/>
    <n v="3"/>
    <n v="2"/>
    <n v="1"/>
    <n v="10"/>
    <n v="2"/>
    <x v="2"/>
    <n v="10"/>
    <n v="0"/>
    <n v="0"/>
    <n v="8"/>
    <x v="2"/>
    <x v="3"/>
    <n v="0"/>
    <x v="0"/>
    <s v="Below College"/>
    <x v="0"/>
    <x v="2"/>
  </r>
  <r>
    <n v="47"/>
    <s v="No"/>
    <x v="2"/>
    <n v="543"/>
    <x v="0"/>
    <n v="2"/>
    <n v="4"/>
    <s v="Marketing"/>
    <n v="1731"/>
    <n v="3"/>
    <x v="1"/>
    <n v="87"/>
    <n v="3"/>
    <x v="0"/>
    <x v="0"/>
    <n v="2"/>
    <x v="1"/>
    <n v="4978"/>
    <n v="3536"/>
    <n v="7"/>
    <x v="1"/>
    <n v="11"/>
    <n v="3"/>
    <n v="4"/>
    <n v="1"/>
    <n v="4"/>
    <n v="3"/>
    <x v="0"/>
    <n v="1"/>
    <n v="0"/>
    <n v="0"/>
    <n v="0"/>
    <x v="1"/>
    <x v="3"/>
    <n v="0"/>
    <x v="0"/>
    <s v="Master"/>
    <x v="1"/>
    <x v="0"/>
  </r>
  <r>
    <n v="46"/>
    <s v="No"/>
    <x v="0"/>
    <n v="1277"/>
    <x v="0"/>
    <n v="2"/>
    <n v="3"/>
    <s v="Life Sciences"/>
    <n v="1732"/>
    <n v="3"/>
    <x v="1"/>
    <n v="74"/>
    <n v="3"/>
    <x v="2"/>
    <x v="0"/>
    <n v="4"/>
    <x v="2"/>
    <n v="10368"/>
    <n v="5596"/>
    <n v="4"/>
    <x v="0"/>
    <n v="12"/>
    <n v="3"/>
    <n v="2"/>
    <n v="1"/>
    <n v="13"/>
    <n v="5"/>
    <x v="2"/>
    <n v="10"/>
    <n v="6"/>
    <n v="0"/>
    <n v="3"/>
    <x v="1"/>
    <x v="3"/>
    <n v="0"/>
    <x v="0"/>
    <s v="Bachelor"/>
    <x v="0"/>
    <x v="2"/>
  </r>
  <r>
    <n v="36"/>
    <s v="Yes"/>
    <x v="0"/>
    <n v="1456"/>
    <x v="0"/>
    <n v="13"/>
    <n v="5"/>
    <s v="Marketing"/>
    <n v="1733"/>
    <n v="2"/>
    <x v="1"/>
    <n v="96"/>
    <n v="2"/>
    <x v="0"/>
    <x v="0"/>
    <n v="1"/>
    <x v="2"/>
    <n v="6134"/>
    <n v="8658"/>
    <n v="5"/>
    <x v="0"/>
    <n v="13"/>
    <n v="3"/>
    <n v="2"/>
    <n v="3"/>
    <n v="16"/>
    <n v="3"/>
    <x v="1"/>
    <n v="2"/>
    <n v="2"/>
    <n v="2"/>
    <n v="2"/>
    <x v="0"/>
    <x v="2"/>
    <n v="1"/>
    <x v="2"/>
    <s v="Doctor"/>
    <x v="3"/>
    <x v="1"/>
  </r>
  <r>
    <n v="32"/>
    <s v="Yes"/>
    <x v="0"/>
    <n v="964"/>
    <x v="0"/>
    <n v="1"/>
    <n v="2"/>
    <s v="Life Sciences"/>
    <n v="1734"/>
    <n v="1"/>
    <x v="1"/>
    <n v="34"/>
    <n v="1"/>
    <x v="0"/>
    <x v="0"/>
    <n v="2"/>
    <x v="0"/>
    <n v="6735"/>
    <n v="12147"/>
    <n v="6"/>
    <x v="1"/>
    <n v="15"/>
    <n v="3"/>
    <n v="2"/>
    <n v="0"/>
    <n v="10"/>
    <n v="2"/>
    <x v="1"/>
    <n v="0"/>
    <n v="0"/>
    <n v="0"/>
    <n v="0"/>
    <x v="2"/>
    <x v="0"/>
    <n v="1"/>
    <x v="2"/>
    <s v="College"/>
    <x v="1"/>
    <x v="1"/>
  </r>
  <r>
    <n v="23"/>
    <s v="No"/>
    <x v="0"/>
    <n v="160"/>
    <x v="1"/>
    <n v="4"/>
    <n v="1"/>
    <s v="Medical"/>
    <n v="1735"/>
    <n v="3"/>
    <x v="0"/>
    <n v="51"/>
    <n v="3"/>
    <x v="1"/>
    <x v="2"/>
    <n v="2"/>
    <x v="0"/>
    <n v="3295"/>
    <n v="12862"/>
    <n v="1"/>
    <x v="1"/>
    <n v="13"/>
    <n v="3"/>
    <n v="3"/>
    <n v="0"/>
    <n v="3"/>
    <n v="3"/>
    <x v="0"/>
    <n v="3"/>
    <n v="2"/>
    <n v="1"/>
    <n v="2"/>
    <x v="3"/>
    <x v="0"/>
    <n v="0"/>
    <x v="0"/>
    <s v="Below College"/>
    <x v="1"/>
    <x v="0"/>
  </r>
  <r>
    <n v="31"/>
    <s v="No"/>
    <x v="1"/>
    <n v="163"/>
    <x v="1"/>
    <n v="24"/>
    <n v="1"/>
    <s v="Technical Degree"/>
    <n v="1736"/>
    <n v="4"/>
    <x v="0"/>
    <n v="30"/>
    <n v="3"/>
    <x v="0"/>
    <x v="3"/>
    <n v="4"/>
    <x v="0"/>
    <n v="5238"/>
    <n v="6670"/>
    <n v="2"/>
    <x v="1"/>
    <n v="20"/>
    <n v="4"/>
    <n v="4"/>
    <n v="0"/>
    <n v="9"/>
    <n v="3"/>
    <x v="2"/>
    <n v="5"/>
    <n v="4"/>
    <n v="1"/>
    <n v="4"/>
    <x v="2"/>
    <x v="2"/>
    <n v="0"/>
    <x v="0"/>
    <s v="Below College"/>
    <x v="0"/>
    <x v="2"/>
  </r>
  <r>
    <n v="39"/>
    <s v="No"/>
    <x v="2"/>
    <n v="792"/>
    <x v="1"/>
    <n v="1"/>
    <n v="3"/>
    <s v="Life Sciences"/>
    <n v="1737"/>
    <n v="4"/>
    <x v="1"/>
    <n v="77"/>
    <n v="3"/>
    <x v="0"/>
    <x v="2"/>
    <n v="4"/>
    <x v="1"/>
    <n v="6472"/>
    <n v="8989"/>
    <n v="1"/>
    <x v="0"/>
    <n v="15"/>
    <n v="3"/>
    <n v="4"/>
    <n v="1"/>
    <n v="9"/>
    <n v="2"/>
    <x v="1"/>
    <n v="9"/>
    <n v="8"/>
    <n v="5"/>
    <n v="8"/>
    <x v="0"/>
    <x v="2"/>
    <n v="0"/>
    <x v="1"/>
    <s v="Bachelor"/>
    <x v="0"/>
    <x v="1"/>
  </r>
  <r>
    <n v="32"/>
    <s v="No"/>
    <x v="0"/>
    <n v="371"/>
    <x v="0"/>
    <n v="19"/>
    <n v="3"/>
    <s v="Life Sciences"/>
    <n v="1739"/>
    <n v="4"/>
    <x v="1"/>
    <n v="80"/>
    <n v="1"/>
    <x v="2"/>
    <x v="0"/>
    <n v="3"/>
    <x v="1"/>
    <n v="9610"/>
    <n v="3840"/>
    <n v="3"/>
    <x v="1"/>
    <n v="13"/>
    <n v="3"/>
    <n v="3"/>
    <n v="1"/>
    <n v="10"/>
    <n v="2"/>
    <x v="0"/>
    <n v="4"/>
    <n v="3"/>
    <n v="0"/>
    <n v="2"/>
    <x v="2"/>
    <x v="3"/>
    <n v="0"/>
    <x v="0"/>
    <s v="Bachelor"/>
    <x v="2"/>
    <x v="0"/>
  </r>
  <r>
    <n v="40"/>
    <s v="No"/>
    <x v="0"/>
    <n v="611"/>
    <x v="0"/>
    <n v="7"/>
    <n v="4"/>
    <s v="Medical"/>
    <n v="1740"/>
    <n v="2"/>
    <x v="1"/>
    <n v="88"/>
    <n v="3"/>
    <x v="4"/>
    <x v="5"/>
    <n v="2"/>
    <x v="0"/>
    <n v="19833"/>
    <n v="4349"/>
    <n v="1"/>
    <x v="1"/>
    <n v="14"/>
    <n v="3"/>
    <n v="2"/>
    <n v="0"/>
    <n v="21"/>
    <n v="3"/>
    <x v="2"/>
    <n v="21"/>
    <n v="8"/>
    <n v="12"/>
    <n v="8"/>
    <x v="0"/>
    <x v="3"/>
    <n v="0"/>
    <x v="0"/>
    <s v="Master"/>
    <x v="1"/>
    <x v="2"/>
  </r>
  <r>
    <n v="45"/>
    <s v="No"/>
    <x v="0"/>
    <n v="176"/>
    <x v="2"/>
    <n v="4"/>
    <n v="3"/>
    <s v="Life Sciences"/>
    <n v="1744"/>
    <n v="3"/>
    <x v="0"/>
    <n v="56"/>
    <n v="1"/>
    <x v="2"/>
    <x v="8"/>
    <n v="3"/>
    <x v="1"/>
    <n v="9756"/>
    <n v="6595"/>
    <n v="4"/>
    <x v="1"/>
    <n v="21"/>
    <n v="4"/>
    <n v="3"/>
    <n v="2"/>
    <n v="9"/>
    <n v="2"/>
    <x v="3"/>
    <n v="5"/>
    <n v="0"/>
    <n v="0"/>
    <n v="3"/>
    <x v="0"/>
    <x v="2"/>
    <n v="0"/>
    <x v="2"/>
    <s v="Bachelor"/>
    <x v="2"/>
    <x v="3"/>
  </r>
  <r>
    <n v="30"/>
    <s v="No"/>
    <x v="1"/>
    <n v="1312"/>
    <x v="1"/>
    <n v="2"/>
    <n v="4"/>
    <s v="Technical Degree"/>
    <n v="1745"/>
    <n v="4"/>
    <x v="0"/>
    <n v="78"/>
    <n v="2"/>
    <x v="1"/>
    <x v="1"/>
    <n v="1"/>
    <x v="0"/>
    <n v="4968"/>
    <n v="26427"/>
    <n v="0"/>
    <x v="1"/>
    <n v="16"/>
    <n v="3"/>
    <n v="4"/>
    <n v="0"/>
    <n v="10"/>
    <n v="2"/>
    <x v="1"/>
    <n v="9"/>
    <n v="7"/>
    <n v="0"/>
    <n v="7"/>
    <x v="2"/>
    <x v="0"/>
    <n v="0"/>
    <x v="1"/>
    <s v="Master"/>
    <x v="3"/>
    <x v="1"/>
  </r>
  <r>
    <n v="24"/>
    <s v="No"/>
    <x v="1"/>
    <n v="897"/>
    <x v="2"/>
    <n v="10"/>
    <n v="3"/>
    <s v="Medical"/>
    <n v="1746"/>
    <n v="1"/>
    <x v="1"/>
    <n v="59"/>
    <n v="3"/>
    <x v="1"/>
    <x v="8"/>
    <n v="4"/>
    <x v="1"/>
    <n v="2145"/>
    <n v="2097"/>
    <n v="0"/>
    <x v="1"/>
    <n v="14"/>
    <n v="3"/>
    <n v="4"/>
    <n v="1"/>
    <n v="3"/>
    <n v="2"/>
    <x v="1"/>
    <n v="2"/>
    <n v="2"/>
    <n v="2"/>
    <n v="1"/>
    <x v="3"/>
    <x v="1"/>
    <n v="0"/>
    <x v="2"/>
    <s v="Bachelor"/>
    <x v="0"/>
    <x v="1"/>
  </r>
  <r>
    <n v="30"/>
    <s v="Yes"/>
    <x v="1"/>
    <n v="600"/>
    <x v="2"/>
    <n v="8"/>
    <n v="3"/>
    <s v="Human Resources"/>
    <n v="1747"/>
    <n v="3"/>
    <x v="0"/>
    <n v="66"/>
    <n v="2"/>
    <x v="1"/>
    <x v="8"/>
    <n v="4"/>
    <x v="2"/>
    <n v="2180"/>
    <n v="9732"/>
    <n v="6"/>
    <x v="1"/>
    <n v="11"/>
    <n v="3"/>
    <n v="3"/>
    <n v="1"/>
    <n v="6"/>
    <n v="0"/>
    <x v="2"/>
    <n v="4"/>
    <n v="2"/>
    <n v="1"/>
    <n v="2"/>
    <x v="2"/>
    <x v="2"/>
    <n v="1"/>
    <x v="0"/>
    <s v="Bachelor"/>
    <x v="0"/>
    <x v="2"/>
  </r>
  <r>
    <n v="31"/>
    <s v="No"/>
    <x v="0"/>
    <n v="1003"/>
    <x v="0"/>
    <n v="5"/>
    <n v="3"/>
    <s v="Technical Degree"/>
    <n v="1749"/>
    <n v="1"/>
    <x v="1"/>
    <n v="51"/>
    <n v="3"/>
    <x v="0"/>
    <x v="0"/>
    <n v="3"/>
    <x v="1"/>
    <n v="8346"/>
    <n v="20943"/>
    <n v="1"/>
    <x v="1"/>
    <n v="19"/>
    <n v="3"/>
    <n v="3"/>
    <n v="1"/>
    <n v="6"/>
    <n v="3"/>
    <x v="1"/>
    <n v="5"/>
    <n v="2"/>
    <n v="0"/>
    <n v="2"/>
    <x v="2"/>
    <x v="0"/>
    <n v="0"/>
    <x v="2"/>
    <s v="Bachelor"/>
    <x v="2"/>
    <x v="1"/>
  </r>
  <r>
    <n v="27"/>
    <s v="No"/>
    <x v="0"/>
    <n v="1054"/>
    <x v="1"/>
    <n v="8"/>
    <n v="3"/>
    <s v="Medical"/>
    <n v="1751"/>
    <n v="3"/>
    <x v="0"/>
    <n v="67"/>
    <n v="3"/>
    <x v="1"/>
    <x v="1"/>
    <n v="4"/>
    <x v="0"/>
    <n v="3445"/>
    <n v="6152"/>
    <n v="1"/>
    <x v="1"/>
    <n v="11"/>
    <n v="3"/>
    <n v="3"/>
    <n v="0"/>
    <n v="6"/>
    <n v="5"/>
    <x v="2"/>
    <n v="6"/>
    <n v="2"/>
    <n v="1"/>
    <n v="4"/>
    <x v="2"/>
    <x v="2"/>
    <n v="0"/>
    <x v="0"/>
    <s v="Bachelor"/>
    <x v="0"/>
    <x v="2"/>
  </r>
  <r>
    <n v="29"/>
    <s v="Yes"/>
    <x v="0"/>
    <n v="428"/>
    <x v="0"/>
    <n v="9"/>
    <n v="3"/>
    <s v="Marketing"/>
    <n v="1752"/>
    <n v="2"/>
    <x v="0"/>
    <n v="52"/>
    <n v="1"/>
    <x v="1"/>
    <x v="6"/>
    <n v="2"/>
    <x v="0"/>
    <n v="2760"/>
    <n v="14630"/>
    <n v="1"/>
    <x v="1"/>
    <n v="13"/>
    <n v="3"/>
    <n v="3"/>
    <n v="0"/>
    <n v="2"/>
    <n v="3"/>
    <x v="1"/>
    <n v="2"/>
    <n v="2"/>
    <n v="2"/>
    <n v="2"/>
    <x v="2"/>
    <x v="0"/>
    <n v="1"/>
    <x v="2"/>
    <s v="Bachelor"/>
    <x v="1"/>
    <x v="1"/>
  </r>
  <r>
    <n v="29"/>
    <s v="No"/>
    <x v="1"/>
    <n v="461"/>
    <x v="1"/>
    <n v="1"/>
    <n v="3"/>
    <s v="Life Sciences"/>
    <n v="1753"/>
    <n v="4"/>
    <x v="1"/>
    <n v="70"/>
    <n v="4"/>
    <x v="0"/>
    <x v="4"/>
    <n v="3"/>
    <x v="0"/>
    <n v="6294"/>
    <n v="23060"/>
    <n v="8"/>
    <x v="0"/>
    <n v="12"/>
    <n v="3"/>
    <n v="4"/>
    <n v="0"/>
    <n v="10"/>
    <n v="5"/>
    <x v="3"/>
    <n v="3"/>
    <n v="2"/>
    <n v="0"/>
    <n v="2"/>
    <x v="2"/>
    <x v="0"/>
    <n v="0"/>
    <x v="2"/>
    <s v="Bachelor"/>
    <x v="2"/>
    <x v="3"/>
  </r>
  <r>
    <n v="30"/>
    <s v="No"/>
    <x v="0"/>
    <n v="979"/>
    <x v="0"/>
    <n v="15"/>
    <n v="2"/>
    <s v="Marketing"/>
    <n v="1754"/>
    <n v="3"/>
    <x v="1"/>
    <n v="94"/>
    <n v="2"/>
    <x v="2"/>
    <x v="0"/>
    <n v="1"/>
    <x v="2"/>
    <n v="7140"/>
    <n v="3088"/>
    <n v="2"/>
    <x v="1"/>
    <n v="11"/>
    <n v="3"/>
    <n v="1"/>
    <n v="1"/>
    <n v="12"/>
    <n v="2"/>
    <x v="1"/>
    <n v="7"/>
    <n v="7"/>
    <n v="1"/>
    <n v="7"/>
    <x v="2"/>
    <x v="3"/>
    <n v="0"/>
    <x v="1"/>
    <s v="College"/>
    <x v="3"/>
    <x v="1"/>
  </r>
  <r>
    <n v="34"/>
    <s v="No"/>
    <x v="0"/>
    <n v="181"/>
    <x v="1"/>
    <n v="2"/>
    <n v="4"/>
    <s v="Medical"/>
    <n v="1755"/>
    <n v="4"/>
    <x v="1"/>
    <n v="97"/>
    <n v="4"/>
    <x v="1"/>
    <x v="1"/>
    <n v="4"/>
    <x v="1"/>
    <n v="2932"/>
    <n v="5586"/>
    <n v="0"/>
    <x v="0"/>
    <n v="14"/>
    <n v="3"/>
    <n v="1"/>
    <n v="3"/>
    <n v="6"/>
    <n v="3"/>
    <x v="1"/>
    <n v="5"/>
    <n v="0"/>
    <n v="1"/>
    <n v="2"/>
    <x v="2"/>
    <x v="3"/>
    <n v="0"/>
    <x v="2"/>
    <s v="Master"/>
    <x v="0"/>
    <x v="1"/>
  </r>
  <r>
    <n v="33"/>
    <s v="No"/>
    <x v="2"/>
    <n v="1283"/>
    <x v="0"/>
    <n v="2"/>
    <n v="3"/>
    <s v="Marketing"/>
    <n v="1756"/>
    <n v="4"/>
    <x v="0"/>
    <n v="62"/>
    <n v="3"/>
    <x v="0"/>
    <x v="0"/>
    <n v="2"/>
    <x v="0"/>
    <n v="5147"/>
    <n v="10697"/>
    <n v="8"/>
    <x v="1"/>
    <n v="15"/>
    <n v="3"/>
    <n v="4"/>
    <n v="0"/>
    <n v="13"/>
    <n v="2"/>
    <x v="2"/>
    <n v="11"/>
    <n v="7"/>
    <n v="1"/>
    <n v="7"/>
    <x v="2"/>
    <x v="0"/>
    <n v="0"/>
    <x v="0"/>
    <s v="Bachelor"/>
    <x v="1"/>
    <x v="2"/>
  </r>
  <r>
    <n v="49"/>
    <s v="No"/>
    <x v="0"/>
    <n v="1313"/>
    <x v="0"/>
    <n v="11"/>
    <n v="4"/>
    <s v="Marketing"/>
    <n v="1757"/>
    <n v="4"/>
    <x v="0"/>
    <n v="80"/>
    <n v="3"/>
    <x v="0"/>
    <x v="0"/>
    <n v="4"/>
    <x v="0"/>
    <n v="4507"/>
    <n v="8191"/>
    <n v="3"/>
    <x v="1"/>
    <n v="12"/>
    <n v="3"/>
    <n v="3"/>
    <n v="0"/>
    <n v="8"/>
    <n v="1"/>
    <x v="3"/>
    <n v="5"/>
    <n v="1"/>
    <n v="0"/>
    <n v="4"/>
    <x v="1"/>
    <x v="2"/>
    <n v="0"/>
    <x v="2"/>
    <s v="Master"/>
    <x v="0"/>
    <x v="3"/>
  </r>
  <r>
    <n v="33"/>
    <s v="Yes"/>
    <x v="0"/>
    <n v="211"/>
    <x v="0"/>
    <n v="16"/>
    <n v="3"/>
    <s v="Life Sciences"/>
    <n v="1758"/>
    <n v="1"/>
    <x v="0"/>
    <n v="74"/>
    <n v="3"/>
    <x v="2"/>
    <x v="0"/>
    <n v="1"/>
    <x v="0"/>
    <n v="8564"/>
    <n v="10092"/>
    <n v="2"/>
    <x v="0"/>
    <n v="20"/>
    <n v="4"/>
    <n v="3"/>
    <n v="0"/>
    <n v="11"/>
    <n v="2"/>
    <x v="2"/>
    <n v="0"/>
    <n v="0"/>
    <n v="0"/>
    <n v="0"/>
    <x v="2"/>
    <x v="0"/>
    <n v="1"/>
    <x v="0"/>
    <s v="Bachelor"/>
    <x v="3"/>
    <x v="2"/>
  </r>
  <r>
    <n v="38"/>
    <s v="No"/>
    <x v="1"/>
    <n v="594"/>
    <x v="1"/>
    <n v="2"/>
    <n v="2"/>
    <s v="Medical"/>
    <n v="1760"/>
    <n v="3"/>
    <x v="0"/>
    <n v="75"/>
    <n v="2"/>
    <x v="1"/>
    <x v="2"/>
    <n v="2"/>
    <x v="1"/>
    <n v="2468"/>
    <n v="15963"/>
    <n v="4"/>
    <x v="1"/>
    <n v="14"/>
    <n v="3"/>
    <n v="2"/>
    <n v="1"/>
    <n v="9"/>
    <n v="4"/>
    <x v="2"/>
    <n v="6"/>
    <n v="1"/>
    <n v="0"/>
    <n v="5"/>
    <x v="0"/>
    <x v="0"/>
    <n v="0"/>
    <x v="0"/>
    <s v="College"/>
    <x v="1"/>
    <x v="2"/>
  </r>
  <r>
    <n v="31"/>
    <s v="Yes"/>
    <x v="0"/>
    <n v="1079"/>
    <x v="0"/>
    <n v="16"/>
    <n v="4"/>
    <s v="Marketing"/>
    <n v="1761"/>
    <n v="1"/>
    <x v="1"/>
    <n v="70"/>
    <n v="3"/>
    <x v="2"/>
    <x v="0"/>
    <n v="3"/>
    <x v="1"/>
    <n v="8161"/>
    <n v="19002"/>
    <n v="2"/>
    <x v="1"/>
    <n v="13"/>
    <n v="3"/>
    <n v="1"/>
    <n v="3"/>
    <n v="10"/>
    <n v="2"/>
    <x v="1"/>
    <n v="1"/>
    <n v="0"/>
    <n v="0"/>
    <n v="0"/>
    <x v="2"/>
    <x v="0"/>
    <n v="1"/>
    <x v="2"/>
    <s v="Master"/>
    <x v="2"/>
    <x v="1"/>
  </r>
  <r>
    <n v="29"/>
    <s v="No"/>
    <x v="0"/>
    <n v="590"/>
    <x v="1"/>
    <n v="4"/>
    <n v="3"/>
    <s v="Technical Degree"/>
    <n v="1762"/>
    <n v="4"/>
    <x v="0"/>
    <n v="91"/>
    <n v="2"/>
    <x v="1"/>
    <x v="1"/>
    <n v="1"/>
    <x v="2"/>
    <n v="2109"/>
    <n v="10007"/>
    <n v="1"/>
    <x v="1"/>
    <n v="13"/>
    <n v="3"/>
    <n v="3"/>
    <n v="1"/>
    <n v="1"/>
    <n v="2"/>
    <x v="1"/>
    <n v="1"/>
    <n v="0"/>
    <n v="0"/>
    <n v="0"/>
    <x v="2"/>
    <x v="0"/>
    <n v="0"/>
    <x v="2"/>
    <s v="Bachelor"/>
    <x v="3"/>
    <x v="1"/>
  </r>
  <r>
    <n v="30"/>
    <s v="No"/>
    <x v="0"/>
    <n v="305"/>
    <x v="1"/>
    <n v="16"/>
    <n v="3"/>
    <s v="Life Sciences"/>
    <n v="1763"/>
    <n v="3"/>
    <x v="1"/>
    <n v="58"/>
    <n v="4"/>
    <x v="0"/>
    <x v="4"/>
    <n v="3"/>
    <x v="1"/>
    <n v="5294"/>
    <n v="9128"/>
    <n v="3"/>
    <x v="1"/>
    <n v="16"/>
    <n v="3"/>
    <n v="3"/>
    <n v="1"/>
    <n v="10"/>
    <n v="3"/>
    <x v="1"/>
    <n v="7"/>
    <n v="0"/>
    <n v="1"/>
    <n v="7"/>
    <x v="2"/>
    <x v="2"/>
    <n v="0"/>
    <x v="1"/>
    <s v="Bachelor"/>
    <x v="2"/>
    <x v="1"/>
  </r>
  <r>
    <n v="32"/>
    <s v="No"/>
    <x v="2"/>
    <n v="953"/>
    <x v="1"/>
    <n v="5"/>
    <n v="4"/>
    <s v="Technical Degree"/>
    <n v="1764"/>
    <n v="2"/>
    <x v="1"/>
    <n v="65"/>
    <n v="3"/>
    <x v="1"/>
    <x v="1"/>
    <n v="2"/>
    <x v="0"/>
    <n v="2718"/>
    <n v="17674"/>
    <n v="2"/>
    <x v="1"/>
    <n v="14"/>
    <n v="3"/>
    <n v="2"/>
    <n v="0"/>
    <n v="12"/>
    <n v="3"/>
    <x v="1"/>
    <n v="7"/>
    <n v="7"/>
    <n v="0"/>
    <n v="7"/>
    <x v="2"/>
    <x v="0"/>
    <n v="0"/>
    <x v="1"/>
    <s v="Master"/>
    <x v="1"/>
    <x v="1"/>
  </r>
  <r>
    <n v="38"/>
    <s v="No"/>
    <x v="0"/>
    <n v="833"/>
    <x v="1"/>
    <n v="18"/>
    <n v="3"/>
    <s v="Medical"/>
    <n v="1766"/>
    <n v="2"/>
    <x v="1"/>
    <n v="60"/>
    <n v="1"/>
    <x v="0"/>
    <x v="4"/>
    <n v="4"/>
    <x v="1"/>
    <n v="5811"/>
    <n v="24539"/>
    <n v="3"/>
    <x v="0"/>
    <n v="16"/>
    <n v="3"/>
    <n v="3"/>
    <n v="1"/>
    <n v="15"/>
    <n v="2"/>
    <x v="1"/>
    <n v="1"/>
    <n v="0"/>
    <n v="1"/>
    <n v="0"/>
    <x v="0"/>
    <x v="0"/>
    <n v="0"/>
    <x v="2"/>
    <s v="Bachelor"/>
    <x v="0"/>
    <x v="1"/>
  </r>
  <r>
    <n v="43"/>
    <s v="Yes"/>
    <x v="1"/>
    <n v="807"/>
    <x v="1"/>
    <n v="17"/>
    <n v="3"/>
    <s v="Technical Degree"/>
    <n v="1767"/>
    <n v="3"/>
    <x v="1"/>
    <n v="38"/>
    <n v="2"/>
    <x v="1"/>
    <x v="1"/>
    <n v="3"/>
    <x v="1"/>
    <n v="2437"/>
    <n v="15587"/>
    <n v="9"/>
    <x v="0"/>
    <n v="16"/>
    <n v="3"/>
    <n v="4"/>
    <n v="1"/>
    <n v="6"/>
    <n v="4"/>
    <x v="1"/>
    <n v="1"/>
    <n v="0"/>
    <n v="0"/>
    <n v="0"/>
    <x v="0"/>
    <x v="0"/>
    <n v="1"/>
    <x v="2"/>
    <s v="Bachelor"/>
    <x v="2"/>
    <x v="1"/>
  </r>
  <r>
    <n v="42"/>
    <s v="No"/>
    <x v="0"/>
    <n v="855"/>
    <x v="1"/>
    <n v="12"/>
    <n v="3"/>
    <s v="Medical"/>
    <n v="1768"/>
    <n v="2"/>
    <x v="1"/>
    <n v="57"/>
    <n v="3"/>
    <x v="1"/>
    <x v="2"/>
    <n v="2"/>
    <x v="2"/>
    <n v="2766"/>
    <n v="8952"/>
    <n v="8"/>
    <x v="1"/>
    <n v="22"/>
    <n v="4"/>
    <n v="2"/>
    <n v="3"/>
    <n v="7"/>
    <n v="6"/>
    <x v="2"/>
    <n v="5"/>
    <n v="3"/>
    <n v="0"/>
    <n v="4"/>
    <x v="0"/>
    <x v="2"/>
    <n v="0"/>
    <x v="0"/>
    <s v="Bachelor"/>
    <x v="1"/>
    <x v="2"/>
  </r>
  <r>
    <n v="55"/>
    <s v="No"/>
    <x v="0"/>
    <n v="478"/>
    <x v="1"/>
    <n v="2"/>
    <n v="3"/>
    <s v="Medical"/>
    <n v="1770"/>
    <n v="3"/>
    <x v="1"/>
    <n v="60"/>
    <n v="2"/>
    <x v="4"/>
    <x v="7"/>
    <n v="1"/>
    <x v="1"/>
    <n v="19038"/>
    <n v="19805"/>
    <n v="8"/>
    <x v="1"/>
    <n v="12"/>
    <n v="3"/>
    <n v="2"/>
    <n v="3"/>
    <n v="34"/>
    <n v="2"/>
    <x v="1"/>
    <n v="1"/>
    <n v="0"/>
    <n v="0"/>
    <n v="0"/>
    <x v="1"/>
    <x v="0"/>
    <n v="0"/>
    <x v="2"/>
    <s v="Bachelor"/>
    <x v="3"/>
    <x v="1"/>
  </r>
  <r>
    <n v="33"/>
    <s v="No"/>
    <x v="2"/>
    <n v="775"/>
    <x v="1"/>
    <n v="4"/>
    <n v="3"/>
    <s v="Technical Degree"/>
    <n v="1771"/>
    <n v="4"/>
    <x v="1"/>
    <n v="90"/>
    <n v="3"/>
    <x v="0"/>
    <x v="1"/>
    <n v="2"/>
    <x v="2"/>
    <n v="3055"/>
    <n v="6194"/>
    <n v="5"/>
    <x v="1"/>
    <n v="15"/>
    <n v="3"/>
    <n v="4"/>
    <n v="2"/>
    <n v="11"/>
    <n v="2"/>
    <x v="2"/>
    <n v="9"/>
    <n v="8"/>
    <n v="1"/>
    <n v="7"/>
    <x v="2"/>
    <x v="2"/>
    <n v="0"/>
    <x v="0"/>
    <s v="Bachelor"/>
    <x v="1"/>
    <x v="2"/>
  </r>
  <r>
    <n v="41"/>
    <s v="No"/>
    <x v="0"/>
    <n v="548"/>
    <x v="1"/>
    <n v="9"/>
    <n v="4"/>
    <s v="Life Sciences"/>
    <n v="1772"/>
    <n v="3"/>
    <x v="1"/>
    <n v="94"/>
    <n v="3"/>
    <x v="1"/>
    <x v="2"/>
    <n v="1"/>
    <x v="2"/>
    <n v="2289"/>
    <n v="20520"/>
    <n v="1"/>
    <x v="1"/>
    <n v="20"/>
    <n v="4"/>
    <n v="2"/>
    <n v="2"/>
    <n v="5"/>
    <n v="2"/>
    <x v="1"/>
    <n v="5"/>
    <n v="3"/>
    <n v="0"/>
    <n v="4"/>
    <x v="0"/>
    <x v="0"/>
    <n v="0"/>
    <x v="2"/>
    <s v="Master"/>
    <x v="3"/>
    <x v="1"/>
  </r>
  <r>
    <n v="34"/>
    <s v="No"/>
    <x v="2"/>
    <n v="1375"/>
    <x v="0"/>
    <n v="10"/>
    <n v="3"/>
    <s v="Life Sciences"/>
    <n v="1774"/>
    <n v="4"/>
    <x v="1"/>
    <n v="87"/>
    <n v="3"/>
    <x v="0"/>
    <x v="0"/>
    <n v="3"/>
    <x v="2"/>
    <n v="4001"/>
    <n v="12313"/>
    <n v="1"/>
    <x v="0"/>
    <n v="14"/>
    <n v="3"/>
    <n v="3"/>
    <n v="1"/>
    <n v="15"/>
    <n v="3"/>
    <x v="1"/>
    <n v="15"/>
    <n v="14"/>
    <n v="0"/>
    <n v="7"/>
    <x v="2"/>
    <x v="0"/>
    <n v="0"/>
    <x v="3"/>
    <s v="Bachelor"/>
    <x v="2"/>
    <x v="1"/>
  </r>
  <r>
    <n v="53"/>
    <s v="No"/>
    <x v="2"/>
    <n v="661"/>
    <x v="1"/>
    <n v="1"/>
    <n v="4"/>
    <s v="Medical"/>
    <n v="1775"/>
    <n v="1"/>
    <x v="0"/>
    <n v="60"/>
    <n v="2"/>
    <x v="3"/>
    <x v="3"/>
    <n v="3"/>
    <x v="1"/>
    <n v="12965"/>
    <n v="22308"/>
    <n v="4"/>
    <x v="0"/>
    <n v="20"/>
    <n v="4"/>
    <n v="4"/>
    <n v="3"/>
    <n v="27"/>
    <n v="2"/>
    <x v="2"/>
    <n v="3"/>
    <n v="2"/>
    <n v="0"/>
    <n v="2"/>
    <x v="1"/>
    <x v="0"/>
    <n v="0"/>
    <x v="0"/>
    <s v="Master"/>
    <x v="2"/>
    <x v="2"/>
  </r>
  <r>
    <n v="43"/>
    <s v="No"/>
    <x v="0"/>
    <n v="244"/>
    <x v="2"/>
    <n v="2"/>
    <n v="3"/>
    <s v="Life Sciences"/>
    <n v="1778"/>
    <n v="2"/>
    <x v="1"/>
    <n v="97"/>
    <n v="3"/>
    <x v="1"/>
    <x v="8"/>
    <n v="4"/>
    <x v="0"/>
    <n v="3539"/>
    <n v="5033"/>
    <n v="0"/>
    <x v="1"/>
    <n v="13"/>
    <n v="3"/>
    <n v="2"/>
    <n v="0"/>
    <n v="10"/>
    <n v="5"/>
    <x v="1"/>
    <n v="9"/>
    <n v="7"/>
    <n v="1"/>
    <n v="8"/>
    <x v="0"/>
    <x v="3"/>
    <n v="0"/>
    <x v="1"/>
    <s v="Bachelor"/>
    <x v="0"/>
    <x v="1"/>
  </r>
  <r>
    <n v="34"/>
    <s v="No"/>
    <x v="0"/>
    <n v="511"/>
    <x v="0"/>
    <n v="3"/>
    <n v="2"/>
    <s v="Life Sciences"/>
    <n v="1779"/>
    <n v="4"/>
    <x v="0"/>
    <n v="32"/>
    <n v="1"/>
    <x v="0"/>
    <x v="0"/>
    <n v="4"/>
    <x v="0"/>
    <n v="6029"/>
    <n v="25353"/>
    <n v="5"/>
    <x v="1"/>
    <n v="12"/>
    <n v="3"/>
    <n v="1"/>
    <n v="0"/>
    <n v="6"/>
    <n v="3"/>
    <x v="1"/>
    <n v="2"/>
    <n v="2"/>
    <n v="2"/>
    <n v="2"/>
    <x v="2"/>
    <x v="0"/>
    <n v="0"/>
    <x v="2"/>
    <s v="College"/>
    <x v="0"/>
    <x v="1"/>
  </r>
  <r>
    <n v="21"/>
    <s v="Yes"/>
    <x v="0"/>
    <n v="337"/>
    <x v="0"/>
    <n v="7"/>
    <n v="1"/>
    <s v="Marketing"/>
    <n v="1780"/>
    <n v="2"/>
    <x v="1"/>
    <n v="31"/>
    <n v="3"/>
    <x v="1"/>
    <x v="6"/>
    <n v="2"/>
    <x v="0"/>
    <n v="2679"/>
    <n v="4567"/>
    <n v="1"/>
    <x v="1"/>
    <n v="13"/>
    <n v="3"/>
    <n v="2"/>
    <n v="0"/>
    <n v="1"/>
    <n v="3"/>
    <x v="1"/>
    <n v="1"/>
    <n v="0"/>
    <n v="1"/>
    <n v="0"/>
    <x v="3"/>
    <x v="3"/>
    <n v="1"/>
    <x v="2"/>
    <s v="Below College"/>
    <x v="1"/>
    <x v="1"/>
  </r>
  <r>
    <n v="38"/>
    <s v="No"/>
    <x v="0"/>
    <n v="1153"/>
    <x v="1"/>
    <n v="6"/>
    <n v="2"/>
    <s v="Other"/>
    <n v="1782"/>
    <n v="4"/>
    <x v="0"/>
    <n v="40"/>
    <n v="2"/>
    <x v="1"/>
    <x v="2"/>
    <n v="3"/>
    <x v="1"/>
    <n v="3702"/>
    <n v="16376"/>
    <n v="1"/>
    <x v="1"/>
    <n v="11"/>
    <n v="3"/>
    <n v="2"/>
    <n v="1"/>
    <n v="5"/>
    <n v="3"/>
    <x v="1"/>
    <n v="5"/>
    <n v="4"/>
    <n v="0"/>
    <n v="4"/>
    <x v="0"/>
    <x v="0"/>
    <n v="0"/>
    <x v="2"/>
    <s v="College"/>
    <x v="2"/>
    <x v="1"/>
  </r>
  <r>
    <n v="22"/>
    <s v="Yes"/>
    <x v="0"/>
    <n v="1294"/>
    <x v="1"/>
    <n v="8"/>
    <n v="1"/>
    <s v="Medical"/>
    <n v="1783"/>
    <n v="3"/>
    <x v="0"/>
    <n v="79"/>
    <n v="3"/>
    <x v="1"/>
    <x v="2"/>
    <n v="1"/>
    <x v="1"/>
    <n v="2398"/>
    <n v="15999"/>
    <n v="1"/>
    <x v="0"/>
    <n v="17"/>
    <n v="3"/>
    <n v="3"/>
    <n v="0"/>
    <n v="1"/>
    <n v="6"/>
    <x v="1"/>
    <n v="1"/>
    <n v="0"/>
    <n v="0"/>
    <n v="0"/>
    <x v="3"/>
    <x v="0"/>
    <n v="1"/>
    <x v="2"/>
    <s v="Below College"/>
    <x v="3"/>
    <x v="1"/>
  </r>
  <r>
    <n v="31"/>
    <s v="No"/>
    <x v="0"/>
    <n v="196"/>
    <x v="0"/>
    <n v="29"/>
    <n v="4"/>
    <s v="Marketing"/>
    <n v="1784"/>
    <n v="1"/>
    <x v="0"/>
    <n v="91"/>
    <n v="2"/>
    <x v="0"/>
    <x v="0"/>
    <n v="4"/>
    <x v="1"/>
    <n v="5468"/>
    <n v="13402"/>
    <n v="1"/>
    <x v="1"/>
    <n v="14"/>
    <n v="3"/>
    <n v="1"/>
    <n v="2"/>
    <n v="13"/>
    <n v="3"/>
    <x v="1"/>
    <n v="12"/>
    <n v="7"/>
    <n v="5"/>
    <n v="7"/>
    <x v="2"/>
    <x v="0"/>
    <n v="0"/>
    <x v="3"/>
    <s v="Master"/>
    <x v="0"/>
    <x v="1"/>
  </r>
  <r>
    <n v="51"/>
    <s v="No"/>
    <x v="0"/>
    <n v="942"/>
    <x v="1"/>
    <n v="3"/>
    <n v="3"/>
    <s v="Technical Degree"/>
    <n v="1786"/>
    <n v="1"/>
    <x v="0"/>
    <n v="53"/>
    <n v="3"/>
    <x v="2"/>
    <x v="5"/>
    <n v="3"/>
    <x v="1"/>
    <n v="13116"/>
    <n v="22984"/>
    <n v="2"/>
    <x v="1"/>
    <n v="11"/>
    <n v="3"/>
    <n v="4"/>
    <n v="0"/>
    <n v="15"/>
    <n v="2"/>
    <x v="1"/>
    <n v="2"/>
    <n v="2"/>
    <n v="2"/>
    <n v="2"/>
    <x v="1"/>
    <x v="0"/>
    <n v="0"/>
    <x v="2"/>
    <s v="Bachelor"/>
    <x v="2"/>
    <x v="1"/>
  </r>
  <r>
    <n v="37"/>
    <s v="No"/>
    <x v="0"/>
    <n v="589"/>
    <x v="0"/>
    <n v="9"/>
    <n v="2"/>
    <s v="Marketing"/>
    <n v="1787"/>
    <n v="2"/>
    <x v="1"/>
    <n v="46"/>
    <n v="2"/>
    <x v="0"/>
    <x v="0"/>
    <n v="2"/>
    <x v="1"/>
    <n v="4189"/>
    <n v="8800"/>
    <n v="1"/>
    <x v="1"/>
    <n v="14"/>
    <n v="3"/>
    <n v="1"/>
    <n v="2"/>
    <n v="5"/>
    <n v="2"/>
    <x v="1"/>
    <n v="5"/>
    <n v="2"/>
    <n v="0"/>
    <n v="3"/>
    <x v="0"/>
    <x v="2"/>
    <n v="0"/>
    <x v="2"/>
    <s v="College"/>
    <x v="1"/>
    <x v="1"/>
  </r>
  <r>
    <n v="46"/>
    <s v="No"/>
    <x v="0"/>
    <n v="734"/>
    <x v="1"/>
    <n v="2"/>
    <n v="4"/>
    <s v="Medical"/>
    <n v="1789"/>
    <n v="3"/>
    <x v="1"/>
    <n v="46"/>
    <n v="3"/>
    <x v="4"/>
    <x v="7"/>
    <n v="4"/>
    <x v="2"/>
    <n v="19328"/>
    <n v="14218"/>
    <n v="7"/>
    <x v="0"/>
    <n v="17"/>
    <n v="3"/>
    <n v="3"/>
    <n v="1"/>
    <n v="24"/>
    <n v="3"/>
    <x v="1"/>
    <n v="2"/>
    <n v="1"/>
    <n v="2"/>
    <n v="2"/>
    <x v="1"/>
    <x v="0"/>
    <n v="0"/>
    <x v="2"/>
    <s v="Master"/>
    <x v="0"/>
    <x v="1"/>
  </r>
  <r>
    <n v="36"/>
    <s v="No"/>
    <x v="0"/>
    <n v="1383"/>
    <x v="1"/>
    <n v="10"/>
    <n v="3"/>
    <s v="Life Sciences"/>
    <n v="1790"/>
    <n v="4"/>
    <x v="1"/>
    <n v="90"/>
    <n v="3"/>
    <x v="2"/>
    <x v="4"/>
    <n v="1"/>
    <x v="1"/>
    <n v="8321"/>
    <n v="25949"/>
    <n v="7"/>
    <x v="0"/>
    <n v="13"/>
    <n v="3"/>
    <n v="4"/>
    <n v="1"/>
    <n v="15"/>
    <n v="1"/>
    <x v="1"/>
    <n v="12"/>
    <n v="8"/>
    <n v="5"/>
    <n v="7"/>
    <x v="0"/>
    <x v="0"/>
    <n v="0"/>
    <x v="3"/>
    <s v="Bachelor"/>
    <x v="3"/>
    <x v="1"/>
  </r>
  <r>
    <n v="44"/>
    <s v="Yes"/>
    <x v="1"/>
    <n v="429"/>
    <x v="1"/>
    <n v="1"/>
    <n v="2"/>
    <s v="Medical"/>
    <n v="1792"/>
    <n v="3"/>
    <x v="1"/>
    <n v="99"/>
    <n v="3"/>
    <x v="1"/>
    <x v="1"/>
    <n v="2"/>
    <x v="2"/>
    <n v="2342"/>
    <n v="11092"/>
    <n v="1"/>
    <x v="0"/>
    <n v="12"/>
    <n v="3"/>
    <n v="3"/>
    <n v="3"/>
    <n v="6"/>
    <n v="2"/>
    <x v="2"/>
    <n v="5"/>
    <n v="3"/>
    <n v="2"/>
    <n v="3"/>
    <x v="0"/>
    <x v="0"/>
    <n v="1"/>
    <x v="0"/>
    <s v="College"/>
    <x v="1"/>
    <x v="2"/>
  </r>
  <r>
    <n v="37"/>
    <s v="No"/>
    <x v="0"/>
    <n v="1239"/>
    <x v="2"/>
    <n v="8"/>
    <n v="2"/>
    <s v="Other"/>
    <n v="1794"/>
    <n v="3"/>
    <x v="1"/>
    <n v="89"/>
    <n v="3"/>
    <x v="0"/>
    <x v="8"/>
    <n v="2"/>
    <x v="2"/>
    <n v="4071"/>
    <n v="12832"/>
    <n v="2"/>
    <x v="1"/>
    <n v="13"/>
    <n v="3"/>
    <n v="3"/>
    <n v="0"/>
    <n v="19"/>
    <n v="4"/>
    <x v="2"/>
    <n v="10"/>
    <n v="0"/>
    <n v="4"/>
    <n v="7"/>
    <x v="0"/>
    <x v="0"/>
    <n v="0"/>
    <x v="0"/>
    <s v="College"/>
    <x v="1"/>
    <x v="2"/>
  </r>
  <r>
    <n v="35"/>
    <s v="Yes"/>
    <x v="0"/>
    <n v="303"/>
    <x v="0"/>
    <n v="27"/>
    <n v="3"/>
    <s v="Life Sciences"/>
    <n v="1797"/>
    <n v="3"/>
    <x v="1"/>
    <n v="84"/>
    <n v="3"/>
    <x v="0"/>
    <x v="0"/>
    <n v="4"/>
    <x v="0"/>
    <n v="5813"/>
    <n v="13492"/>
    <n v="1"/>
    <x v="0"/>
    <n v="18"/>
    <n v="3"/>
    <n v="4"/>
    <n v="0"/>
    <n v="10"/>
    <n v="2"/>
    <x v="1"/>
    <n v="10"/>
    <n v="7"/>
    <n v="7"/>
    <n v="7"/>
    <x v="2"/>
    <x v="0"/>
    <n v="1"/>
    <x v="1"/>
    <s v="Bachelor"/>
    <x v="0"/>
    <x v="1"/>
  </r>
  <r>
    <n v="33"/>
    <s v="No"/>
    <x v="0"/>
    <n v="867"/>
    <x v="1"/>
    <n v="8"/>
    <n v="4"/>
    <s v="Life Sciences"/>
    <n v="1798"/>
    <n v="4"/>
    <x v="1"/>
    <n v="90"/>
    <n v="4"/>
    <x v="1"/>
    <x v="1"/>
    <n v="1"/>
    <x v="1"/>
    <n v="3143"/>
    <n v="6076"/>
    <n v="6"/>
    <x v="1"/>
    <n v="19"/>
    <n v="3"/>
    <n v="2"/>
    <n v="1"/>
    <n v="14"/>
    <n v="1"/>
    <x v="1"/>
    <n v="10"/>
    <n v="8"/>
    <n v="7"/>
    <n v="6"/>
    <x v="2"/>
    <x v="2"/>
    <n v="0"/>
    <x v="1"/>
    <s v="Master"/>
    <x v="3"/>
    <x v="1"/>
  </r>
  <r>
    <n v="28"/>
    <s v="No"/>
    <x v="0"/>
    <n v="1181"/>
    <x v="1"/>
    <n v="1"/>
    <n v="3"/>
    <s v="Life Sciences"/>
    <n v="1799"/>
    <n v="3"/>
    <x v="1"/>
    <n v="82"/>
    <n v="3"/>
    <x v="1"/>
    <x v="1"/>
    <n v="4"/>
    <x v="1"/>
    <n v="2044"/>
    <n v="5531"/>
    <n v="1"/>
    <x v="1"/>
    <n v="11"/>
    <n v="3"/>
    <n v="3"/>
    <n v="1"/>
    <n v="5"/>
    <n v="6"/>
    <x v="3"/>
    <n v="5"/>
    <n v="3"/>
    <n v="0"/>
    <n v="3"/>
    <x v="2"/>
    <x v="3"/>
    <n v="0"/>
    <x v="2"/>
    <s v="Bachelor"/>
    <x v="0"/>
    <x v="3"/>
  </r>
  <r>
    <n v="39"/>
    <s v="No"/>
    <x v="0"/>
    <n v="1253"/>
    <x v="1"/>
    <n v="10"/>
    <n v="1"/>
    <s v="Medical"/>
    <n v="1800"/>
    <n v="3"/>
    <x v="1"/>
    <n v="65"/>
    <n v="3"/>
    <x v="2"/>
    <x v="7"/>
    <n v="3"/>
    <x v="0"/>
    <n v="13464"/>
    <n v="7914"/>
    <n v="7"/>
    <x v="1"/>
    <n v="21"/>
    <n v="4"/>
    <n v="3"/>
    <n v="0"/>
    <n v="9"/>
    <n v="3"/>
    <x v="1"/>
    <n v="4"/>
    <n v="3"/>
    <n v="2"/>
    <n v="2"/>
    <x v="0"/>
    <x v="2"/>
    <n v="0"/>
    <x v="2"/>
    <s v="Below College"/>
    <x v="2"/>
    <x v="1"/>
  </r>
  <r>
    <n v="46"/>
    <s v="No"/>
    <x v="2"/>
    <n v="849"/>
    <x v="0"/>
    <n v="26"/>
    <n v="2"/>
    <s v="Life Sciences"/>
    <n v="1801"/>
    <n v="2"/>
    <x v="1"/>
    <n v="98"/>
    <n v="2"/>
    <x v="0"/>
    <x v="0"/>
    <n v="2"/>
    <x v="0"/>
    <n v="7991"/>
    <n v="25166"/>
    <n v="8"/>
    <x v="1"/>
    <n v="15"/>
    <n v="3"/>
    <n v="3"/>
    <n v="0"/>
    <n v="6"/>
    <n v="3"/>
    <x v="1"/>
    <n v="2"/>
    <n v="2"/>
    <n v="2"/>
    <n v="2"/>
    <x v="1"/>
    <x v="0"/>
    <n v="0"/>
    <x v="2"/>
    <s v="College"/>
    <x v="1"/>
    <x v="1"/>
  </r>
  <r>
    <n v="40"/>
    <s v="No"/>
    <x v="0"/>
    <n v="616"/>
    <x v="1"/>
    <n v="2"/>
    <n v="2"/>
    <s v="Life Sciences"/>
    <n v="1802"/>
    <n v="3"/>
    <x v="0"/>
    <n v="99"/>
    <n v="3"/>
    <x v="1"/>
    <x v="2"/>
    <n v="1"/>
    <x v="1"/>
    <n v="3377"/>
    <n v="25605"/>
    <n v="4"/>
    <x v="1"/>
    <n v="17"/>
    <n v="3"/>
    <n v="4"/>
    <n v="1"/>
    <n v="7"/>
    <n v="5"/>
    <x v="2"/>
    <n v="4"/>
    <n v="3"/>
    <n v="0"/>
    <n v="2"/>
    <x v="0"/>
    <x v="0"/>
    <n v="0"/>
    <x v="0"/>
    <s v="College"/>
    <x v="3"/>
    <x v="2"/>
  </r>
  <r>
    <n v="42"/>
    <s v="No"/>
    <x v="0"/>
    <n v="1128"/>
    <x v="1"/>
    <n v="13"/>
    <n v="3"/>
    <s v="Medical"/>
    <n v="1803"/>
    <n v="2"/>
    <x v="1"/>
    <n v="95"/>
    <n v="4"/>
    <x v="0"/>
    <x v="4"/>
    <n v="1"/>
    <x v="1"/>
    <n v="5538"/>
    <n v="5696"/>
    <n v="5"/>
    <x v="1"/>
    <n v="18"/>
    <n v="3"/>
    <n v="3"/>
    <n v="2"/>
    <n v="10"/>
    <n v="2"/>
    <x v="2"/>
    <n v="0"/>
    <n v="0"/>
    <n v="0"/>
    <n v="0"/>
    <x v="0"/>
    <x v="3"/>
    <n v="0"/>
    <x v="0"/>
    <s v="Bachelor"/>
    <x v="3"/>
    <x v="2"/>
  </r>
  <r>
    <n v="35"/>
    <s v="No"/>
    <x v="2"/>
    <n v="1180"/>
    <x v="1"/>
    <n v="2"/>
    <n v="2"/>
    <s v="Medical"/>
    <n v="1804"/>
    <n v="2"/>
    <x v="1"/>
    <n v="90"/>
    <n v="3"/>
    <x v="0"/>
    <x v="3"/>
    <n v="4"/>
    <x v="2"/>
    <n v="5762"/>
    <n v="24442"/>
    <n v="2"/>
    <x v="1"/>
    <n v="14"/>
    <n v="3"/>
    <n v="3"/>
    <n v="1"/>
    <n v="15"/>
    <n v="6"/>
    <x v="1"/>
    <n v="7"/>
    <n v="7"/>
    <n v="1"/>
    <n v="7"/>
    <x v="2"/>
    <x v="0"/>
    <n v="0"/>
    <x v="1"/>
    <s v="College"/>
    <x v="0"/>
    <x v="1"/>
  </r>
  <r>
    <n v="38"/>
    <s v="No"/>
    <x v="2"/>
    <n v="1336"/>
    <x v="2"/>
    <n v="2"/>
    <n v="3"/>
    <s v="Human Resources"/>
    <n v="1805"/>
    <n v="1"/>
    <x v="1"/>
    <n v="100"/>
    <n v="3"/>
    <x v="1"/>
    <x v="8"/>
    <n v="2"/>
    <x v="2"/>
    <n v="2592"/>
    <n v="7129"/>
    <n v="5"/>
    <x v="1"/>
    <n v="13"/>
    <n v="3"/>
    <n v="4"/>
    <n v="3"/>
    <n v="13"/>
    <n v="3"/>
    <x v="1"/>
    <n v="11"/>
    <n v="10"/>
    <n v="3"/>
    <n v="8"/>
    <x v="0"/>
    <x v="2"/>
    <n v="0"/>
    <x v="3"/>
    <s v="Bachelor"/>
    <x v="1"/>
    <x v="1"/>
  </r>
  <r>
    <n v="34"/>
    <s v="Yes"/>
    <x v="1"/>
    <n v="234"/>
    <x v="1"/>
    <n v="9"/>
    <n v="4"/>
    <s v="Life Sciences"/>
    <n v="1807"/>
    <n v="4"/>
    <x v="1"/>
    <n v="93"/>
    <n v="3"/>
    <x v="0"/>
    <x v="2"/>
    <n v="1"/>
    <x v="1"/>
    <n v="5346"/>
    <n v="6208"/>
    <n v="4"/>
    <x v="1"/>
    <n v="17"/>
    <n v="3"/>
    <n v="3"/>
    <n v="1"/>
    <n v="11"/>
    <n v="3"/>
    <x v="2"/>
    <n v="7"/>
    <n v="1"/>
    <n v="0"/>
    <n v="7"/>
    <x v="2"/>
    <x v="2"/>
    <n v="1"/>
    <x v="0"/>
    <s v="Master"/>
    <x v="3"/>
    <x v="2"/>
  </r>
  <r>
    <n v="37"/>
    <s v="Yes"/>
    <x v="0"/>
    <n v="370"/>
    <x v="1"/>
    <n v="10"/>
    <n v="4"/>
    <s v="Medical"/>
    <n v="1809"/>
    <n v="4"/>
    <x v="1"/>
    <n v="58"/>
    <n v="3"/>
    <x v="0"/>
    <x v="3"/>
    <n v="1"/>
    <x v="0"/>
    <n v="4213"/>
    <n v="4992"/>
    <n v="1"/>
    <x v="1"/>
    <n v="15"/>
    <n v="3"/>
    <n v="2"/>
    <n v="0"/>
    <n v="10"/>
    <n v="4"/>
    <x v="0"/>
    <n v="10"/>
    <n v="3"/>
    <n v="0"/>
    <n v="8"/>
    <x v="0"/>
    <x v="3"/>
    <n v="1"/>
    <x v="0"/>
    <s v="Master"/>
    <x v="3"/>
    <x v="0"/>
  </r>
  <r>
    <n v="39"/>
    <s v="No"/>
    <x v="1"/>
    <n v="766"/>
    <x v="0"/>
    <n v="20"/>
    <n v="3"/>
    <s v="Life Sciences"/>
    <n v="1812"/>
    <n v="3"/>
    <x v="1"/>
    <n v="83"/>
    <n v="3"/>
    <x v="0"/>
    <x v="0"/>
    <n v="4"/>
    <x v="2"/>
    <n v="4127"/>
    <n v="19188"/>
    <n v="2"/>
    <x v="1"/>
    <n v="18"/>
    <n v="3"/>
    <n v="4"/>
    <n v="1"/>
    <n v="7"/>
    <n v="6"/>
    <x v="1"/>
    <n v="2"/>
    <n v="1"/>
    <n v="2"/>
    <n v="2"/>
    <x v="0"/>
    <x v="0"/>
    <n v="0"/>
    <x v="2"/>
    <s v="Bachelor"/>
    <x v="0"/>
    <x v="1"/>
  </r>
  <r>
    <n v="43"/>
    <s v="No"/>
    <x v="2"/>
    <n v="343"/>
    <x v="1"/>
    <n v="9"/>
    <n v="3"/>
    <s v="Life Sciences"/>
    <n v="1813"/>
    <n v="1"/>
    <x v="1"/>
    <n v="52"/>
    <n v="3"/>
    <x v="1"/>
    <x v="1"/>
    <n v="3"/>
    <x v="0"/>
    <n v="2438"/>
    <n v="24978"/>
    <n v="4"/>
    <x v="1"/>
    <n v="13"/>
    <n v="3"/>
    <n v="3"/>
    <n v="0"/>
    <n v="7"/>
    <n v="2"/>
    <x v="2"/>
    <n v="3"/>
    <n v="2"/>
    <n v="1"/>
    <n v="2"/>
    <x v="0"/>
    <x v="0"/>
    <n v="0"/>
    <x v="0"/>
    <s v="Bachelor"/>
    <x v="2"/>
    <x v="2"/>
  </r>
  <r>
    <n v="41"/>
    <s v="No"/>
    <x v="0"/>
    <n v="447"/>
    <x v="1"/>
    <n v="5"/>
    <n v="3"/>
    <s v="Life Sciences"/>
    <n v="1814"/>
    <n v="2"/>
    <x v="1"/>
    <n v="85"/>
    <n v="4"/>
    <x v="0"/>
    <x v="4"/>
    <n v="2"/>
    <x v="0"/>
    <n v="6870"/>
    <n v="15530"/>
    <n v="3"/>
    <x v="1"/>
    <n v="12"/>
    <n v="3"/>
    <n v="1"/>
    <n v="0"/>
    <n v="11"/>
    <n v="3"/>
    <x v="0"/>
    <n v="3"/>
    <n v="2"/>
    <n v="1"/>
    <n v="2"/>
    <x v="0"/>
    <x v="0"/>
    <n v="0"/>
    <x v="0"/>
    <s v="Bachelor"/>
    <x v="1"/>
    <x v="0"/>
  </r>
  <r>
    <n v="41"/>
    <s v="No"/>
    <x v="0"/>
    <n v="796"/>
    <x v="0"/>
    <n v="4"/>
    <n v="1"/>
    <s v="Marketing"/>
    <n v="1815"/>
    <n v="3"/>
    <x v="0"/>
    <n v="81"/>
    <n v="3"/>
    <x v="2"/>
    <x v="0"/>
    <n v="3"/>
    <x v="2"/>
    <n v="10447"/>
    <n v="26458"/>
    <n v="0"/>
    <x v="0"/>
    <n v="13"/>
    <n v="3"/>
    <n v="4"/>
    <n v="1"/>
    <n v="23"/>
    <n v="3"/>
    <x v="3"/>
    <n v="22"/>
    <n v="14"/>
    <n v="13"/>
    <n v="5"/>
    <x v="0"/>
    <x v="0"/>
    <n v="0"/>
    <x v="3"/>
    <s v="Below College"/>
    <x v="2"/>
    <x v="3"/>
  </r>
  <r>
    <n v="30"/>
    <s v="No"/>
    <x v="0"/>
    <n v="1092"/>
    <x v="1"/>
    <n v="10"/>
    <n v="3"/>
    <s v="Medical"/>
    <n v="1816"/>
    <n v="1"/>
    <x v="0"/>
    <n v="64"/>
    <n v="3"/>
    <x v="2"/>
    <x v="3"/>
    <n v="3"/>
    <x v="0"/>
    <n v="9667"/>
    <n v="2739"/>
    <n v="9"/>
    <x v="1"/>
    <n v="14"/>
    <n v="3"/>
    <n v="2"/>
    <n v="0"/>
    <n v="9"/>
    <n v="3"/>
    <x v="1"/>
    <n v="7"/>
    <n v="7"/>
    <n v="0"/>
    <n v="2"/>
    <x v="2"/>
    <x v="1"/>
    <n v="0"/>
    <x v="1"/>
    <s v="Bachelor"/>
    <x v="2"/>
    <x v="1"/>
  </r>
  <r>
    <n v="26"/>
    <s v="Yes"/>
    <x v="0"/>
    <n v="920"/>
    <x v="2"/>
    <n v="20"/>
    <n v="2"/>
    <s v="Medical"/>
    <n v="1818"/>
    <n v="4"/>
    <x v="0"/>
    <n v="69"/>
    <n v="3"/>
    <x v="1"/>
    <x v="8"/>
    <n v="2"/>
    <x v="1"/>
    <n v="2148"/>
    <n v="6889"/>
    <n v="0"/>
    <x v="0"/>
    <n v="11"/>
    <n v="3"/>
    <n v="3"/>
    <n v="0"/>
    <n v="6"/>
    <n v="3"/>
    <x v="1"/>
    <n v="5"/>
    <n v="1"/>
    <n v="1"/>
    <n v="4"/>
    <x v="2"/>
    <x v="2"/>
    <n v="1"/>
    <x v="2"/>
    <s v="College"/>
    <x v="1"/>
    <x v="1"/>
  </r>
  <r>
    <n v="46"/>
    <s v="Yes"/>
    <x v="0"/>
    <n v="261"/>
    <x v="1"/>
    <n v="21"/>
    <n v="2"/>
    <s v="Medical"/>
    <n v="1821"/>
    <n v="4"/>
    <x v="0"/>
    <n v="66"/>
    <n v="3"/>
    <x v="0"/>
    <x v="4"/>
    <n v="2"/>
    <x v="1"/>
    <n v="8926"/>
    <n v="10842"/>
    <n v="4"/>
    <x v="1"/>
    <n v="22"/>
    <n v="4"/>
    <n v="4"/>
    <n v="1"/>
    <n v="13"/>
    <n v="2"/>
    <x v="3"/>
    <n v="9"/>
    <n v="7"/>
    <n v="3"/>
    <n v="7"/>
    <x v="1"/>
    <x v="0"/>
    <n v="1"/>
    <x v="1"/>
    <s v="College"/>
    <x v="1"/>
    <x v="3"/>
  </r>
  <r>
    <n v="40"/>
    <s v="No"/>
    <x v="0"/>
    <n v="1194"/>
    <x v="1"/>
    <n v="1"/>
    <n v="3"/>
    <s v="Life Sciences"/>
    <n v="1822"/>
    <n v="3"/>
    <x v="0"/>
    <n v="52"/>
    <n v="3"/>
    <x v="0"/>
    <x v="4"/>
    <n v="4"/>
    <x v="2"/>
    <n v="6513"/>
    <n v="9060"/>
    <n v="4"/>
    <x v="1"/>
    <n v="17"/>
    <n v="3"/>
    <n v="4"/>
    <n v="1"/>
    <n v="12"/>
    <n v="3"/>
    <x v="1"/>
    <n v="5"/>
    <n v="3"/>
    <n v="0"/>
    <n v="3"/>
    <x v="0"/>
    <x v="2"/>
    <n v="0"/>
    <x v="2"/>
    <s v="Bachelor"/>
    <x v="0"/>
    <x v="1"/>
  </r>
  <r>
    <n v="34"/>
    <s v="No"/>
    <x v="0"/>
    <n v="810"/>
    <x v="0"/>
    <n v="8"/>
    <n v="2"/>
    <s v="Technical Degree"/>
    <n v="1823"/>
    <n v="2"/>
    <x v="1"/>
    <n v="92"/>
    <n v="4"/>
    <x v="0"/>
    <x v="0"/>
    <n v="3"/>
    <x v="1"/>
    <n v="6799"/>
    <n v="22128"/>
    <n v="1"/>
    <x v="1"/>
    <n v="21"/>
    <n v="4"/>
    <n v="3"/>
    <n v="2"/>
    <n v="10"/>
    <n v="5"/>
    <x v="1"/>
    <n v="10"/>
    <n v="8"/>
    <n v="4"/>
    <n v="8"/>
    <x v="2"/>
    <x v="0"/>
    <n v="0"/>
    <x v="1"/>
    <s v="College"/>
    <x v="2"/>
    <x v="1"/>
  </r>
  <r>
    <n v="58"/>
    <s v="No"/>
    <x v="2"/>
    <n v="350"/>
    <x v="0"/>
    <n v="2"/>
    <n v="3"/>
    <s v="Medical"/>
    <n v="1824"/>
    <n v="2"/>
    <x v="1"/>
    <n v="52"/>
    <n v="3"/>
    <x v="3"/>
    <x v="5"/>
    <n v="2"/>
    <x v="2"/>
    <n v="16291"/>
    <n v="22577"/>
    <n v="4"/>
    <x v="1"/>
    <n v="22"/>
    <n v="4"/>
    <n v="4"/>
    <n v="1"/>
    <n v="37"/>
    <n v="0"/>
    <x v="2"/>
    <n v="16"/>
    <n v="9"/>
    <n v="14"/>
    <n v="14"/>
    <x v="1"/>
    <x v="0"/>
    <n v="0"/>
    <x v="0"/>
    <s v="Bachelor"/>
    <x v="1"/>
    <x v="2"/>
  </r>
  <r>
    <n v="35"/>
    <s v="No"/>
    <x v="0"/>
    <n v="185"/>
    <x v="1"/>
    <n v="23"/>
    <n v="4"/>
    <s v="Medical"/>
    <n v="1826"/>
    <n v="2"/>
    <x v="1"/>
    <n v="91"/>
    <n v="1"/>
    <x v="1"/>
    <x v="2"/>
    <n v="3"/>
    <x v="1"/>
    <n v="2705"/>
    <n v="9696"/>
    <n v="0"/>
    <x v="1"/>
    <n v="16"/>
    <n v="3"/>
    <n v="2"/>
    <n v="1"/>
    <n v="6"/>
    <n v="2"/>
    <x v="3"/>
    <n v="5"/>
    <n v="4"/>
    <n v="0"/>
    <n v="3"/>
    <x v="2"/>
    <x v="2"/>
    <n v="0"/>
    <x v="2"/>
    <s v="Master"/>
    <x v="2"/>
    <x v="3"/>
  </r>
  <r>
    <n v="47"/>
    <s v="No"/>
    <x v="0"/>
    <n v="1001"/>
    <x v="1"/>
    <n v="4"/>
    <n v="3"/>
    <s v="Life Sciences"/>
    <n v="1827"/>
    <n v="3"/>
    <x v="0"/>
    <n v="92"/>
    <n v="2"/>
    <x v="2"/>
    <x v="3"/>
    <n v="2"/>
    <x v="2"/>
    <n v="10333"/>
    <n v="19271"/>
    <n v="8"/>
    <x v="0"/>
    <n v="12"/>
    <n v="3"/>
    <n v="3"/>
    <n v="1"/>
    <n v="28"/>
    <n v="4"/>
    <x v="1"/>
    <n v="22"/>
    <n v="11"/>
    <n v="14"/>
    <n v="10"/>
    <x v="1"/>
    <x v="0"/>
    <n v="0"/>
    <x v="3"/>
    <s v="Bachelor"/>
    <x v="1"/>
    <x v="1"/>
  </r>
  <r>
    <n v="40"/>
    <s v="No"/>
    <x v="0"/>
    <n v="750"/>
    <x v="1"/>
    <n v="12"/>
    <n v="3"/>
    <s v="Life Sciences"/>
    <n v="1829"/>
    <n v="2"/>
    <x v="0"/>
    <n v="47"/>
    <n v="3"/>
    <x v="0"/>
    <x v="4"/>
    <n v="1"/>
    <x v="2"/>
    <n v="4448"/>
    <n v="10748"/>
    <n v="2"/>
    <x v="1"/>
    <n v="12"/>
    <n v="3"/>
    <n v="2"/>
    <n v="1"/>
    <n v="15"/>
    <n v="3"/>
    <x v="1"/>
    <n v="7"/>
    <n v="4"/>
    <n v="7"/>
    <n v="7"/>
    <x v="0"/>
    <x v="0"/>
    <n v="0"/>
    <x v="1"/>
    <s v="Bachelor"/>
    <x v="3"/>
    <x v="1"/>
  </r>
  <r>
    <n v="54"/>
    <s v="No"/>
    <x v="0"/>
    <n v="431"/>
    <x v="1"/>
    <n v="7"/>
    <n v="4"/>
    <s v="Medical"/>
    <n v="1830"/>
    <n v="4"/>
    <x v="0"/>
    <n v="68"/>
    <n v="3"/>
    <x v="0"/>
    <x v="1"/>
    <n v="4"/>
    <x v="1"/>
    <n v="6854"/>
    <n v="15696"/>
    <n v="4"/>
    <x v="1"/>
    <n v="15"/>
    <n v="3"/>
    <n v="2"/>
    <n v="1"/>
    <n v="14"/>
    <n v="2"/>
    <x v="2"/>
    <n v="7"/>
    <n v="1"/>
    <n v="1"/>
    <n v="7"/>
    <x v="1"/>
    <x v="0"/>
    <n v="0"/>
    <x v="0"/>
    <s v="Master"/>
    <x v="0"/>
    <x v="2"/>
  </r>
  <r>
    <n v="31"/>
    <s v="No"/>
    <x v="1"/>
    <n v="1125"/>
    <x v="0"/>
    <n v="7"/>
    <n v="4"/>
    <s v="Marketing"/>
    <n v="1833"/>
    <n v="1"/>
    <x v="0"/>
    <n v="68"/>
    <n v="3"/>
    <x v="2"/>
    <x v="0"/>
    <n v="1"/>
    <x v="1"/>
    <n v="9637"/>
    <n v="8277"/>
    <n v="2"/>
    <x v="1"/>
    <n v="14"/>
    <n v="3"/>
    <n v="4"/>
    <n v="2"/>
    <n v="9"/>
    <n v="3"/>
    <x v="1"/>
    <n v="3"/>
    <n v="2"/>
    <n v="2"/>
    <n v="2"/>
    <x v="2"/>
    <x v="2"/>
    <n v="0"/>
    <x v="2"/>
    <s v="Master"/>
    <x v="3"/>
    <x v="1"/>
  </r>
  <r>
    <n v="28"/>
    <s v="No"/>
    <x v="0"/>
    <n v="1217"/>
    <x v="1"/>
    <n v="1"/>
    <n v="3"/>
    <s v="Medical"/>
    <n v="1834"/>
    <n v="3"/>
    <x v="0"/>
    <n v="67"/>
    <n v="3"/>
    <x v="1"/>
    <x v="1"/>
    <n v="1"/>
    <x v="1"/>
    <n v="3591"/>
    <n v="12719"/>
    <n v="1"/>
    <x v="1"/>
    <n v="25"/>
    <n v="4"/>
    <n v="3"/>
    <n v="1"/>
    <n v="3"/>
    <n v="3"/>
    <x v="1"/>
    <n v="3"/>
    <n v="2"/>
    <n v="1"/>
    <n v="2"/>
    <x v="2"/>
    <x v="0"/>
    <n v="0"/>
    <x v="2"/>
    <s v="Bachelor"/>
    <x v="3"/>
    <x v="1"/>
  </r>
  <r>
    <n v="38"/>
    <s v="No"/>
    <x v="0"/>
    <n v="723"/>
    <x v="0"/>
    <n v="2"/>
    <n v="4"/>
    <s v="Marketing"/>
    <n v="1835"/>
    <n v="2"/>
    <x v="0"/>
    <n v="77"/>
    <n v="1"/>
    <x v="0"/>
    <x v="6"/>
    <n v="4"/>
    <x v="1"/>
    <n v="5405"/>
    <n v="4244"/>
    <n v="2"/>
    <x v="0"/>
    <n v="20"/>
    <n v="4"/>
    <n v="1"/>
    <n v="2"/>
    <n v="20"/>
    <n v="4"/>
    <x v="2"/>
    <n v="4"/>
    <n v="2"/>
    <n v="0"/>
    <n v="3"/>
    <x v="0"/>
    <x v="3"/>
    <n v="0"/>
    <x v="0"/>
    <s v="Master"/>
    <x v="0"/>
    <x v="2"/>
  </r>
  <r>
    <n v="26"/>
    <s v="No"/>
    <x v="0"/>
    <n v="572"/>
    <x v="0"/>
    <n v="10"/>
    <n v="3"/>
    <s v="Medical"/>
    <n v="1836"/>
    <n v="3"/>
    <x v="1"/>
    <n v="46"/>
    <n v="3"/>
    <x v="0"/>
    <x v="0"/>
    <n v="4"/>
    <x v="0"/>
    <n v="4684"/>
    <n v="9125"/>
    <n v="1"/>
    <x v="1"/>
    <n v="13"/>
    <n v="3"/>
    <n v="1"/>
    <n v="0"/>
    <n v="5"/>
    <n v="4"/>
    <x v="1"/>
    <n v="5"/>
    <n v="3"/>
    <n v="1"/>
    <n v="2"/>
    <x v="2"/>
    <x v="2"/>
    <n v="0"/>
    <x v="2"/>
    <s v="Bachelor"/>
    <x v="0"/>
    <x v="1"/>
  </r>
  <r>
    <n v="58"/>
    <s v="No"/>
    <x v="1"/>
    <n v="1216"/>
    <x v="1"/>
    <n v="15"/>
    <n v="4"/>
    <s v="Life Sciences"/>
    <n v="1837"/>
    <n v="1"/>
    <x v="1"/>
    <n v="87"/>
    <n v="3"/>
    <x v="3"/>
    <x v="7"/>
    <n v="3"/>
    <x v="1"/>
    <n v="15787"/>
    <n v="21624"/>
    <n v="2"/>
    <x v="0"/>
    <n v="14"/>
    <n v="3"/>
    <n v="2"/>
    <n v="0"/>
    <n v="23"/>
    <n v="3"/>
    <x v="1"/>
    <n v="2"/>
    <n v="2"/>
    <n v="2"/>
    <n v="2"/>
    <x v="1"/>
    <x v="0"/>
    <n v="0"/>
    <x v="2"/>
    <s v="Master"/>
    <x v="2"/>
    <x v="1"/>
  </r>
  <r>
    <n v="18"/>
    <s v="No"/>
    <x v="2"/>
    <n v="1431"/>
    <x v="1"/>
    <n v="14"/>
    <n v="3"/>
    <s v="Medical"/>
    <n v="1839"/>
    <n v="2"/>
    <x v="0"/>
    <n v="33"/>
    <n v="3"/>
    <x v="1"/>
    <x v="1"/>
    <n v="3"/>
    <x v="0"/>
    <n v="1514"/>
    <n v="8018"/>
    <n v="1"/>
    <x v="1"/>
    <n v="16"/>
    <n v="3"/>
    <n v="3"/>
    <n v="0"/>
    <n v="0"/>
    <n v="4"/>
    <x v="0"/>
    <n v="0"/>
    <n v="0"/>
    <n v="0"/>
    <n v="0"/>
    <x v="3"/>
    <x v="2"/>
    <n v="0"/>
    <x v="0"/>
    <s v="Bachelor"/>
    <x v="2"/>
    <x v="0"/>
  </r>
  <r>
    <n v="31"/>
    <s v="Yes"/>
    <x v="0"/>
    <n v="359"/>
    <x v="2"/>
    <n v="18"/>
    <n v="5"/>
    <s v="Human Resources"/>
    <n v="1842"/>
    <n v="4"/>
    <x v="1"/>
    <n v="89"/>
    <n v="4"/>
    <x v="1"/>
    <x v="8"/>
    <n v="1"/>
    <x v="1"/>
    <n v="2956"/>
    <n v="21495"/>
    <n v="0"/>
    <x v="1"/>
    <n v="17"/>
    <n v="3"/>
    <n v="3"/>
    <n v="0"/>
    <n v="2"/>
    <n v="4"/>
    <x v="1"/>
    <n v="1"/>
    <n v="0"/>
    <n v="0"/>
    <n v="0"/>
    <x v="2"/>
    <x v="0"/>
    <n v="1"/>
    <x v="2"/>
    <s v="Doctor"/>
    <x v="3"/>
    <x v="1"/>
  </r>
  <r>
    <n v="29"/>
    <s v="Yes"/>
    <x v="0"/>
    <n v="350"/>
    <x v="2"/>
    <n v="13"/>
    <n v="3"/>
    <s v="Human Resources"/>
    <n v="1844"/>
    <n v="1"/>
    <x v="1"/>
    <n v="56"/>
    <n v="2"/>
    <x v="1"/>
    <x v="8"/>
    <n v="1"/>
    <x v="2"/>
    <n v="2335"/>
    <n v="3157"/>
    <n v="4"/>
    <x v="0"/>
    <n v="15"/>
    <n v="3"/>
    <n v="4"/>
    <n v="3"/>
    <n v="4"/>
    <n v="3"/>
    <x v="1"/>
    <n v="2"/>
    <n v="2"/>
    <n v="2"/>
    <n v="0"/>
    <x v="2"/>
    <x v="3"/>
    <n v="1"/>
    <x v="2"/>
    <s v="Bachelor"/>
    <x v="3"/>
    <x v="1"/>
  </r>
  <r>
    <n v="45"/>
    <s v="No"/>
    <x v="2"/>
    <n v="589"/>
    <x v="0"/>
    <n v="2"/>
    <n v="4"/>
    <s v="Life Sciences"/>
    <n v="1845"/>
    <n v="3"/>
    <x v="0"/>
    <n v="67"/>
    <n v="3"/>
    <x v="0"/>
    <x v="0"/>
    <n v="3"/>
    <x v="1"/>
    <n v="5154"/>
    <n v="19665"/>
    <n v="4"/>
    <x v="1"/>
    <n v="22"/>
    <n v="4"/>
    <n v="2"/>
    <n v="2"/>
    <n v="10"/>
    <n v="3"/>
    <x v="3"/>
    <n v="8"/>
    <n v="7"/>
    <n v="5"/>
    <n v="7"/>
    <x v="0"/>
    <x v="0"/>
    <n v="0"/>
    <x v="1"/>
    <s v="Master"/>
    <x v="2"/>
    <x v="3"/>
  </r>
  <r>
    <n v="36"/>
    <s v="No"/>
    <x v="0"/>
    <n v="430"/>
    <x v="1"/>
    <n v="2"/>
    <n v="4"/>
    <s v="Other"/>
    <n v="1847"/>
    <n v="4"/>
    <x v="0"/>
    <n v="73"/>
    <n v="3"/>
    <x v="0"/>
    <x v="1"/>
    <n v="2"/>
    <x v="1"/>
    <n v="6962"/>
    <n v="19573"/>
    <n v="4"/>
    <x v="0"/>
    <n v="22"/>
    <n v="4"/>
    <n v="4"/>
    <n v="1"/>
    <n v="15"/>
    <n v="2"/>
    <x v="1"/>
    <n v="1"/>
    <n v="0"/>
    <n v="0"/>
    <n v="0"/>
    <x v="0"/>
    <x v="0"/>
    <n v="0"/>
    <x v="2"/>
    <s v="Master"/>
    <x v="1"/>
    <x v="1"/>
  </r>
  <r>
    <n v="43"/>
    <s v="No"/>
    <x v="1"/>
    <n v="1422"/>
    <x v="0"/>
    <n v="2"/>
    <n v="4"/>
    <s v="Life Sciences"/>
    <n v="1849"/>
    <n v="1"/>
    <x v="1"/>
    <n v="92"/>
    <n v="3"/>
    <x v="0"/>
    <x v="0"/>
    <n v="4"/>
    <x v="1"/>
    <n v="5675"/>
    <n v="19246"/>
    <n v="1"/>
    <x v="1"/>
    <n v="20"/>
    <n v="4"/>
    <n v="3"/>
    <n v="1"/>
    <n v="7"/>
    <n v="5"/>
    <x v="1"/>
    <n v="7"/>
    <n v="7"/>
    <n v="7"/>
    <n v="7"/>
    <x v="0"/>
    <x v="0"/>
    <n v="0"/>
    <x v="1"/>
    <s v="Master"/>
    <x v="0"/>
    <x v="1"/>
  </r>
  <r>
    <n v="27"/>
    <s v="No"/>
    <x v="1"/>
    <n v="1297"/>
    <x v="1"/>
    <n v="5"/>
    <n v="2"/>
    <s v="Life Sciences"/>
    <n v="1850"/>
    <n v="4"/>
    <x v="0"/>
    <n v="53"/>
    <n v="3"/>
    <x v="1"/>
    <x v="2"/>
    <n v="4"/>
    <x v="0"/>
    <n v="2379"/>
    <n v="19826"/>
    <n v="0"/>
    <x v="0"/>
    <n v="14"/>
    <n v="3"/>
    <n v="3"/>
    <n v="0"/>
    <n v="6"/>
    <n v="3"/>
    <x v="2"/>
    <n v="5"/>
    <n v="4"/>
    <n v="0"/>
    <n v="2"/>
    <x v="2"/>
    <x v="0"/>
    <n v="0"/>
    <x v="0"/>
    <s v="College"/>
    <x v="0"/>
    <x v="2"/>
  </r>
  <r>
    <n v="29"/>
    <s v="No"/>
    <x v="1"/>
    <n v="574"/>
    <x v="1"/>
    <n v="20"/>
    <n v="1"/>
    <s v="Medical"/>
    <n v="1852"/>
    <n v="4"/>
    <x v="1"/>
    <n v="40"/>
    <n v="3"/>
    <x v="1"/>
    <x v="2"/>
    <n v="4"/>
    <x v="1"/>
    <n v="3812"/>
    <n v="7003"/>
    <n v="1"/>
    <x v="1"/>
    <n v="13"/>
    <n v="3"/>
    <n v="2"/>
    <n v="0"/>
    <n v="11"/>
    <n v="3"/>
    <x v="3"/>
    <n v="11"/>
    <n v="8"/>
    <n v="3"/>
    <n v="10"/>
    <x v="2"/>
    <x v="2"/>
    <n v="0"/>
    <x v="3"/>
    <s v="Below College"/>
    <x v="0"/>
    <x v="3"/>
  </r>
  <r>
    <n v="32"/>
    <s v="No"/>
    <x v="1"/>
    <n v="1318"/>
    <x v="0"/>
    <n v="10"/>
    <n v="4"/>
    <s v="Marketing"/>
    <n v="1853"/>
    <n v="4"/>
    <x v="1"/>
    <n v="79"/>
    <n v="3"/>
    <x v="0"/>
    <x v="0"/>
    <n v="4"/>
    <x v="0"/>
    <n v="4648"/>
    <n v="26075"/>
    <n v="8"/>
    <x v="1"/>
    <n v="13"/>
    <n v="3"/>
    <n v="3"/>
    <n v="0"/>
    <n v="4"/>
    <n v="2"/>
    <x v="3"/>
    <n v="0"/>
    <n v="0"/>
    <n v="0"/>
    <n v="0"/>
    <x v="2"/>
    <x v="0"/>
    <n v="0"/>
    <x v="2"/>
    <s v="Master"/>
    <x v="0"/>
    <x v="3"/>
  </r>
  <r>
    <n v="42"/>
    <s v="No"/>
    <x v="2"/>
    <n v="355"/>
    <x v="1"/>
    <n v="10"/>
    <n v="4"/>
    <s v="Technical Degree"/>
    <n v="1854"/>
    <n v="3"/>
    <x v="1"/>
    <n v="38"/>
    <n v="3"/>
    <x v="1"/>
    <x v="1"/>
    <n v="3"/>
    <x v="1"/>
    <n v="2936"/>
    <n v="6161"/>
    <n v="3"/>
    <x v="1"/>
    <n v="22"/>
    <n v="4"/>
    <n v="2"/>
    <n v="2"/>
    <n v="10"/>
    <n v="1"/>
    <x v="2"/>
    <n v="6"/>
    <n v="3"/>
    <n v="3"/>
    <n v="3"/>
    <x v="0"/>
    <x v="2"/>
    <n v="0"/>
    <x v="0"/>
    <s v="Master"/>
    <x v="2"/>
    <x v="2"/>
  </r>
  <r>
    <n v="47"/>
    <s v="No"/>
    <x v="0"/>
    <n v="207"/>
    <x v="1"/>
    <n v="9"/>
    <n v="4"/>
    <s v="Life Sciences"/>
    <n v="1856"/>
    <n v="2"/>
    <x v="0"/>
    <n v="64"/>
    <n v="3"/>
    <x v="1"/>
    <x v="2"/>
    <n v="3"/>
    <x v="0"/>
    <n v="2105"/>
    <n v="5411"/>
    <n v="4"/>
    <x v="1"/>
    <n v="12"/>
    <n v="3"/>
    <n v="3"/>
    <n v="0"/>
    <n v="7"/>
    <n v="2"/>
    <x v="1"/>
    <n v="2"/>
    <n v="2"/>
    <n v="2"/>
    <n v="0"/>
    <x v="1"/>
    <x v="3"/>
    <n v="0"/>
    <x v="2"/>
    <s v="Master"/>
    <x v="2"/>
    <x v="1"/>
  </r>
  <r>
    <n v="46"/>
    <s v="No"/>
    <x v="0"/>
    <n v="706"/>
    <x v="1"/>
    <n v="2"/>
    <n v="2"/>
    <s v="Life Sciences"/>
    <n v="1857"/>
    <n v="4"/>
    <x v="1"/>
    <n v="82"/>
    <n v="3"/>
    <x v="2"/>
    <x v="3"/>
    <n v="4"/>
    <x v="2"/>
    <n v="8578"/>
    <n v="19989"/>
    <n v="3"/>
    <x v="1"/>
    <n v="14"/>
    <n v="3"/>
    <n v="3"/>
    <n v="1"/>
    <n v="12"/>
    <n v="4"/>
    <x v="2"/>
    <n v="9"/>
    <n v="8"/>
    <n v="4"/>
    <n v="7"/>
    <x v="1"/>
    <x v="0"/>
    <n v="0"/>
    <x v="0"/>
    <s v="College"/>
    <x v="0"/>
    <x v="2"/>
  </r>
  <r>
    <n v="28"/>
    <s v="No"/>
    <x v="2"/>
    <n v="280"/>
    <x v="2"/>
    <n v="1"/>
    <n v="2"/>
    <s v="Life Sciences"/>
    <n v="1858"/>
    <n v="3"/>
    <x v="1"/>
    <n v="43"/>
    <n v="3"/>
    <x v="1"/>
    <x v="8"/>
    <n v="4"/>
    <x v="2"/>
    <n v="2706"/>
    <n v="10494"/>
    <n v="1"/>
    <x v="1"/>
    <n v="15"/>
    <n v="3"/>
    <n v="2"/>
    <n v="1"/>
    <n v="3"/>
    <n v="2"/>
    <x v="1"/>
    <n v="3"/>
    <n v="2"/>
    <n v="2"/>
    <n v="2"/>
    <x v="2"/>
    <x v="0"/>
    <n v="0"/>
    <x v="2"/>
    <s v="College"/>
    <x v="0"/>
    <x v="1"/>
  </r>
  <r>
    <n v="29"/>
    <s v="No"/>
    <x v="0"/>
    <n v="726"/>
    <x v="1"/>
    <n v="29"/>
    <n v="1"/>
    <s v="Life Sciences"/>
    <n v="1859"/>
    <n v="4"/>
    <x v="1"/>
    <n v="93"/>
    <n v="1"/>
    <x v="0"/>
    <x v="4"/>
    <n v="3"/>
    <x v="2"/>
    <n v="6384"/>
    <n v="21143"/>
    <n v="8"/>
    <x v="1"/>
    <n v="17"/>
    <n v="3"/>
    <n v="4"/>
    <n v="2"/>
    <n v="11"/>
    <n v="3"/>
    <x v="1"/>
    <n v="7"/>
    <n v="0"/>
    <n v="1"/>
    <n v="6"/>
    <x v="2"/>
    <x v="0"/>
    <n v="0"/>
    <x v="1"/>
    <s v="Below College"/>
    <x v="2"/>
    <x v="1"/>
  </r>
  <r>
    <n v="42"/>
    <s v="No"/>
    <x v="0"/>
    <n v="1142"/>
    <x v="1"/>
    <n v="8"/>
    <n v="3"/>
    <s v="Life Sciences"/>
    <n v="1860"/>
    <n v="4"/>
    <x v="1"/>
    <n v="81"/>
    <n v="3"/>
    <x v="1"/>
    <x v="2"/>
    <n v="3"/>
    <x v="0"/>
    <n v="3968"/>
    <n v="13624"/>
    <n v="4"/>
    <x v="1"/>
    <n v="13"/>
    <n v="3"/>
    <n v="4"/>
    <n v="0"/>
    <n v="8"/>
    <n v="3"/>
    <x v="1"/>
    <n v="0"/>
    <n v="0"/>
    <n v="0"/>
    <n v="0"/>
    <x v="0"/>
    <x v="0"/>
    <n v="0"/>
    <x v="2"/>
    <s v="Bachelor"/>
    <x v="2"/>
    <x v="1"/>
  </r>
  <r>
    <n v="32"/>
    <s v="Yes"/>
    <x v="0"/>
    <n v="414"/>
    <x v="0"/>
    <n v="2"/>
    <n v="4"/>
    <s v="Marketing"/>
    <n v="1862"/>
    <n v="3"/>
    <x v="1"/>
    <n v="82"/>
    <n v="2"/>
    <x v="0"/>
    <x v="0"/>
    <n v="2"/>
    <x v="0"/>
    <n v="9907"/>
    <n v="26186"/>
    <n v="7"/>
    <x v="0"/>
    <n v="12"/>
    <n v="3"/>
    <n v="3"/>
    <n v="0"/>
    <n v="7"/>
    <n v="3"/>
    <x v="2"/>
    <n v="2"/>
    <n v="2"/>
    <n v="2"/>
    <n v="2"/>
    <x v="2"/>
    <x v="0"/>
    <n v="1"/>
    <x v="0"/>
    <s v="Master"/>
    <x v="1"/>
    <x v="2"/>
  </r>
  <r>
    <n v="46"/>
    <s v="No"/>
    <x v="0"/>
    <n v="1319"/>
    <x v="0"/>
    <n v="3"/>
    <n v="3"/>
    <s v="Technical Degree"/>
    <n v="1863"/>
    <n v="1"/>
    <x v="0"/>
    <n v="45"/>
    <n v="4"/>
    <x v="3"/>
    <x v="0"/>
    <n v="1"/>
    <x v="2"/>
    <n v="13225"/>
    <n v="7739"/>
    <n v="2"/>
    <x v="1"/>
    <n v="12"/>
    <n v="3"/>
    <n v="4"/>
    <n v="1"/>
    <n v="25"/>
    <n v="5"/>
    <x v="1"/>
    <n v="19"/>
    <n v="17"/>
    <n v="2"/>
    <n v="8"/>
    <x v="1"/>
    <x v="2"/>
    <n v="0"/>
    <x v="3"/>
    <s v="Bachelor"/>
    <x v="3"/>
    <x v="1"/>
  </r>
  <r>
    <n v="27"/>
    <s v="No"/>
    <x v="0"/>
    <n v="728"/>
    <x v="0"/>
    <n v="23"/>
    <n v="1"/>
    <s v="Medical"/>
    <n v="1864"/>
    <n v="2"/>
    <x v="0"/>
    <n v="36"/>
    <n v="2"/>
    <x v="0"/>
    <x v="6"/>
    <n v="3"/>
    <x v="1"/>
    <n v="3540"/>
    <n v="7018"/>
    <n v="1"/>
    <x v="1"/>
    <n v="21"/>
    <n v="4"/>
    <n v="4"/>
    <n v="1"/>
    <n v="9"/>
    <n v="5"/>
    <x v="1"/>
    <n v="9"/>
    <n v="8"/>
    <n v="5"/>
    <n v="8"/>
    <x v="2"/>
    <x v="2"/>
    <n v="0"/>
    <x v="1"/>
    <s v="Below College"/>
    <x v="2"/>
    <x v="1"/>
  </r>
  <r>
    <n v="29"/>
    <s v="No"/>
    <x v="0"/>
    <n v="352"/>
    <x v="2"/>
    <n v="6"/>
    <n v="1"/>
    <s v="Medical"/>
    <n v="1865"/>
    <n v="4"/>
    <x v="1"/>
    <n v="87"/>
    <n v="2"/>
    <x v="1"/>
    <x v="8"/>
    <n v="2"/>
    <x v="1"/>
    <n v="2804"/>
    <n v="15434"/>
    <n v="1"/>
    <x v="1"/>
    <n v="11"/>
    <n v="3"/>
    <n v="4"/>
    <n v="0"/>
    <n v="1"/>
    <n v="3"/>
    <x v="1"/>
    <n v="1"/>
    <n v="0"/>
    <n v="0"/>
    <n v="0"/>
    <x v="2"/>
    <x v="0"/>
    <n v="0"/>
    <x v="2"/>
    <s v="Below College"/>
    <x v="1"/>
    <x v="1"/>
  </r>
  <r>
    <n v="43"/>
    <s v="No"/>
    <x v="0"/>
    <n v="823"/>
    <x v="1"/>
    <n v="6"/>
    <n v="3"/>
    <s v="Medical"/>
    <n v="1866"/>
    <n v="1"/>
    <x v="0"/>
    <n v="81"/>
    <n v="2"/>
    <x v="4"/>
    <x v="5"/>
    <n v="3"/>
    <x v="1"/>
    <n v="19392"/>
    <n v="22539"/>
    <n v="7"/>
    <x v="1"/>
    <n v="13"/>
    <n v="3"/>
    <n v="4"/>
    <n v="0"/>
    <n v="21"/>
    <n v="2"/>
    <x v="1"/>
    <n v="16"/>
    <n v="12"/>
    <n v="6"/>
    <n v="14"/>
    <x v="0"/>
    <x v="0"/>
    <n v="0"/>
    <x v="3"/>
    <s v="Bachelor"/>
    <x v="2"/>
    <x v="1"/>
  </r>
  <r>
    <n v="48"/>
    <s v="No"/>
    <x v="0"/>
    <n v="1224"/>
    <x v="1"/>
    <n v="10"/>
    <n v="3"/>
    <s v="Life Sciences"/>
    <n v="1867"/>
    <n v="4"/>
    <x v="1"/>
    <n v="91"/>
    <n v="2"/>
    <x v="4"/>
    <x v="7"/>
    <n v="2"/>
    <x v="1"/>
    <n v="19665"/>
    <n v="13583"/>
    <n v="4"/>
    <x v="1"/>
    <n v="12"/>
    <n v="3"/>
    <n v="4"/>
    <n v="0"/>
    <n v="29"/>
    <n v="3"/>
    <x v="1"/>
    <n v="22"/>
    <n v="10"/>
    <n v="12"/>
    <n v="9"/>
    <x v="1"/>
    <x v="0"/>
    <n v="0"/>
    <x v="3"/>
    <s v="Bachelor"/>
    <x v="1"/>
    <x v="1"/>
  </r>
  <r>
    <n v="29"/>
    <s v="Yes"/>
    <x v="1"/>
    <n v="459"/>
    <x v="1"/>
    <n v="24"/>
    <n v="2"/>
    <s v="Life Sciences"/>
    <n v="1868"/>
    <n v="4"/>
    <x v="1"/>
    <n v="73"/>
    <n v="2"/>
    <x v="1"/>
    <x v="1"/>
    <n v="4"/>
    <x v="0"/>
    <n v="2439"/>
    <n v="14753"/>
    <n v="1"/>
    <x v="0"/>
    <n v="24"/>
    <n v="4"/>
    <n v="2"/>
    <n v="0"/>
    <n v="1"/>
    <n v="3"/>
    <x v="2"/>
    <n v="1"/>
    <n v="0"/>
    <n v="1"/>
    <n v="0"/>
    <x v="2"/>
    <x v="0"/>
    <n v="1"/>
    <x v="0"/>
    <s v="College"/>
    <x v="0"/>
    <x v="2"/>
  </r>
  <r>
    <n v="46"/>
    <s v="Yes"/>
    <x v="0"/>
    <n v="1254"/>
    <x v="0"/>
    <n v="10"/>
    <n v="3"/>
    <s v="Life Sciences"/>
    <n v="1869"/>
    <n v="3"/>
    <x v="0"/>
    <n v="64"/>
    <n v="3"/>
    <x v="2"/>
    <x v="0"/>
    <n v="2"/>
    <x v="1"/>
    <n v="7314"/>
    <n v="14011"/>
    <n v="5"/>
    <x v="1"/>
    <n v="21"/>
    <n v="4"/>
    <n v="3"/>
    <n v="3"/>
    <n v="14"/>
    <n v="2"/>
    <x v="1"/>
    <n v="8"/>
    <n v="7"/>
    <n v="0"/>
    <n v="7"/>
    <x v="1"/>
    <x v="0"/>
    <n v="1"/>
    <x v="1"/>
    <s v="Bachelor"/>
    <x v="1"/>
    <x v="1"/>
  </r>
  <r>
    <n v="27"/>
    <s v="No"/>
    <x v="1"/>
    <n v="1131"/>
    <x v="1"/>
    <n v="15"/>
    <n v="3"/>
    <s v="Life Sciences"/>
    <n v="1870"/>
    <n v="4"/>
    <x v="0"/>
    <n v="77"/>
    <n v="2"/>
    <x v="1"/>
    <x v="1"/>
    <n v="1"/>
    <x v="1"/>
    <n v="4774"/>
    <n v="23844"/>
    <n v="0"/>
    <x v="1"/>
    <n v="19"/>
    <n v="3"/>
    <n v="4"/>
    <n v="1"/>
    <n v="8"/>
    <n v="2"/>
    <x v="2"/>
    <n v="7"/>
    <n v="6"/>
    <n v="7"/>
    <n v="3"/>
    <x v="2"/>
    <x v="0"/>
    <n v="0"/>
    <x v="0"/>
    <s v="Bachelor"/>
    <x v="3"/>
    <x v="2"/>
  </r>
  <r>
    <n v="39"/>
    <s v="No"/>
    <x v="0"/>
    <n v="835"/>
    <x v="1"/>
    <n v="19"/>
    <n v="4"/>
    <s v="Other"/>
    <n v="1871"/>
    <n v="4"/>
    <x v="1"/>
    <n v="41"/>
    <n v="3"/>
    <x v="0"/>
    <x v="1"/>
    <n v="4"/>
    <x v="2"/>
    <n v="3902"/>
    <n v="5141"/>
    <n v="8"/>
    <x v="1"/>
    <n v="14"/>
    <n v="3"/>
    <n v="2"/>
    <n v="3"/>
    <n v="7"/>
    <n v="2"/>
    <x v="1"/>
    <n v="2"/>
    <n v="2"/>
    <n v="2"/>
    <n v="2"/>
    <x v="0"/>
    <x v="3"/>
    <n v="0"/>
    <x v="2"/>
    <s v="Master"/>
    <x v="0"/>
    <x v="1"/>
  </r>
  <r>
    <n v="55"/>
    <s v="No"/>
    <x v="0"/>
    <n v="836"/>
    <x v="1"/>
    <n v="2"/>
    <n v="4"/>
    <s v="Technical Degree"/>
    <n v="1873"/>
    <n v="2"/>
    <x v="1"/>
    <n v="98"/>
    <n v="2"/>
    <x v="1"/>
    <x v="1"/>
    <n v="4"/>
    <x v="1"/>
    <n v="2662"/>
    <n v="7975"/>
    <n v="8"/>
    <x v="1"/>
    <n v="20"/>
    <n v="4"/>
    <n v="2"/>
    <n v="1"/>
    <n v="19"/>
    <n v="2"/>
    <x v="3"/>
    <n v="5"/>
    <n v="2"/>
    <n v="0"/>
    <n v="4"/>
    <x v="1"/>
    <x v="2"/>
    <n v="0"/>
    <x v="2"/>
    <s v="Master"/>
    <x v="0"/>
    <x v="3"/>
  </r>
  <r>
    <n v="28"/>
    <s v="No"/>
    <x v="0"/>
    <n v="1172"/>
    <x v="0"/>
    <n v="3"/>
    <n v="3"/>
    <s v="Medical"/>
    <n v="1875"/>
    <n v="2"/>
    <x v="0"/>
    <n v="78"/>
    <n v="3"/>
    <x v="1"/>
    <x v="6"/>
    <n v="2"/>
    <x v="1"/>
    <n v="2856"/>
    <n v="3692"/>
    <n v="1"/>
    <x v="1"/>
    <n v="19"/>
    <n v="3"/>
    <n v="4"/>
    <n v="1"/>
    <n v="1"/>
    <n v="3"/>
    <x v="1"/>
    <n v="1"/>
    <n v="0"/>
    <n v="0"/>
    <n v="0"/>
    <x v="2"/>
    <x v="3"/>
    <n v="0"/>
    <x v="2"/>
    <s v="Bachelor"/>
    <x v="1"/>
    <x v="1"/>
  </r>
  <r>
    <n v="30"/>
    <s v="Yes"/>
    <x v="0"/>
    <n v="945"/>
    <x v="0"/>
    <n v="9"/>
    <n v="3"/>
    <s v="Medical"/>
    <n v="1876"/>
    <n v="2"/>
    <x v="1"/>
    <n v="89"/>
    <n v="3"/>
    <x v="1"/>
    <x v="6"/>
    <n v="4"/>
    <x v="0"/>
    <n v="1081"/>
    <n v="16019"/>
    <n v="1"/>
    <x v="1"/>
    <n v="13"/>
    <n v="3"/>
    <n v="3"/>
    <n v="0"/>
    <n v="1"/>
    <n v="3"/>
    <x v="2"/>
    <n v="1"/>
    <n v="0"/>
    <n v="0"/>
    <n v="0"/>
    <x v="2"/>
    <x v="0"/>
    <n v="1"/>
    <x v="0"/>
    <s v="Bachelor"/>
    <x v="0"/>
    <x v="2"/>
  </r>
  <r>
    <n v="22"/>
    <s v="Yes"/>
    <x v="0"/>
    <n v="391"/>
    <x v="1"/>
    <n v="7"/>
    <n v="1"/>
    <s v="Life Sciences"/>
    <n v="1878"/>
    <n v="4"/>
    <x v="1"/>
    <n v="75"/>
    <n v="3"/>
    <x v="1"/>
    <x v="1"/>
    <n v="2"/>
    <x v="0"/>
    <n v="2472"/>
    <n v="26092"/>
    <n v="1"/>
    <x v="0"/>
    <n v="23"/>
    <n v="4"/>
    <n v="1"/>
    <n v="0"/>
    <n v="1"/>
    <n v="2"/>
    <x v="1"/>
    <n v="1"/>
    <n v="0"/>
    <n v="0"/>
    <n v="0"/>
    <x v="3"/>
    <x v="0"/>
    <n v="1"/>
    <x v="2"/>
    <s v="Below College"/>
    <x v="1"/>
    <x v="1"/>
  </r>
  <r>
    <n v="36"/>
    <s v="No"/>
    <x v="0"/>
    <n v="1266"/>
    <x v="0"/>
    <n v="10"/>
    <n v="4"/>
    <s v="Technical Degree"/>
    <n v="1880"/>
    <n v="2"/>
    <x v="0"/>
    <n v="63"/>
    <n v="2"/>
    <x v="0"/>
    <x v="0"/>
    <n v="3"/>
    <x v="1"/>
    <n v="5673"/>
    <n v="6060"/>
    <n v="1"/>
    <x v="0"/>
    <n v="13"/>
    <n v="3"/>
    <n v="1"/>
    <n v="1"/>
    <n v="10"/>
    <n v="4"/>
    <x v="1"/>
    <n v="10"/>
    <n v="9"/>
    <n v="1"/>
    <n v="7"/>
    <x v="0"/>
    <x v="2"/>
    <n v="0"/>
    <x v="1"/>
    <s v="Master"/>
    <x v="2"/>
    <x v="1"/>
  </r>
  <r>
    <n v="31"/>
    <s v="No"/>
    <x v="0"/>
    <n v="311"/>
    <x v="1"/>
    <n v="20"/>
    <n v="3"/>
    <s v="Life Sciences"/>
    <n v="1881"/>
    <n v="2"/>
    <x v="1"/>
    <n v="89"/>
    <n v="3"/>
    <x v="0"/>
    <x v="2"/>
    <n v="3"/>
    <x v="2"/>
    <n v="4197"/>
    <n v="18624"/>
    <n v="1"/>
    <x v="1"/>
    <n v="11"/>
    <n v="3"/>
    <n v="1"/>
    <n v="1"/>
    <n v="10"/>
    <n v="2"/>
    <x v="1"/>
    <n v="10"/>
    <n v="8"/>
    <n v="0"/>
    <n v="2"/>
    <x v="2"/>
    <x v="0"/>
    <n v="0"/>
    <x v="1"/>
    <s v="Bachelor"/>
    <x v="2"/>
    <x v="1"/>
  </r>
  <r>
    <n v="34"/>
    <s v="No"/>
    <x v="0"/>
    <n v="1480"/>
    <x v="0"/>
    <n v="4"/>
    <n v="3"/>
    <s v="Life Sciences"/>
    <n v="1882"/>
    <n v="3"/>
    <x v="1"/>
    <n v="64"/>
    <n v="3"/>
    <x v="2"/>
    <x v="0"/>
    <n v="4"/>
    <x v="1"/>
    <n v="9713"/>
    <n v="24444"/>
    <n v="2"/>
    <x v="0"/>
    <n v="13"/>
    <n v="3"/>
    <n v="4"/>
    <n v="3"/>
    <n v="9"/>
    <n v="3"/>
    <x v="1"/>
    <n v="5"/>
    <n v="3"/>
    <n v="1"/>
    <n v="0"/>
    <x v="2"/>
    <x v="0"/>
    <n v="0"/>
    <x v="2"/>
    <s v="Bachelor"/>
    <x v="0"/>
    <x v="1"/>
  </r>
  <r>
    <n v="29"/>
    <s v="No"/>
    <x v="0"/>
    <n v="592"/>
    <x v="1"/>
    <n v="7"/>
    <n v="3"/>
    <s v="Life Sciences"/>
    <n v="1883"/>
    <n v="4"/>
    <x v="1"/>
    <n v="59"/>
    <n v="3"/>
    <x v="1"/>
    <x v="2"/>
    <n v="1"/>
    <x v="0"/>
    <n v="2062"/>
    <n v="19384"/>
    <n v="3"/>
    <x v="1"/>
    <n v="14"/>
    <n v="3"/>
    <n v="2"/>
    <n v="0"/>
    <n v="11"/>
    <n v="2"/>
    <x v="1"/>
    <n v="3"/>
    <n v="2"/>
    <n v="1"/>
    <n v="2"/>
    <x v="2"/>
    <x v="0"/>
    <n v="0"/>
    <x v="2"/>
    <s v="Bachelor"/>
    <x v="3"/>
    <x v="1"/>
  </r>
  <r>
    <n v="37"/>
    <s v="No"/>
    <x v="0"/>
    <n v="783"/>
    <x v="1"/>
    <n v="7"/>
    <n v="4"/>
    <s v="Medical"/>
    <n v="1885"/>
    <n v="4"/>
    <x v="1"/>
    <n v="78"/>
    <n v="3"/>
    <x v="0"/>
    <x v="1"/>
    <n v="1"/>
    <x v="1"/>
    <n v="4284"/>
    <n v="13588"/>
    <n v="5"/>
    <x v="0"/>
    <n v="22"/>
    <n v="4"/>
    <n v="3"/>
    <n v="1"/>
    <n v="16"/>
    <n v="2"/>
    <x v="1"/>
    <n v="5"/>
    <n v="3"/>
    <n v="0"/>
    <n v="4"/>
    <x v="0"/>
    <x v="0"/>
    <n v="0"/>
    <x v="2"/>
    <s v="Master"/>
    <x v="3"/>
    <x v="1"/>
  </r>
  <r>
    <n v="35"/>
    <s v="No"/>
    <x v="0"/>
    <n v="219"/>
    <x v="1"/>
    <n v="16"/>
    <n v="2"/>
    <s v="Other"/>
    <n v="1886"/>
    <n v="4"/>
    <x v="0"/>
    <n v="44"/>
    <n v="2"/>
    <x v="0"/>
    <x v="3"/>
    <n v="2"/>
    <x v="1"/>
    <n v="4788"/>
    <n v="25388"/>
    <n v="0"/>
    <x v="0"/>
    <n v="11"/>
    <n v="3"/>
    <n v="4"/>
    <n v="0"/>
    <n v="4"/>
    <n v="2"/>
    <x v="1"/>
    <n v="3"/>
    <n v="2"/>
    <n v="0"/>
    <n v="2"/>
    <x v="2"/>
    <x v="0"/>
    <n v="0"/>
    <x v="2"/>
    <s v="College"/>
    <x v="1"/>
    <x v="1"/>
  </r>
  <r>
    <n v="45"/>
    <s v="No"/>
    <x v="0"/>
    <n v="556"/>
    <x v="1"/>
    <n v="25"/>
    <n v="2"/>
    <s v="Life Sciences"/>
    <n v="1888"/>
    <n v="2"/>
    <x v="0"/>
    <n v="93"/>
    <n v="2"/>
    <x v="0"/>
    <x v="3"/>
    <n v="4"/>
    <x v="1"/>
    <n v="5906"/>
    <n v="23888"/>
    <n v="0"/>
    <x v="1"/>
    <n v="13"/>
    <n v="3"/>
    <n v="4"/>
    <n v="2"/>
    <n v="10"/>
    <n v="2"/>
    <x v="2"/>
    <n v="9"/>
    <n v="8"/>
    <n v="3"/>
    <n v="8"/>
    <x v="0"/>
    <x v="0"/>
    <n v="0"/>
    <x v="0"/>
    <s v="College"/>
    <x v="0"/>
    <x v="2"/>
  </r>
  <r>
    <n v="36"/>
    <s v="No"/>
    <x v="1"/>
    <n v="1213"/>
    <x v="2"/>
    <n v="2"/>
    <n v="1"/>
    <s v="Human Resources"/>
    <n v="1890"/>
    <n v="2"/>
    <x v="1"/>
    <n v="94"/>
    <n v="2"/>
    <x v="0"/>
    <x v="8"/>
    <n v="4"/>
    <x v="0"/>
    <n v="3886"/>
    <n v="4223"/>
    <n v="1"/>
    <x v="1"/>
    <n v="21"/>
    <n v="4"/>
    <n v="4"/>
    <n v="0"/>
    <n v="10"/>
    <n v="2"/>
    <x v="2"/>
    <n v="10"/>
    <n v="1"/>
    <n v="0"/>
    <n v="8"/>
    <x v="0"/>
    <x v="3"/>
    <n v="0"/>
    <x v="0"/>
    <s v="Below College"/>
    <x v="0"/>
    <x v="2"/>
  </r>
  <r>
    <n v="40"/>
    <s v="No"/>
    <x v="0"/>
    <n v="1137"/>
    <x v="1"/>
    <n v="1"/>
    <n v="4"/>
    <s v="Life Sciences"/>
    <n v="1892"/>
    <n v="1"/>
    <x v="1"/>
    <n v="98"/>
    <n v="3"/>
    <x v="3"/>
    <x v="5"/>
    <n v="1"/>
    <x v="2"/>
    <n v="16823"/>
    <n v="18991"/>
    <n v="2"/>
    <x v="1"/>
    <n v="11"/>
    <n v="3"/>
    <n v="1"/>
    <n v="1"/>
    <n v="22"/>
    <n v="3"/>
    <x v="1"/>
    <n v="19"/>
    <n v="7"/>
    <n v="11"/>
    <n v="16"/>
    <x v="0"/>
    <x v="0"/>
    <n v="0"/>
    <x v="3"/>
    <s v="Master"/>
    <x v="3"/>
    <x v="1"/>
  </r>
  <r>
    <n v="26"/>
    <s v="No"/>
    <x v="0"/>
    <n v="482"/>
    <x v="1"/>
    <n v="1"/>
    <n v="2"/>
    <s v="Life Sciences"/>
    <n v="1893"/>
    <n v="2"/>
    <x v="0"/>
    <n v="90"/>
    <n v="2"/>
    <x v="1"/>
    <x v="1"/>
    <n v="3"/>
    <x v="1"/>
    <n v="2933"/>
    <n v="14908"/>
    <n v="1"/>
    <x v="0"/>
    <n v="13"/>
    <n v="3"/>
    <n v="3"/>
    <n v="1"/>
    <n v="1"/>
    <n v="3"/>
    <x v="2"/>
    <n v="1"/>
    <n v="0"/>
    <n v="1"/>
    <n v="0"/>
    <x v="2"/>
    <x v="0"/>
    <n v="0"/>
    <x v="0"/>
    <s v="College"/>
    <x v="2"/>
    <x v="2"/>
  </r>
  <r>
    <n v="27"/>
    <s v="No"/>
    <x v="0"/>
    <n v="511"/>
    <x v="0"/>
    <n v="2"/>
    <n v="2"/>
    <s v="Medical"/>
    <n v="1898"/>
    <n v="1"/>
    <x v="0"/>
    <n v="89"/>
    <n v="4"/>
    <x v="0"/>
    <x v="0"/>
    <n v="3"/>
    <x v="0"/>
    <n v="6500"/>
    <n v="26997"/>
    <n v="0"/>
    <x v="1"/>
    <n v="14"/>
    <n v="3"/>
    <n v="2"/>
    <n v="0"/>
    <n v="9"/>
    <n v="5"/>
    <x v="2"/>
    <n v="8"/>
    <n v="7"/>
    <n v="0"/>
    <n v="7"/>
    <x v="2"/>
    <x v="0"/>
    <n v="0"/>
    <x v="0"/>
    <s v="College"/>
    <x v="2"/>
    <x v="2"/>
  </r>
  <r>
    <n v="48"/>
    <s v="No"/>
    <x v="1"/>
    <n v="117"/>
    <x v="1"/>
    <n v="22"/>
    <n v="3"/>
    <s v="Medical"/>
    <n v="1900"/>
    <n v="4"/>
    <x v="0"/>
    <n v="58"/>
    <n v="3"/>
    <x v="3"/>
    <x v="5"/>
    <n v="4"/>
    <x v="2"/>
    <n v="17174"/>
    <n v="2437"/>
    <n v="3"/>
    <x v="1"/>
    <n v="11"/>
    <n v="3"/>
    <n v="2"/>
    <n v="1"/>
    <n v="24"/>
    <n v="3"/>
    <x v="1"/>
    <n v="22"/>
    <n v="17"/>
    <n v="4"/>
    <n v="7"/>
    <x v="1"/>
    <x v="1"/>
    <n v="0"/>
    <x v="3"/>
    <s v="Bachelor"/>
    <x v="0"/>
    <x v="1"/>
  </r>
  <r>
    <n v="44"/>
    <s v="No"/>
    <x v="0"/>
    <n v="170"/>
    <x v="1"/>
    <n v="1"/>
    <n v="4"/>
    <s v="Life Sciences"/>
    <n v="1903"/>
    <n v="2"/>
    <x v="1"/>
    <n v="78"/>
    <n v="4"/>
    <x v="0"/>
    <x v="4"/>
    <n v="1"/>
    <x v="1"/>
    <n v="5033"/>
    <n v="9364"/>
    <n v="2"/>
    <x v="1"/>
    <n v="15"/>
    <n v="3"/>
    <n v="4"/>
    <n v="1"/>
    <n v="10"/>
    <n v="5"/>
    <x v="1"/>
    <n v="2"/>
    <n v="0"/>
    <n v="2"/>
    <n v="2"/>
    <x v="0"/>
    <x v="2"/>
    <n v="0"/>
    <x v="2"/>
    <s v="Master"/>
    <x v="3"/>
    <x v="1"/>
  </r>
  <r>
    <n v="34"/>
    <s v="Yes"/>
    <x v="2"/>
    <n v="967"/>
    <x v="1"/>
    <n v="16"/>
    <n v="4"/>
    <s v="Technical Degree"/>
    <n v="1905"/>
    <n v="4"/>
    <x v="1"/>
    <n v="85"/>
    <n v="1"/>
    <x v="1"/>
    <x v="1"/>
    <n v="1"/>
    <x v="1"/>
    <n v="2307"/>
    <n v="14460"/>
    <n v="1"/>
    <x v="0"/>
    <n v="23"/>
    <n v="4"/>
    <n v="2"/>
    <n v="1"/>
    <n v="5"/>
    <n v="2"/>
    <x v="1"/>
    <n v="5"/>
    <n v="2"/>
    <n v="3"/>
    <n v="0"/>
    <x v="2"/>
    <x v="0"/>
    <n v="1"/>
    <x v="2"/>
    <s v="Master"/>
    <x v="3"/>
    <x v="1"/>
  </r>
  <r>
    <n v="56"/>
    <s v="Yes"/>
    <x v="0"/>
    <n v="1162"/>
    <x v="1"/>
    <n v="24"/>
    <n v="2"/>
    <s v="Life Sciences"/>
    <n v="1907"/>
    <n v="1"/>
    <x v="1"/>
    <n v="97"/>
    <n v="3"/>
    <x v="1"/>
    <x v="2"/>
    <n v="4"/>
    <x v="0"/>
    <n v="2587"/>
    <n v="10261"/>
    <n v="1"/>
    <x v="1"/>
    <n v="16"/>
    <n v="3"/>
    <n v="4"/>
    <n v="0"/>
    <n v="5"/>
    <n v="3"/>
    <x v="1"/>
    <n v="4"/>
    <n v="2"/>
    <n v="1"/>
    <n v="0"/>
    <x v="1"/>
    <x v="0"/>
    <n v="1"/>
    <x v="2"/>
    <s v="College"/>
    <x v="0"/>
    <x v="1"/>
  </r>
  <r>
    <n v="36"/>
    <s v="No"/>
    <x v="0"/>
    <n v="335"/>
    <x v="0"/>
    <n v="17"/>
    <n v="2"/>
    <s v="Marketing"/>
    <n v="1908"/>
    <n v="3"/>
    <x v="1"/>
    <n v="33"/>
    <n v="2"/>
    <x v="0"/>
    <x v="0"/>
    <n v="2"/>
    <x v="1"/>
    <n v="5507"/>
    <n v="16822"/>
    <n v="2"/>
    <x v="1"/>
    <n v="16"/>
    <n v="3"/>
    <n v="3"/>
    <n v="2"/>
    <n v="12"/>
    <n v="1"/>
    <x v="0"/>
    <n v="4"/>
    <n v="2"/>
    <n v="1"/>
    <n v="3"/>
    <x v="0"/>
    <x v="0"/>
    <n v="0"/>
    <x v="0"/>
    <s v="College"/>
    <x v="1"/>
    <x v="0"/>
  </r>
  <r>
    <n v="41"/>
    <s v="No"/>
    <x v="0"/>
    <n v="337"/>
    <x v="0"/>
    <n v="8"/>
    <n v="3"/>
    <s v="Marketing"/>
    <n v="1909"/>
    <n v="3"/>
    <x v="0"/>
    <n v="54"/>
    <n v="3"/>
    <x v="0"/>
    <x v="0"/>
    <n v="2"/>
    <x v="1"/>
    <n v="4393"/>
    <n v="26841"/>
    <n v="5"/>
    <x v="1"/>
    <n v="21"/>
    <n v="4"/>
    <n v="3"/>
    <n v="1"/>
    <n v="14"/>
    <n v="3"/>
    <x v="1"/>
    <n v="5"/>
    <n v="4"/>
    <n v="1"/>
    <n v="4"/>
    <x v="0"/>
    <x v="0"/>
    <n v="0"/>
    <x v="2"/>
    <s v="Bachelor"/>
    <x v="1"/>
    <x v="1"/>
  </r>
  <r>
    <n v="42"/>
    <s v="No"/>
    <x v="0"/>
    <n v="1396"/>
    <x v="1"/>
    <n v="6"/>
    <n v="3"/>
    <s v="Medical"/>
    <n v="1911"/>
    <n v="3"/>
    <x v="1"/>
    <n v="83"/>
    <n v="3"/>
    <x v="2"/>
    <x v="7"/>
    <n v="1"/>
    <x v="1"/>
    <n v="13348"/>
    <n v="14842"/>
    <n v="9"/>
    <x v="1"/>
    <n v="13"/>
    <n v="3"/>
    <n v="2"/>
    <n v="1"/>
    <n v="18"/>
    <n v="3"/>
    <x v="3"/>
    <n v="13"/>
    <n v="7"/>
    <n v="5"/>
    <n v="7"/>
    <x v="0"/>
    <x v="0"/>
    <n v="0"/>
    <x v="3"/>
    <s v="Bachelor"/>
    <x v="3"/>
    <x v="3"/>
  </r>
  <r>
    <n v="31"/>
    <s v="No"/>
    <x v="0"/>
    <n v="1079"/>
    <x v="0"/>
    <n v="10"/>
    <n v="2"/>
    <s v="Medical"/>
    <n v="1912"/>
    <n v="3"/>
    <x v="0"/>
    <n v="86"/>
    <n v="3"/>
    <x v="0"/>
    <x v="0"/>
    <n v="4"/>
    <x v="2"/>
    <n v="6583"/>
    <n v="20115"/>
    <n v="2"/>
    <x v="0"/>
    <n v="11"/>
    <n v="3"/>
    <n v="4"/>
    <n v="1"/>
    <n v="8"/>
    <n v="2"/>
    <x v="1"/>
    <n v="5"/>
    <n v="2"/>
    <n v="1"/>
    <n v="4"/>
    <x v="2"/>
    <x v="0"/>
    <n v="0"/>
    <x v="2"/>
    <s v="College"/>
    <x v="0"/>
    <x v="1"/>
  </r>
  <r>
    <n v="34"/>
    <s v="No"/>
    <x v="0"/>
    <n v="735"/>
    <x v="0"/>
    <n v="3"/>
    <n v="1"/>
    <s v="Medical"/>
    <n v="1915"/>
    <n v="4"/>
    <x v="0"/>
    <n v="75"/>
    <n v="2"/>
    <x v="0"/>
    <x v="0"/>
    <n v="4"/>
    <x v="1"/>
    <n v="8103"/>
    <n v="16495"/>
    <n v="3"/>
    <x v="0"/>
    <n v="12"/>
    <n v="3"/>
    <n v="3"/>
    <n v="0"/>
    <n v="9"/>
    <n v="3"/>
    <x v="2"/>
    <n v="4"/>
    <n v="2"/>
    <n v="0"/>
    <n v="1"/>
    <x v="2"/>
    <x v="0"/>
    <n v="0"/>
    <x v="0"/>
    <s v="Below College"/>
    <x v="0"/>
    <x v="2"/>
  </r>
  <r>
    <n v="31"/>
    <s v="No"/>
    <x v="0"/>
    <n v="471"/>
    <x v="1"/>
    <n v="4"/>
    <n v="3"/>
    <s v="Medical"/>
    <n v="1916"/>
    <n v="1"/>
    <x v="0"/>
    <n v="62"/>
    <n v="4"/>
    <x v="1"/>
    <x v="2"/>
    <n v="3"/>
    <x v="2"/>
    <n v="3978"/>
    <n v="16031"/>
    <n v="8"/>
    <x v="1"/>
    <n v="12"/>
    <n v="3"/>
    <n v="2"/>
    <n v="1"/>
    <n v="4"/>
    <n v="0"/>
    <x v="2"/>
    <n v="2"/>
    <n v="2"/>
    <n v="2"/>
    <n v="2"/>
    <x v="2"/>
    <x v="0"/>
    <n v="0"/>
    <x v="0"/>
    <s v="Bachelor"/>
    <x v="2"/>
    <x v="2"/>
  </r>
  <r>
    <n v="26"/>
    <s v="No"/>
    <x v="1"/>
    <n v="1096"/>
    <x v="1"/>
    <n v="6"/>
    <n v="3"/>
    <s v="Other"/>
    <n v="1918"/>
    <n v="3"/>
    <x v="1"/>
    <n v="61"/>
    <n v="4"/>
    <x v="1"/>
    <x v="2"/>
    <n v="4"/>
    <x v="1"/>
    <n v="2544"/>
    <n v="7102"/>
    <n v="0"/>
    <x v="1"/>
    <n v="18"/>
    <n v="3"/>
    <n v="1"/>
    <n v="1"/>
    <n v="8"/>
    <n v="3"/>
    <x v="1"/>
    <n v="7"/>
    <n v="7"/>
    <n v="7"/>
    <n v="7"/>
    <x v="2"/>
    <x v="2"/>
    <n v="0"/>
    <x v="1"/>
    <s v="Bachelor"/>
    <x v="0"/>
    <x v="1"/>
  </r>
  <r>
    <n v="45"/>
    <s v="No"/>
    <x v="1"/>
    <n v="1297"/>
    <x v="1"/>
    <n v="1"/>
    <n v="4"/>
    <s v="Medical"/>
    <n v="1922"/>
    <n v="2"/>
    <x v="1"/>
    <n v="44"/>
    <n v="3"/>
    <x v="0"/>
    <x v="4"/>
    <n v="3"/>
    <x v="0"/>
    <n v="5399"/>
    <n v="14511"/>
    <n v="4"/>
    <x v="1"/>
    <n v="12"/>
    <n v="3"/>
    <n v="3"/>
    <n v="0"/>
    <n v="12"/>
    <n v="3"/>
    <x v="1"/>
    <n v="4"/>
    <n v="2"/>
    <n v="0"/>
    <n v="3"/>
    <x v="0"/>
    <x v="0"/>
    <n v="0"/>
    <x v="2"/>
    <s v="Master"/>
    <x v="2"/>
    <x v="1"/>
  </r>
  <r>
    <n v="33"/>
    <s v="No"/>
    <x v="0"/>
    <n v="217"/>
    <x v="0"/>
    <n v="10"/>
    <n v="4"/>
    <s v="Marketing"/>
    <n v="1924"/>
    <n v="2"/>
    <x v="1"/>
    <n v="43"/>
    <n v="3"/>
    <x v="0"/>
    <x v="0"/>
    <n v="3"/>
    <x v="0"/>
    <n v="5487"/>
    <n v="10410"/>
    <n v="1"/>
    <x v="1"/>
    <n v="14"/>
    <n v="3"/>
    <n v="2"/>
    <n v="0"/>
    <n v="10"/>
    <n v="2"/>
    <x v="2"/>
    <n v="10"/>
    <n v="4"/>
    <n v="0"/>
    <n v="9"/>
    <x v="2"/>
    <x v="0"/>
    <n v="0"/>
    <x v="0"/>
    <s v="Master"/>
    <x v="2"/>
    <x v="2"/>
  </r>
  <r>
    <n v="28"/>
    <s v="No"/>
    <x v="1"/>
    <n v="783"/>
    <x v="0"/>
    <n v="1"/>
    <n v="2"/>
    <s v="Life Sciences"/>
    <n v="1927"/>
    <n v="3"/>
    <x v="1"/>
    <n v="42"/>
    <n v="2"/>
    <x v="0"/>
    <x v="0"/>
    <n v="4"/>
    <x v="1"/>
    <n v="6834"/>
    <n v="19255"/>
    <n v="1"/>
    <x v="0"/>
    <n v="12"/>
    <n v="3"/>
    <n v="3"/>
    <n v="1"/>
    <n v="7"/>
    <n v="2"/>
    <x v="1"/>
    <n v="7"/>
    <n v="7"/>
    <n v="0"/>
    <n v="7"/>
    <x v="2"/>
    <x v="0"/>
    <n v="0"/>
    <x v="1"/>
    <s v="College"/>
    <x v="0"/>
    <x v="1"/>
  </r>
  <r>
    <n v="29"/>
    <s v="Yes"/>
    <x v="1"/>
    <n v="746"/>
    <x v="0"/>
    <n v="24"/>
    <n v="3"/>
    <s v="Technical Degree"/>
    <n v="1928"/>
    <n v="3"/>
    <x v="1"/>
    <n v="45"/>
    <n v="4"/>
    <x v="1"/>
    <x v="6"/>
    <n v="1"/>
    <x v="0"/>
    <n v="1091"/>
    <n v="10642"/>
    <n v="1"/>
    <x v="1"/>
    <n v="17"/>
    <n v="3"/>
    <n v="4"/>
    <n v="0"/>
    <n v="1"/>
    <n v="3"/>
    <x v="1"/>
    <n v="1"/>
    <n v="0"/>
    <n v="0"/>
    <n v="0"/>
    <x v="2"/>
    <x v="0"/>
    <n v="1"/>
    <x v="2"/>
    <s v="Bachelor"/>
    <x v="3"/>
    <x v="1"/>
  </r>
  <r>
    <n v="39"/>
    <s v="No"/>
    <x v="2"/>
    <n v="1251"/>
    <x v="0"/>
    <n v="21"/>
    <n v="4"/>
    <s v="Life Sciences"/>
    <n v="1929"/>
    <n v="1"/>
    <x v="0"/>
    <n v="32"/>
    <n v="1"/>
    <x v="0"/>
    <x v="0"/>
    <n v="3"/>
    <x v="1"/>
    <n v="5736"/>
    <n v="3987"/>
    <n v="6"/>
    <x v="1"/>
    <n v="19"/>
    <n v="3"/>
    <n v="3"/>
    <n v="1"/>
    <n v="10"/>
    <n v="1"/>
    <x v="1"/>
    <n v="3"/>
    <n v="2"/>
    <n v="1"/>
    <n v="2"/>
    <x v="0"/>
    <x v="3"/>
    <n v="0"/>
    <x v="2"/>
    <s v="Master"/>
    <x v="2"/>
    <x v="1"/>
  </r>
  <r>
    <n v="27"/>
    <s v="No"/>
    <x v="0"/>
    <n v="1354"/>
    <x v="1"/>
    <n v="2"/>
    <n v="4"/>
    <s v="Technical Degree"/>
    <n v="1931"/>
    <n v="2"/>
    <x v="1"/>
    <n v="41"/>
    <n v="3"/>
    <x v="1"/>
    <x v="1"/>
    <n v="2"/>
    <x v="1"/>
    <n v="2226"/>
    <n v="6073"/>
    <n v="1"/>
    <x v="1"/>
    <n v="11"/>
    <n v="3"/>
    <n v="3"/>
    <n v="1"/>
    <n v="6"/>
    <n v="3"/>
    <x v="2"/>
    <n v="5"/>
    <n v="3"/>
    <n v="1"/>
    <n v="2"/>
    <x v="2"/>
    <x v="2"/>
    <n v="0"/>
    <x v="0"/>
    <s v="Master"/>
    <x v="1"/>
    <x v="2"/>
  </r>
  <r>
    <n v="34"/>
    <s v="No"/>
    <x v="1"/>
    <n v="735"/>
    <x v="1"/>
    <n v="22"/>
    <n v="4"/>
    <s v="Other"/>
    <n v="1932"/>
    <n v="3"/>
    <x v="1"/>
    <n v="86"/>
    <n v="2"/>
    <x v="0"/>
    <x v="1"/>
    <n v="4"/>
    <x v="1"/>
    <n v="5747"/>
    <n v="26496"/>
    <n v="1"/>
    <x v="0"/>
    <n v="15"/>
    <n v="3"/>
    <n v="2"/>
    <n v="0"/>
    <n v="16"/>
    <n v="3"/>
    <x v="1"/>
    <n v="15"/>
    <n v="10"/>
    <n v="6"/>
    <n v="11"/>
    <x v="2"/>
    <x v="0"/>
    <n v="0"/>
    <x v="3"/>
    <s v="Master"/>
    <x v="0"/>
    <x v="1"/>
  </r>
  <r>
    <n v="28"/>
    <s v="Yes"/>
    <x v="0"/>
    <n v="1475"/>
    <x v="0"/>
    <n v="13"/>
    <n v="2"/>
    <s v="Marketing"/>
    <n v="1933"/>
    <n v="4"/>
    <x v="0"/>
    <n v="84"/>
    <n v="3"/>
    <x v="0"/>
    <x v="0"/>
    <n v="3"/>
    <x v="0"/>
    <n v="9854"/>
    <n v="23352"/>
    <n v="3"/>
    <x v="0"/>
    <n v="11"/>
    <n v="3"/>
    <n v="4"/>
    <n v="0"/>
    <n v="6"/>
    <n v="0"/>
    <x v="1"/>
    <n v="2"/>
    <n v="0"/>
    <n v="2"/>
    <n v="2"/>
    <x v="2"/>
    <x v="0"/>
    <n v="1"/>
    <x v="2"/>
    <s v="College"/>
    <x v="2"/>
    <x v="1"/>
  </r>
  <r>
    <n v="47"/>
    <s v="No"/>
    <x v="2"/>
    <n v="1169"/>
    <x v="1"/>
    <n v="14"/>
    <n v="4"/>
    <s v="Technical Degree"/>
    <n v="1934"/>
    <n v="3"/>
    <x v="1"/>
    <n v="64"/>
    <n v="3"/>
    <x v="0"/>
    <x v="1"/>
    <n v="2"/>
    <x v="1"/>
    <n v="5467"/>
    <n v="2125"/>
    <n v="8"/>
    <x v="1"/>
    <n v="18"/>
    <n v="3"/>
    <n v="3"/>
    <n v="1"/>
    <n v="16"/>
    <n v="4"/>
    <x v="3"/>
    <n v="8"/>
    <n v="7"/>
    <n v="1"/>
    <n v="7"/>
    <x v="1"/>
    <x v="1"/>
    <n v="0"/>
    <x v="1"/>
    <s v="Master"/>
    <x v="1"/>
    <x v="3"/>
  </r>
  <r>
    <n v="56"/>
    <s v="No"/>
    <x v="0"/>
    <n v="1443"/>
    <x v="0"/>
    <n v="11"/>
    <n v="5"/>
    <s v="Marketing"/>
    <n v="1935"/>
    <n v="4"/>
    <x v="0"/>
    <n v="89"/>
    <n v="2"/>
    <x v="0"/>
    <x v="0"/>
    <n v="1"/>
    <x v="1"/>
    <n v="5380"/>
    <n v="20328"/>
    <n v="4"/>
    <x v="1"/>
    <n v="16"/>
    <n v="3"/>
    <n v="3"/>
    <n v="1"/>
    <n v="6"/>
    <n v="3"/>
    <x v="1"/>
    <n v="0"/>
    <n v="0"/>
    <n v="0"/>
    <n v="0"/>
    <x v="1"/>
    <x v="0"/>
    <n v="0"/>
    <x v="2"/>
    <s v="Doctor"/>
    <x v="3"/>
    <x v="1"/>
  </r>
  <r>
    <n v="39"/>
    <s v="No"/>
    <x v="0"/>
    <n v="867"/>
    <x v="1"/>
    <n v="9"/>
    <n v="2"/>
    <s v="Medical"/>
    <n v="1936"/>
    <n v="1"/>
    <x v="1"/>
    <n v="87"/>
    <n v="3"/>
    <x v="0"/>
    <x v="3"/>
    <n v="1"/>
    <x v="1"/>
    <n v="5151"/>
    <n v="12315"/>
    <n v="1"/>
    <x v="1"/>
    <n v="25"/>
    <n v="4"/>
    <n v="4"/>
    <n v="1"/>
    <n v="10"/>
    <n v="3"/>
    <x v="1"/>
    <n v="10"/>
    <n v="0"/>
    <n v="7"/>
    <n v="9"/>
    <x v="0"/>
    <x v="0"/>
    <n v="0"/>
    <x v="1"/>
    <s v="College"/>
    <x v="3"/>
    <x v="1"/>
  </r>
  <r>
    <n v="38"/>
    <s v="No"/>
    <x v="1"/>
    <n v="1394"/>
    <x v="1"/>
    <n v="8"/>
    <n v="3"/>
    <s v="Medical"/>
    <n v="1937"/>
    <n v="4"/>
    <x v="0"/>
    <n v="58"/>
    <n v="2"/>
    <x v="0"/>
    <x v="1"/>
    <n v="2"/>
    <x v="2"/>
    <n v="2133"/>
    <n v="18115"/>
    <n v="1"/>
    <x v="0"/>
    <n v="16"/>
    <n v="3"/>
    <n v="3"/>
    <n v="1"/>
    <n v="20"/>
    <n v="3"/>
    <x v="1"/>
    <n v="20"/>
    <n v="11"/>
    <n v="0"/>
    <n v="7"/>
    <x v="0"/>
    <x v="0"/>
    <n v="0"/>
    <x v="3"/>
    <s v="Bachelor"/>
    <x v="1"/>
    <x v="1"/>
  </r>
  <r>
    <n v="58"/>
    <s v="No"/>
    <x v="0"/>
    <n v="605"/>
    <x v="0"/>
    <n v="21"/>
    <n v="3"/>
    <s v="Life Sciences"/>
    <n v="1938"/>
    <n v="4"/>
    <x v="0"/>
    <n v="72"/>
    <n v="3"/>
    <x v="3"/>
    <x v="5"/>
    <n v="4"/>
    <x v="1"/>
    <n v="17875"/>
    <n v="11761"/>
    <n v="4"/>
    <x v="0"/>
    <n v="13"/>
    <n v="3"/>
    <n v="3"/>
    <n v="1"/>
    <n v="29"/>
    <n v="2"/>
    <x v="2"/>
    <n v="1"/>
    <n v="0"/>
    <n v="0"/>
    <n v="0"/>
    <x v="1"/>
    <x v="0"/>
    <n v="0"/>
    <x v="0"/>
    <s v="Bachelor"/>
    <x v="0"/>
    <x v="2"/>
  </r>
  <r>
    <n v="32"/>
    <s v="Yes"/>
    <x v="1"/>
    <n v="238"/>
    <x v="1"/>
    <n v="5"/>
    <n v="2"/>
    <s v="Life Sciences"/>
    <n v="1939"/>
    <n v="1"/>
    <x v="0"/>
    <n v="47"/>
    <n v="4"/>
    <x v="1"/>
    <x v="1"/>
    <n v="3"/>
    <x v="0"/>
    <n v="2432"/>
    <n v="15318"/>
    <n v="3"/>
    <x v="0"/>
    <n v="14"/>
    <n v="3"/>
    <n v="1"/>
    <n v="0"/>
    <n v="8"/>
    <n v="2"/>
    <x v="1"/>
    <n v="4"/>
    <n v="1"/>
    <n v="0"/>
    <n v="3"/>
    <x v="2"/>
    <x v="0"/>
    <n v="1"/>
    <x v="2"/>
    <s v="College"/>
    <x v="2"/>
    <x v="1"/>
  </r>
  <r>
    <n v="38"/>
    <s v="No"/>
    <x v="0"/>
    <n v="1206"/>
    <x v="1"/>
    <n v="9"/>
    <n v="2"/>
    <s v="Life Sciences"/>
    <n v="1940"/>
    <n v="2"/>
    <x v="1"/>
    <n v="71"/>
    <n v="3"/>
    <x v="1"/>
    <x v="1"/>
    <n v="4"/>
    <x v="2"/>
    <n v="4771"/>
    <n v="14293"/>
    <n v="2"/>
    <x v="1"/>
    <n v="19"/>
    <n v="3"/>
    <n v="4"/>
    <n v="2"/>
    <n v="10"/>
    <n v="0"/>
    <x v="3"/>
    <n v="5"/>
    <n v="2"/>
    <n v="0"/>
    <n v="3"/>
    <x v="0"/>
    <x v="0"/>
    <n v="0"/>
    <x v="2"/>
    <s v="College"/>
    <x v="0"/>
    <x v="3"/>
  </r>
  <r>
    <n v="49"/>
    <s v="No"/>
    <x v="1"/>
    <n v="1064"/>
    <x v="1"/>
    <n v="2"/>
    <n v="1"/>
    <s v="Life Sciences"/>
    <n v="1941"/>
    <n v="2"/>
    <x v="1"/>
    <n v="42"/>
    <n v="3"/>
    <x v="4"/>
    <x v="7"/>
    <n v="4"/>
    <x v="1"/>
    <n v="19161"/>
    <n v="13738"/>
    <n v="3"/>
    <x v="1"/>
    <n v="15"/>
    <n v="3"/>
    <n v="4"/>
    <n v="0"/>
    <n v="28"/>
    <n v="3"/>
    <x v="1"/>
    <n v="5"/>
    <n v="4"/>
    <n v="4"/>
    <n v="3"/>
    <x v="1"/>
    <x v="0"/>
    <n v="0"/>
    <x v="2"/>
    <s v="Below College"/>
    <x v="0"/>
    <x v="1"/>
  </r>
  <r>
    <n v="42"/>
    <s v="No"/>
    <x v="0"/>
    <n v="419"/>
    <x v="0"/>
    <n v="12"/>
    <n v="4"/>
    <s v="Marketing"/>
    <n v="1943"/>
    <n v="2"/>
    <x v="1"/>
    <n v="77"/>
    <n v="3"/>
    <x v="0"/>
    <x v="0"/>
    <n v="4"/>
    <x v="2"/>
    <n v="5087"/>
    <n v="2900"/>
    <n v="3"/>
    <x v="0"/>
    <n v="12"/>
    <n v="3"/>
    <n v="3"/>
    <n v="2"/>
    <n v="14"/>
    <n v="4"/>
    <x v="1"/>
    <n v="0"/>
    <n v="0"/>
    <n v="0"/>
    <n v="0"/>
    <x v="0"/>
    <x v="1"/>
    <n v="0"/>
    <x v="2"/>
    <s v="Master"/>
    <x v="0"/>
    <x v="1"/>
  </r>
  <r>
    <n v="27"/>
    <s v="Yes"/>
    <x v="1"/>
    <n v="1337"/>
    <x v="2"/>
    <n v="22"/>
    <n v="3"/>
    <s v="Human Resources"/>
    <n v="1944"/>
    <n v="1"/>
    <x v="0"/>
    <n v="58"/>
    <n v="2"/>
    <x v="1"/>
    <x v="8"/>
    <n v="2"/>
    <x v="1"/>
    <n v="2863"/>
    <n v="19555"/>
    <n v="1"/>
    <x v="1"/>
    <n v="12"/>
    <n v="3"/>
    <n v="1"/>
    <n v="0"/>
    <n v="1"/>
    <n v="2"/>
    <x v="1"/>
    <n v="1"/>
    <n v="0"/>
    <n v="0"/>
    <n v="0"/>
    <x v="2"/>
    <x v="0"/>
    <n v="1"/>
    <x v="2"/>
    <s v="Bachelor"/>
    <x v="1"/>
    <x v="1"/>
  </r>
  <r>
    <n v="35"/>
    <s v="No"/>
    <x v="0"/>
    <n v="682"/>
    <x v="0"/>
    <n v="18"/>
    <n v="4"/>
    <s v="Medical"/>
    <n v="1945"/>
    <n v="2"/>
    <x v="1"/>
    <n v="71"/>
    <n v="3"/>
    <x v="0"/>
    <x v="0"/>
    <n v="1"/>
    <x v="1"/>
    <n v="5561"/>
    <n v="15975"/>
    <n v="0"/>
    <x v="1"/>
    <n v="16"/>
    <n v="3"/>
    <n v="4"/>
    <n v="1"/>
    <n v="6"/>
    <n v="2"/>
    <x v="0"/>
    <n v="5"/>
    <n v="3"/>
    <n v="0"/>
    <n v="4"/>
    <x v="2"/>
    <x v="0"/>
    <n v="0"/>
    <x v="0"/>
    <s v="Master"/>
    <x v="3"/>
    <x v="0"/>
  </r>
  <r>
    <n v="28"/>
    <s v="No"/>
    <x v="2"/>
    <n v="1103"/>
    <x v="1"/>
    <n v="16"/>
    <n v="3"/>
    <s v="Medical"/>
    <n v="1947"/>
    <n v="3"/>
    <x v="1"/>
    <n v="49"/>
    <n v="3"/>
    <x v="1"/>
    <x v="1"/>
    <n v="3"/>
    <x v="0"/>
    <n v="2144"/>
    <n v="2122"/>
    <n v="1"/>
    <x v="1"/>
    <n v="14"/>
    <n v="3"/>
    <n v="3"/>
    <n v="0"/>
    <n v="5"/>
    <n v="3"/>
    <x v="2"/>
    <n v="5"/>
    <n v="3"/>
    <n v="1"/>
    <n v="4"/>
    <x v="2"/>
    <x v="1"/>
    <n v="0"/>
    <x v="0"/>
    <s v="Bachelor"/>
    <x v="2"/>
    <x v="2"/>
  </r>
  <r>
    <n v="31"/>
    <s v="No"/>
    <x v="2"/>
    <n v="976"/>
    <x v="1"/>
    <n v="3"/>
    <n v="2"/>
    <s v="Medical"/>
    <n v="1948"/>
    <n v="3"/>
    <x v="1"/>
    <n v="48"/>
    <n v="3"/>
    <x v="1"/>
    <x v="1"/>
    <n v="1"/>
    <x v="2"/>
    <n v="3065"/>
    <n v="3995"/>
    <n v="1"/>
    <x v="0"/>
    <n v="13"/>
    <n v="3"/>
    <n v="4"/>
    <n v="1"/>
    <n v="4"/>
    <n v="3"/>
    <x v="3"/>
    <n v="4"/>
    <n v="2"/>
    <n v="2"/>
    <n v="3"/>
    <x v="2"/>
    <x v="3"/>
    <n v="0"/>
    <x v="2"/>
    <s v="College"/>
    <x v="3"/>
    <x v="3"/>
  </r>
  <r>
    <n v="36"/>
    <s v="No"/>
    <x v="2"/>
    <n v="1351"/>
    <x v="1"/>
    <n v="9"/>
    <n v="4"/>
    <s v="Life Sciences"/>
    <n v="1949"/>
    <n v="1"/>
    <x v="1"/>
    <n v="66"/>
    <n v="4"/>
    <x v="1"/>
    <x v="2"/>
    <n v="2"/>
    <x v="1"/>
    <n v="2810"/>
    <n v="9238"/>
    <n v="1"/>
    <x v="1"/>
    <n v="22"/>
    <n v="4"/>
    <n v="2"/>
    <n v="0"/>
    <n v="5"/>
    <n v="3"/>
    <x v="1"/>
    <n v="5"/>
    <n v="4"/>
    <n v="0"/>
    <n v="2"/>
    <x v="0"/>
    <x v="2"/>
    <n v="0"/>
    <x v="2"/>
    <s v="Master"/>
    <x v="1"/>
    <x v="1"/>
  </r>
  <r>
    <n v="34"/>
    <s v="No"/>
    <x v="0"/>
    <n v="937"/>
    <x v="0"/>
    <n v="1"/>
    <n v="3"/>
    <s v="Marketing"/>
    <n v="1950"/>
    <n v="1"/>
    <x v="1"/>
    <n v="32"/>
    <n v="3"/>
    <x v="2"/>
    <x v="0"/>
    <n v="4"/>
    <x v="0"/>
    <n v="9888"/>
    <n v="6770"/>
    <n v="1"/>
    <x v="1"/>
    <n v="21"/>
    <n v="4"/>
    <n v="1"/>
    <n v="0"/>
    <n v="14"/>
    <n v="3"/>
    <x v="2"/>
    <n v="14"/>
    <n v="8"/>
    <n v="2"/>
    <n v="1"/>
    <x v="2"/>
    <x v="2"/>
    <n v="0"/>
    <x v="0"/>
    <s v="Bachelor"/>
    <x v="0"/>
    <x v="2"/>
  </r>
  <r>
    <n v="34"/>
    <s v="No"/>
    <x v="0"/>
    <n v="1239"/>
    <x v="0"/>
    <n v="13"/>
    <n v="4"/>
    <s v="Medical"/>
    <n v="1951"/>
    <n v="4"/>
    <x v="1"/>
    <n v="39"/>
    <n v="3"/>
    <x v="2"/>
    <x v="0"/>
    <n v="3"/>
    <x v="2"/>
    <n v="8628"/>
    <n v="22914"/>
    <n v="1"/>
    <x v="1"/>
    <n v="18"/>
    <n v="3"/>
    <n v="3"/>
    <n v="1"/>
    <n v="9"/>
    <n v="2"/>
    <x v="2"/>
    <n v="8"/>
    <n v="7"/>
    <n v="1"/>
    <n v="1"/>
    <x v="2"/>
    <x v="0"/>
    <n v="0"/>
    <x v="0"/>
    <s v="Master"/>
    <x v="2"/>
    <x v="2"/>
  </r>
  <r>
    <n v="26"/>
    <s v="No"/>
    <x v="0"/>
    <n v="157"/>
    <x v="1"/>
    <n v="1"/>
    <n v="3"/>
    <s v="Medical"/>
    <n v="1952"/>
    <n v="3"/>
    <x v="1"/>
    <n v="95"/>
    <n v="3"/>
    <x v="1"/>
    <x v="2"/>
    <n v="1"/>
    <x v="0"/>
    <n v="2867"/>
    <n v="20006"/>
    <n v="0"/>
    <x v="1"/>
    <n v="13"/>
    <n v="3"/>
    <n v="4"/>
    <n v="0"/>
    <n v="8"/>
    <n v="6"/>
    <x v="2"/>
    <n v="7"/>
    <n v="7"/>
    <n v="7"/>
    <n v="6"/>
    <x v="2"/>
    <x v="0"/>
    <n v="0"/>
    <x v="0"/>
    <s v="Bachelor"/>
    <x v="3"/>
    <x v="2"/>
  </r>
  <r>
    <n v="29"/>
    <s v="No"/>
    <x v="0"/>
    <n v="136"/>
    <x v="1"/>
    <n v="1"/>
    <n v="3"/>
    <s v="Life Sciences"/>
    <n v="1954"/>
    <n v="1"/>
    <x v="1"/>
    <n v="89"/>
    <n v="3"/>
    <x v="0"/>
    <x v="4"/>
    <n v="1"/>
    <x v="1"/>
    <n v="5373"/>
    <n v="6225"/>
    <n v="0"/>
    <x v="1"/>
    <n v="12"/>
    <n v="3"/>
    <n v="1"/>
    <n v="1"/>
    <n v="6"/>
    <n v="5"/>
    <x v="2"/>
    <n v="5"/>
    <n v="3"/>
    <n v="0"/>
    <n v="2"/>
    <x v="2"/>
    <x v="2"/>
    <n v="0"/>
    <x v="0"/>
    <s v="Bachelor"/>
    <x v="3"/>
    <x v="2"/>
  </r>
  <r>
    <n v="32"/>
    <s v="No"/>
    <x v="2"/>
    <n v="1146"/>
    <x v="1"/>
    <n v="15"/>
    <n v="4"/>
    <s v="Medical"/>
    <n v="1955"/>
    <n v="3"/>
    <x v="0"/>
    <n v="34"/>
    <n v="3"/>
    <x v="0"/>
    <x v="4"/>
    <n v="4"/>
    <x v="2"/>
    <n v="6667"/>
    <n v="16542"/>
    <n v="5"/>
    <x v="1"/>
    <n v="18"/>
    <n v="3"/>
    <n v="2"/>
    <n v="1"/>
    <n v="9"/>
    <n v="6"/>
    <x v="1"/>
    <n v="5"/>
    <n v="1"/>
    <n v="1"/>
    <n v="2"/>
    <x v="2"/>
    <x v="0"/>
    <n v="0"/>
    <x v="2"/>
    <s v="Master"/>
    <x v="0"/>
    <x v="1"/>
  </r>
  <r>
    <n v="31"/>
    <s v="No"/>
    <x v="1"/>
    <n v="1125"/>
    <x v="1"/>
    <n v="1"/>
    <n v="3"/>
    <s v="Life Sciences"/>
    <n v="1956"/>
    <n v="4"/>
    <x v="1"/>
    <n v="48"/>
    <n v="1"/>
    <x v="0"/>
    <x v="1"/>
    <n v="1"/>
    <x v="1"/>
    <n v="5003"/>
    <n v="5771"/>
    <n v="1"/>
    <x v="1"/>
    <n v="21"/>
    <n v="4"/>
    <n v="2"/>
    <n v="0"/>
    <n v="10"/>
    <n v="6"/>
    <x v="1"/>
    <n v="10"/>
    <n v="8"/>
    <n v="8"/>
    <n v="7"/>
    <x v="2"/>
    <x v="3"/>
    <n v="0"/>
    <x v="1"/>
    <s v="Bachelor"/>
    <x v="3"/>
    <x v="1"/>
  </r>
  <r>
    <n v="28"/>
    <s v="Yes"/>
    <x v="0"/>
    <n v="1404"/>
    <x v="1"/>
    <n v="17"/>
    <n v="3"/>
    <s v="Technical Degree"/>
    <n v="1960"/>
    <n v="3"/>
    <x v="1"/>
    <n v="32"/>
    <n v="2"/>
    <x v="1"/>
    <x v="2"/>
    <n v="4"/>
    <x v="2"/>
    <n v="2367"/>
    <n v="18779"/>
    <n v="5"/>
    <x v="1"/>
    <n v="12"/>
    <n v="3"/>
    <n v="1"/>
    <n v="1"/>
    <n v="6"/>
    <n v="2"/>
    <x v="2"/>
    <n v="4"/>
    <n v="1"/>
    <n v="0"/>
    <n v="3"/>
    <x v="2"/>
    <x v="0"/>
    <n v="1"/>
    <x v="0"/>
    <s v="Bachelor"/>
    <x v="0"/>
    <x v="2"/>
  </r>
  <r>
    <n v="38"/>
    <s v="No"/>
    <x v="0"/>
    <n v="1404"/>
    <x v="0"/>
    <n v="1"/>
    <n v="3"/>
    <s v="Life Sciences"/>
    <n v="1961"/>
    <n v="1"/>
    <x v="1"/>
    <n v="59"/>
    <n v="2"/>
    <x v="1"/>
    <x v="6"/>
    <n v="1"/>
    <x v="0"/>
    <n v="2858"/>
    <n v="11473"/>
    <n v="4"/>
    <x v="1"/>
    <n v="14"/>
    <n v="3"/>
    <n v="1"/>
    <n v="0"/>
    <n v="20"/>
    <n v="3"/>
    <x v="2"/>
    <n v="1"/>
    <n v="0"/>
    <n v="0"/>
    <n v="0"/>
    <x v="0"/>
    <x v="0"/>
    <n v="0"/>
    <x v="0"/>
    <s v="Bachelor"/>
    <x v="3"/>
    <x v="2"/>
  </r>
  <r>
    <n v="35"/>
    <s v="No"/>
    <x v="0"/>
    <n v="1224"/>
    <x v="0"/>
    <n v="7"/>
    <n v="4"/>
    <s v="Life Sciences"/>
    <n v="1962"/>
    <n v="3"/>
    <x v="0"/>
    <n v="55"/>
    <n v="3"/>
    <x v="0"/>
    <x v="0"/>
    <n v="4"/>
    <x v="1"/>
    <n v="5204"/>
    <n v="13586"/>
    <n v="1"/>
    <x v="0"/>
    <n v="11"/>
    <n v="3"/>
    <n v="4"/>
    <n v="0"/>
    <n v="10"/>
    <n v="2"/>
    <x v="1"/>
    <n v="10"/>
    <n v="8"/>
    <n v="0"/>
    <n v="9"/>
    <x v="2"/>
    <x v="0"/>
    <n v="0"/>
    <x v="1"/>
    <s v="Master"/>
    <x v="0"/>
    <x v="1"/>
  </r>
  <r>
    <n v="27"/>
    <s v="No"/>
    <x v="0"/>
    <n v="954"/>
    <x v="0"/>
    <n v="9"/>
    <n v="3"/>
    <s v="Marketing"/>
    <n v="1965"/>
    <n v="4"/>
    <x v="1"/>
    <n v="44"/>
    <n v="3"/>
    <x v="0"/>
    <x v="0"/>
    <n v="4"/>
    <x v="0"/>
    <n v="4105"/>
    <n v="5099"/>
    <n v="1"/>
    <x v="1"/>
    <n v="14"/>
    <n v="3"/>
    <n v="1"/>
    <n v="0"/>
    <n v="7"/>
    <n v="5"/>
    <x v="1"/>
    <n v="7"/>
    <n v="7"/>
    <n v="0"/>
    <n v="7"/>
    <x v="2"/>
    <x v="3"/>
    <n v="0"/>
    <x v="1"/>
    <s v="Bachelor"/>
    <x v="0"/>
    <x v="1"/>
  </r>
  <r>
    <n v="32"/>
    <s v="No"/>
    <x v="0"/>
    <n v="1373"/>
    <x v="1"/>
    <n v="5"/>
    <n v="4"/>
    <s v="Life Sciences"/>
    <n v="1966"/>
    <n v="4"/>
    <x v="1"/>
    <n v="56"/>
    <n v="2"/>
    <x v="0"/>
    <x v="3"/>
    <n v="4"/>
    <x v="0"/>
    <n v="9679"/>
    <n v="10138"/>
    <n v="8"/>
    <x v="1"/>
    <n v="24"/>
    <n v="4"/>
    <n v="2"/>
    <n v="0"/>
    <n v="8"/>
    <n v="1"/>
    <x v="1"/>
    <n v="1"/>
    <n v="0"/>
    <n v="0"/>
    <n v="0"/>
    <x v="2"/>
    <x v="0"/>
    <n v="0"/>
    <x v="2"/>
    <s v="Master"/>
    <x v="0"/>
    <x v="1"/>
  </r>
  <r>
    <n v="31"/>
    <s v="Yes"/>
    <x v="1"/>
    <n v="754"/>
    <x v="0"/>
    <n v="26"/>
    <n v="4"/>
    <s v="Marketing"/>
    <n v="1967"/>
    <n v="1"/>
    <x v="1"/>
    <n v="63"/>
    <n v="3"/>
    <x v="0"/>
    <x v="0"/>
    <n v="4"/>
    <x v="1"/>
    <n v="5617"/>
    <n v="21075"/>
    <n v="1"/>
    <x v="0"/>
    <n v="11"/>
    <n v="3"/>
    <n v="3"/>
    <n v="0"/>
    <n v="10"/>
    <n v="4"/>
    <x v="1"/>
    <n v="10"/>
    <n v="7"/>
    <n v="0"/>
    <n v="8"/>
    <x v="2"/>
    <x v="0"/>
    <n v="1"/>
    <x v="1"/>
    <s v="Master"/>
    <x v="0"/>
    <x v="1"/>
  </r>
  <r>
    <n v="53"/>
    <s v="Yes"/>
    <x v="0"/>
    <n v="1168"/>
    <x v="0"/>
    <n v="24"/>
    <n v="4"/>
    <s v="Life Sciences"/>
    <n v="1968"/>
    <n v="1"/>
    <x v="1"/>
    <n v="66"/>
    <n v="3"/>
    <x v="2"/>
    <x v="0"/>
    <n v="1"/>
    <x v="0"/>
    <n v="10448"/>
    <n v="5843"/>
    <n v="6"/>
    <x v="0"/>
    <n v="13"/>
    <n v="3"/>
    <n v="2"/>
    <n v="0"/>
    <n v="15"/>
    <n v="2"/>
    <x v="2"/>
    <n v="2"/>
    <n v="2"/>
    <n v="2"/>
    <n v="2"/>
    <x v="1"/>
    <x v="3"/>
    <n v="1"/>
    <x v="0"/>
    <s v="Master"/>
    <x v="3"/>
    <x v="2"/>
  </r>
  <r>
    <n v="54"/>
    <s v="No"/>
    <x v="0"/>
    <n v="155"/>
    <x v="1"/>
    <n v="9"/>
    <n v="2"/>
    <s v="Life Sciences"/>
    <n v="1969"/>
    <n v="1"/>
    <x v="0"/>
    <n v="67"/>
    <n v="3"/>
    <x v="0"/>
    <x v="1"/>
    <n v="3"/>
    <x v="1"/>
    <n v="2897"/>
    <n v="22474"/>
    <n v="3"/>
    <x v="1"/>
    <n v="11"/>
    <n v="3"/>
    <n v="3"/>
    <n v="2"/>
    <n v="9"/>
    <n v="6"/>
    <x v="2"/>
    <n v="4"/>
    <n v="3"/>
    <n v="2"/>
    <n v="3"/>
    <x v="1"/>
    <x v="0"/>
    <n v="0"/>
    <x v="0"/>
    <s v="College"/>
    <x v="2"/>
    <x v="2"/>
  </r>
  <r>
    <n v="33"/>
    <s v="No"/>
    <x v="1"/>
    <n v="1303"/>
    <x v="1"/>
    <n v="7"/>
    <n v="2"/>
    <s v="Life Sciences"/>
    <n v="1970"/>
    <n v="4"/>
    <x v="1"/>
    <n v="36"/>
    <n v="3"/>
    <x v="0"/>
    <x v="4"/>
    <n v="3"/>
    <x v="2"/>
    <n v="5968"/>
    <n v="18079"/>
    <n v="1"/>
    <x v="1"/>
    <n v="20"/>
    <n v="4"/>
    <n v="3"/>
    <n v="3"/>
    <n v="9"/>
    <n v="2"/>
    <x v="1"/>
    <n v="9"/>
    <n v="7"/>
    <n v="2"/>
    <n v="8"/>
    <x v="2"/>
    <x v="0"/>
    <n v="0"/>
    <x v="1"/>
    <s v="College"/>
    <x v="2"/>
    <x v="1"/>
  </r>
  <r>
    <n v="43"/>
    <s v="No"/>
    <x v="0"/>
    <n v="574"/>
    <x v="1"/>
    <n v="11"/>
    <n v="3"/>
    <s v="Life Sciences"/>
    <n v="1971"/>
    <n v="1"/>
    <x v="1"/>
    <n v="30"/>
    <n v="3"/>
    <x v="2"/>
    <x v="4"/>
    <n v="3"/>
    <x v="1"/>
    <n v="7510"/>
    <n v="16873"/>
    <n v="1"/>
    <x v="1"/>
    <n v="17"/>
    <n v="3"/>
    <n v="2"/>
    <n v="1"/>
    <n v="10"/>
    <n v="1"/>
    <x v="1"/>
    <n v="10"/>
    <n v="9"/>
    <n v="0"/>
    <n v="9"/>
    <x v="0"/>
    <x v="0"/>
    <n v="0"/>
    <x v="1"/>
    <s v="Bachelor"/>
    <x v="2"/>
    <x v="1"/>
  </r>
  <r>
    <n v="38"/>
    <s v="No"/>
    <x v="1"/>
    <n v="1444"/>
    <x v="2"/>
    <n v="1"/>
    <n v="4"/>
    <s v="Other"/>
    <n v="1972"/>
    <n v="4"/>
    <x v="1"/>
    <n v="88"/>
    <n v="3"/>
    <x v="1"/>
    <x v="8"/>
    <n v="2"/>
    <x v="1"/>
    <n v="2991"/>
    <n v="5224"/>
    <n v="0"/>
    <x v="0"/>
    <n v="11"/>
    <n v="3"/>
    <n v="2"/>
    <n v="1"/>
    <n v="7"/>
    <n v="2"/>
    <x v="1"/>
    <n v="6"/>
    <n v="2"/>
    <n v="1"/>
    <n v="2"/>
    <x v="0"/>
    <x v="3"/>
    <n v="0"/>
    <x v="1"/>
    <s v="Master"/>
    <x v="1"/>
    <x v="1"/>
  </r>
  <r>
    <n v="55"/>
    <s v="No"/>
    <x v="0"/>
    <n v="189"/>
    <x v="2"/>
    <n v="26"/>
    <n v="4"/>
    <s v="Human Resources"/>
    <n v="1973"/>
    <n v="3"/>
    <x v="1"/>
    <n v="71"/>
    <n v="4"/>
    <x v="4"/>
    <x v="5"/>
    <n v="2"/>
    <x v="1"/>
    <n v="19636"/>
    <n v="25811"/>
    <n v="4"/>
    <x v="0"/>
    <n v="18"/>
    <n v="3"/>
    <n v="1"/>
    <n v="1"/>
    <n v="35"/>
    <n v="0"/>
    <x v="1"/>
    <n v="10"/>
    <n v="9"/>
    <n v="1"/>
    <n v="4"/>
    <x v="1"/>
    <x v="0"/>
    <n v="0"/>
    <x v="1"/>
    <s v="Master"/>
    <x v="1"/>
    <x v="1"/>
  </r>
  <r>
    <n v="31"/>
    <s v="No"/>
    <x v="0"/>
    <n v="1276"/>
    <x v="1"/>
    <n v="2"/>
    <n v="1"/>
    <s v="Medical"/>
    <n v="1974"/>
    <n v="4"/>
    <x v="0"/>
    <n v="59"/>
    <n v="1"/>
    <x v="1"/>
    <x v="2"/>
    <n v="4"/>
    <x v="2"/>
    <n v="1129"/>
    <n v="17536"/>
    <n v="1"/>
    <x v="0"/>
    <n v="11"/>
    <n v="3"/>
    <n v="3"/>
    <n v="3"/>
    <n v="1"/>
    <n v="4"/>
    <x v="1"/>
    <n v="1"/>
    <n v="0"/>
    <n v="0"/>
    <n v="0"/>
    <x v="2"/>
    <x v="0"/>
    <n v="0"/>
    <x v="2"/>
    <s v="Below College"/>
    <x v="0"/>
    <x v="1"/>
  </r>
  <r>
    <n v="39"/>
    <s v="No"/>
    <x v="0"/>
    <n v="119"/>
    <x v="0"/>
    <n v="15"/>
    <n v="4"/>
    <s v="Marketing"/>
    <n v="1975"/>
    <n v="2"/>
    <x v="1"/>
    <n v="77"/>
    <n v="3"/>
    <x v="3"/>
    <x v="0"/>
    <n v="1"/>
    <x v="0"/>
    <n v="13341"/>
    <n v="25098"/>
    <n v="0"/>
    <x v="1"/>
    <n v="12"/>
    <n v="3"/>
    <n v="1"/>
    <n v="0"/>
    <n v="21"/>
    <n v="3"/>
    <x v="1"/>
    <n v="20"/>
    <n v="8"/>
    <n v="11"/>
    <n v="10"/>
    <x v="0"/>
    <x v="0"/>
    <n v="0"/>
    <x v="3"/>
    <s v="Master"/>
    <x v="3"/>
    <x v="1"/>
  </r>
  <r>
    <n v="42"/>
    <s v="No"/>
    <x v="2"/>
    <n v="335"/>
    <x v="1"/>
    <n v="23"/>
    <n v="2"/>
    <s v="Life Sciences"/>
    <n v="1976"/>
    <n v="4"/>
    <x v="1"/>
    <n v="37"/>
    <n v="2"/>
    <x v="0"/>
    <x v="1"/>
    <n v="3"/>
    <x v="0"/>
    <n v="4332"/>
    <n v="14811"/>
    <n v="1"/>
    <x v="1"/>
    <n v="12"/>
    <n v="3"/>
    <n v="4"/>
    <n v="0"/>
    <n v="20"/>
    <n v="2"/>
    <x v="1"/>
    <n v="20"/>
    <n v="9"/>
    <n v="3"/>
    <n v="7"/>
    <x v="0"/>
    <x v="0"/>
    <n v="0"/>
    <x v="3"/>
    <s v="College"/>
    <x v="2"/>
    <x v="1"/>
  </r>
  <r>
    <n v="31"/>
    <s v="No"/>
    <x v="2"/>
    <n v="697"/>
    <x v="1"/>
    <n v="10"/>
    <n v="3"/>
    <s v="Medical"/>
    <n v="1979"/>
    <n v="3"/>
    <x v="0"/>
    <n v="40"/>
    <n v="3"/>
    <x v="2"/>
    <x v="7"/>
    <n v="3"/>
    <x v="1"/>
    <n v="11031"/>
    <n v="26862"/>
    <n v="4"/>
    <x v="1"/>
    <n v="20"/>
    <n v="4"/>
    <n v="3"/>
    <n v="1"/>
    <n v="13"/>
    <n v="2"/>
    <x v="3"/>
    <n v="11"/>
    <n v="7"/>
    <n v="4"/>
    <n v="8"/>
    <x v="2"/>
    <x v="0"/>
    <n v="0"/>
    <x v="3"/>
    <s v="Bachelor"/>
    <x v="2"/>
    <x v="3"/>
  </r>
  <r>
    <n v="54"/>
    <s v="No"/>
    <x v="0"/>
    <n v="157"/>
    <x v="1"/>
    <n v="10"/>
    <n v="3"/>
    <s v="Medical"/>
    <n v="1980"/>
    <n v="3"/>
    <x v="0"/>
    <n v="77"/>
    <n v="3"/>
    <x v="0"/>
    <x v="3"/>
    <n v="1"/>
    <x v="0"/>
    <n v="4440"/>
    <n v="25198"/>
    <n v="6"/>
    <x v="0"/>
    <n v="19"/>
    <n v="3"/>
    <n v="4"/>
    <n v="0"/>
    <n v="9"/>
    <n v="3"/>
    <x v="1"/>
    <n v="5"/>
    <n v="2"/>
    <n v="1"/>
    <n v="4"/>
    <x v="1"/>
    <x v="0"/>
    <n v="0"/>
    <x v="2"/>
    <s v="Bachelor"/>
    <x v="3"/>
    <x v="1"/>
  </r>
  <r>
    <n v="24"/>
    <s v="No"/>
    <x v="0"/>
    <n v="771"/>
    <x v="1"/>
    <n v="1"/>
    <n v="2"/>
    <s v="Life Sciences"/>
    <n v="1981"/>
    <n v="2"/>
    <x v="1"/>
    <n v="45"/>
    <n v="2"/>
    <x v="0"/>
    <x v="4"/>
    <n v="3"/>
    <x v="0"/>
    <n v="4617"/>
    <n v="14120"/>
    <n v="1"/>
    <x v="1"/>
    <n v="12"/>
    <n v="3"/>
    <n v="2"/>
    <n v="0"/>
    <n v="4"/>
    <n v="2"/>
    <x v="2"/>
    <n v="4"/>
    <n v="3"/>
    <n v="1"/>
    <n v="2"/>
    <x v="3"/>
    <x v="0"/>
    <n v="0"/>
    <x v="0"/>
    <s v="College"/>
    <x v="2"/>
    <x v="2"/>
  </r>
  <r>
    <n v="23"/>
    <s v="No"/>
    <x v="0"/>
    <n v="571"/>
    <x v="1"/>
    <n v="12"/>
    <n v="2"/>
    <s v="Other"/>
    <n v="1982"/>
    <n v="4"/>
    <x v="1"/>
    <n v="78"/>
    <n v="3"/>
    <x v="1"/>
    <x v="2"/>
    <n v="4"/>
    <x v="0"/>
    <n v="2647"/>
    <n v="13672"/>
    <n v="1"/>
    <x v="1"/>
    <n v="13"/>
    <n v="3"/>
    <n v="3"/>
    <n v="0"/>
    <n v="5"/>
    <n v="6"/>
    <x v="3"/>
    <n v="5"/>
    <n v="2"/>
    <n v="1"/>
    <n v="4"/>
    <x v="3"/>
    <x v="0"/>
    <n v="0"/>
    <x v="2"/>
    <s v="College"/>
    <x v="0"/>
    <x v="3"/>
  </r>
  <r>
    <n v="40"/>
    <s v="No"/>
    <x v="1"/>
    <n v="692"/>
    <x v="1"/>
    <n v="11"/>
    <n v="3"/>
    <s v="Technical Degree"/>
    <n v="1985"/>
    <n v="4"/>
    <x v="0"/>
    <n v="73"/>
    <n v="3"/>
    <x v="0"/>
    <x v="2"/>
    <n v="3"/>
    <x v="1"/>
    <n v="6323"/>
    <n v="26849"/>
    <n v="1"/>
    <x v="1"/>
    <n v="11"/>
    <n v="3"/>
    <n v="1"/>
    <n v="1"/>
    <n v="10"/>
    <n v="2"/>
    <x v="3"/>
    <n v="10"/>
    <n v="9"/>
    <n v="9"/>
    <n v="4"/>
    <x v="0"/>
    <x v="0"/>
    <n v="0"/>
    <x v="1"/>
    <s v="Bachelor"/>
    <x v="2"/>
    <x v="3"/>
  </r>
  <r>
    <n v="40"/>
    <s v="No"/>
    <x v="0"/>
    <n v="444"/>
    <x v="0"/>
    <n v="2"/>
    <n v="2"/>
    <s v="Marketing"/>
    <n v="1986"/>
    <n v="2"/>
    <x v="0"/>
    <n v="92"/>
    <n v="3"/>
    <x v="0"/>
    <x v="0"/>
    <n v="2"/>
    <x v="1"/>
    <n v="5677"/>
    <n v="4258"/>
    <n v="3"/>
    <x v="1"/>
    <n v="14"/>
    <n v="3"/>
    <n v="3"/>
    <n v="1"/>
    <n v="15"/>
    <n v="4"/>
    <x v="1"/>
    <n v="11"/>
    <n v="8"/>
    <n v="5"/>
    <n v="10"/>
    <x v="0"/>
    <x v="3"/>
    <n v="0"/>
    <x v="3"/>
    <s v="College"/>
    <x v="1"/>
    <x v="1"/>
  </r>
  <r>
    <n v="25"/>
    <s v="No"/>
    <x v="0"/>
    <n v="309"/>
    <x v="2"/>
    <n v="2"/>
    <n v="3"/>
    <s v="Human Resources"/>
    <n v="1987"/>
    <n v="3"/>
    <x v="0"/>
    <n v="82"/>
    <n v="3"/>
    <x v="1"/>
    <x v="8"/>
    <n v="2"/>
    <x v="1"/>
    <n v="2187"/>
    <n v="19655"/>
    <n v="4"/>
    <x v="1"/>
    <n v="14"/>
    <n v="3"/>
    <n v="3"/>
    <n v="0"/>
    <n v="6"/>
    <n v="3"/>
    <x v="1"/>
    <n v="2"/>
    <n v="0"/>
    <n v="1"/>
    <n v="2"/>
    <x v="3"/>
    <x v="0"/>
    <n v="0"/>
    <x v="2"/>
    <s v="Bachelor"/>
    <x v="1"/>
    <x v="1"/>
  </r>
  <r>
    <n v="30"/>
    <s v="No"/>
    <x v="0"/>
    <n v="911"/>
    <x v="1"/>
    <n v="1"/>
    <n v="2"/>
    <s v="Medical"/>
    <n v="1989"/>
    <n v="4"/>
    <x v="1"/>
    <n v="76"/>
    <n v="3"/>
    <x v="1"/>
    <x v="2"/>
    <n v="2"/>
    <x v="1"/>
    <n v="3748"/>
    <n v="4077"/>
    <n v="1"/>
    <x v="1"/>
    <n v="13"/>
    <n v="3"/>
    <n v="3"/>
    <n v="0"/>
    <n v="12"/>
    <n v="6"/>
    <x v="2"/>
    <n v="12"/>
    <n v="8"/>
    <n v="1"/>
    <n v="7"/>
    <x v="2"/>
    <x v="3"/>
    <n v="0"/>
    <x v="0"/>
    <s v="College"/>
    <x v="1"/>
    <x v="2"/>
  </r>
  <r>
    <n v="25"/>
    <s v="No"/>
    <x v="0"/>
    <n v="977"/>
    <x v="1"/>
    <n v="2"/>
    <n v="1"/>
    <s v="Other"/>
    <n v="1992"/>
    <n v="4"/>
    <x v="1"/>
    <n v="57"/>
    <n v="3"/>
    <x v="1"/>
    <x v="2"/>
    <n v="3"/>
    <x v="2"/>
    <n v="3977"/>
    <n v="7298"/>
    <n v="6"/>
    <x v="0"/>
    <n v="19"/>
    <n v="3"/>
    <n v="3"/>
    <n v="1"/>
    <n v="7"/>
    <n v="2"/>
    <x v="2"/>
    <n v="2"/>
    <n v="2"/>
    <n v="0"/>
    <n v="2"/>
    <x v="3"/>
    <x v="2"/>
    <n v="0"/>
    <x v="0"/>
    <s v="Below College"/>
    <x v="2"/>
    <x v="2"/>
  </r>
  <r>
    <n v="47"/>
    <s v="No"/>
    <x v="0"/>
    <n v="1180"/>
    <x v="1"/>
    <n v="25"/>
    <n v="3"/>
    <s v="Medical"/>
    <n v="1993"/>
    <n v="1"/>
    <x v="1"/>
    <n v="84"/>
    <n v="3"/>
    <x v="2"/>
    <x v="4"/>
    <n v="3"/>
    <x v="0"/>
    <n v="8633"/>
    <n v="13084"/>
    <n v="2"/>
    <x v="1"/>
    <n v="23"/>
    <n v="4"/>
    <n v="2"/>
    <n v="0"/>
    <n v="25"/>
    <n v="3"/>
    <x v="1"/>
    <n v="17"/>
    <n v="14"/>
    <n v="12"/>
    <n v="11"/>
    <x v="1"/>
    <x v="0"/>
    <n v="0"/>
    <x v="3"/>
    <s v="Bachelor"/>
    <x v="2"/>
    <x v="1"/>
  </r>
  <r>
    <n v="33"/>
    <s v="No"/>
    <x v="2"/>
    <n v="1313"/>
    <x v="1"/>
    <n v="1"/>
    <n v="2"/>
    <s v="Medical"/>
    <n v="1994"/>
    <n v="2"/>
    <x v="1"/>
    <n v="59"/>
    <n v="2"/>
    <x v="1"/>
    <x v="2"/>
    <n v="3"/>
    <x v="2"/>
    <n v="2008"/>
    <n v="20439"/>
    <n v="1"/>
    <x v="1"/>
    <n v="12"/>
    <n v="3"/>
    <n v="3"/>
    <n v="3"/>
    <n v="1"/>
    <n v="2"/>
    <x v="2"/>
    <n v="1"/>
    <n v="1"/>
    <n v="0"/>
    <n v="0"/>
    <x v="2"/>
    <x v="0"/>
    <n v="0"/>
    <x v="0"/>
    <s v="College"/>
    <x v="2"/>
    <x v="2"/>
  </r>
  <r>
    <n v="38"/>
    <s v="No"/>
    <x v="0"/>
    <n v="1321"/>
    <x v="0"/>
    <n v="1"/>
    <n v="4"/>
    <s v="Life Sciences"/>
    <n v="1995"/>
    <n v="4"/>
    <x v="1"/>
    <n v="86"/>
    <n v="3"/>
    <x v="0"/>
    <x v="0"/>
    <n v="2"/>
    <x v="1"/>
    <n v="4440"/>
    <n v="7636"/>
    <n v="0"/>
    <x v="1"/>
    <n v="15"/>
    <n v="3"/>
    <n v="1"/>
    <n v="2"/>
    <n v="16"/>
    <n v="3"/>
    <x v="1"/>
    <n v="15"/>
    <n v="13"/>
    <n v="5"/>
    <n v="8"/>
    <x v="0"/>
    <x v="2"/>
    <n v="0"/>
    <x v="3"/>
    <s v="Master"/>
    <x v="1"/>
    <x v="1"/>
  </r>
  <r>
    <n v="31"/>
    <s v="No"/>
    <x v="0"/>
    <n v="1154"/>
    <x v="0"/>
    <n v="2"/>
    <n v="2"/>
    <s v="Life Sciences"/>
    <n v="1996"/>
    <n v="1"/>
    <x v="1"/>
    <n v="54"/>
    <n v="3"/>
    <x v="1"/>
    <x v="6"/>
    <n v="3"/>
    <x v="1"/>
    <n v="3067"/>
    <n v="6393"/>
    <n v="0"/>
    <x v="1"/>
    <n v="19"/>
    <n v="3"/>
    <n v="3"/>
    <n v="1"/>
    <n v="3"/>
    <n v="1"/>
    <x v="1"/>
    <n v="2"/>
    <n v="2"/>
    <n v="1"/>
    <n v="2"/>
    <x v="2"/>
    <x v="2"/>
    <n v="0"/>
    <x v="2"/>
    <s v="College"/>
    <x v="2"/>
    <x v="1"/>
  </r>
  <r>
    <n v="38"/>
    <s v="No"/>
    <x v="1"/>
    <n v="508"/>
    <x v="1"/>
    <n v="6"/>
    <n v="4"/>
    <s v="Life Sciences"/>
    <n v="1997"/>
    <n v="1"/>
    <x v="1"/>
    <n v="72"/>
    <n v="2"/>
    <x v="0"/>
    <x v="3"/>
    <n v="3"/>
    <x v="1"/>
    <n v="5321"/>
    <n v="14284"/>
    <n v="2"/>
    <x v="1"/>
    <n v="11"/>
    <n v="3"/>
    <n v="4"/>
    <n v="1"/>
    <n v="10"/>
    <n v="1"/>
    <x v="1"/>
    <n v="8"/>
    <n v="3"/>
    <n v="7"/>
    <n v="7"/>
    <x v="0"/>
    <x v="0"/>
    <n v="0"/>
    <x v="1"/>
    <s v="Master"/>
    <x v="2"/>
    <x v="1"/>
  </r>
  <r>
    <n v="42"/>
    <s v="No"/>
    <x v="0"/>
    <n v="557"/>
    <x v="1"/>
    <n v="18"/>
    <n v="4"/>
    <s v="Life Sciences"/>
    <n v="1998"/>
    <n v="4"/>
    <x v="1"/>
    <n v="35"/>
    <n v="3"/>
    <x v="0"/>
    <x v="1"/>
    <n v="1"/>
    <x v="2"/>
    <n v="5410"/>
    <n v="11189"/>
    <n v="6"/>
    <x v="0"/>
    <n v="17"/>
    <n v="3"/>
    <n v="3"/>
    <n v="1"/>
    <n v="9"/>
    <n v="3"/>
    <x v="2"/>
    <n v="4"/>
    <n v="3"/>
    <n v="1"/>
    <n v="2"/>
    <x v="0"/>
    <x v="0"/>
    <n v="0"/>
    <x v="0"/>
    <s v="Master"/>
    <x v="3"/>
    <x v="2"/>
  </r>
  <r>
    <n v="41"/>
    <s v="No"/>
    <x v="0"/>
    <n v="642"/>
    <x v="1"/>
    <n v="1"/>
    <n v="3"/>
    <s v="Life Sciences"/>
    <n v="1999"/>
    <n v="4"/>
    <x v="1"/>
    <n v="76"/>
    <n v="3"/>
    <x v="1"/>
    <x v="1"/>
    <n v="4"/>
    <x v="1"/>
    <n v="2782"/>
    <n v="21412"/>
    <n v="3"/>
    <x v="1"/>
    <n v="22"/>
    <n v="4"/>
    <n v="1"/>
    <n v="1"/>
    <n v="12"/>
    <n v="3"/>
    <x v="1"/>
    <n v="5"/>
    <n v="3"/>
    <n v="1"/>
    <n v="0"/>
    <x v="0"/>
    <x v="0"/>
    <n v="0"/>
    <x v="2"/>
    <s v="Bachelor"/>
    <x v="0"/>
    <x v="1"/>
  </r>
  <r>
    <n v="47"/>
    <s v="No"/>
    <x v="2"/>
    <n v="1162"/>
    <x v="1"/>
    <n v="1"/>
    <n v="1"/>
    <s v="Medical"/>
    <n v="2000"/>
    <n v="3"/>
    <x v="0"/>
    <n v="98"/>
    <n v="3"/>
    <x v="2"/>
    <x v="7"/>
    <n v="2"/>
    <x v="1"/>
    <n v="11957"/>
    <n v="17231"/>
    <n v="0"/>
    <x v="1"/>
    <n v="18"/>
    <n v="3"/>
    <n v="1"/>
    <n v="2"/>
    <n v="14"/>
    <n v="3"/>
    <x v="0"/>
    <n v="13"/>
    <n v="8"/>
    <n v="5"/>
    <n v="12"/>
    <x v="1"/>
    <x v="0"/>
    <n v="0"/>
    <x v="0"/>
    <s v="Below College"/>
    <x v="1"/>
    <x v="0"/>
  </r>
  <r>
    <n v="35"/>
    <s v="No"/>
    <x v="0"/>
    <n v="1490"/>
    <x v="1"/>
    <n v="11"/>
    <n v="4"/>
    <s v="Medical"/>
    <n v="2003"/>
    <n v="4"/>
    <x v="1"/>
    <n v="43"/>
    <n v="3"/>
    <x v="1"/>
    <x v="2"/>
    <n v="3"/>
    <x v="1"/>
    <n v="2660"/>
    <n v="20232"/>
    <n v="7"/>
    <x v="0"/>
    <n v="11"/>
    <n v="3"/>
    <n v="3"/>
    <n v="1"/>
    <n v="5"/>
    <n v="3"/>
    <x v="1"/>
    <n v="2"/>
    <n v="2"/>
    <n v="2"/>
    <n v="2"/>
    <x v="2"/>
    <x v="0"/>
    <n v="0"/>
    <x v="2"/>
    <s v="Master"/>
    <x v="2"/>
    <x v="1"/>
  </r>
  <r>
    <n v="22"/>
    <s v="No"/>
    <x v="0"/>
    <n v="581"/>
    <x v="1"/>
    <n v="1"/>
    <n v="2"/>
    <s v="Life Sciences"/>
    <n v="2007"/>
    <n v="4"/>
    <x v="1"/>
    <n v="63"/>
    <n v="3"/>
    <x v="1"/>
    <x v="1"/>
    <n v="3"/>
    <x v="0"/>
    <n v="3375"/>
    <n v="17624"/>
    <n v="0"/>
    <x v="1"/>
    <n v="12"/>
    <n v="3"/>
    <n v="4"/>
    <n v="0"/>
    <n v="4"/>
    <n v="2"/>
    <x v="3"/>
    <n v="3"/>
    <n v="2"/>
    <n v="1"/>
    <n v="2"/>
    <x v="3"/>
    <x v="0"/>
    <n v="0"/>
    <x v="2"/>
    <s v="College"/>
    <x v="2"/>
    <x v="3"/>
  </r>
  <r>
    <n v="35"/>
    <s v="No"/>
    <x v="0"/>
    <n v="1395"/>
    <x v="1"/>
    <n v="9"/>
    <n v="4"/>
    <s v="Medical"/>
    <n v="2008"/>
    <n v="2"/>
    <x v="1"/>
    <n v="48"/>
    <n v="3"/>
    <x v="0"/>
    <x v="1"/>
    <n v="3"/>
    <x v="0"/>
    <n v="5098"/>
    <n v="18698"/>
    <n v="1"/>
    <x v="1"/>
    <n v="19"/>
    <n v="3"/>
    <n v="2"/>
    <n v="0"/>
    <n v="10"/>
    <n v="5"/>
    <x v="1"/>
    <n v="10"/>
    <n v="7"/>
    <n v="0"/>
    <n v="8"/>
    <x v="2"/>
    <x v="0"/>
    <n v="0"/>
    <x v="1"/>
    <s v="Master"/>
    <x v="2"/>
    <x v="1"/>
  </r>
  <r>
    <n v="33"/>
    <s v="No"/>
    <x v="0"/>
    <n v="501"/>
    <x v="1"/>
    <n v="15"/>
    <n v="2"/>
    <s v="Medical"/>
    <n v="2009"/>
    <n v="2"/>
    <x v="0"/>
    <n v="95"/>
    <n v="3"/>
    <x v="0"/>
    <x v="4"/>
    <n v="4"/>
    <x v="1"/>
    <n v="4878"/>
    <n v="21653"/>
    <n v="0"/>
    <x v="0"/>
    <n v="13"/>
    <n v="3"/>
    <n v="1"/>
    <n v="1"/>
    <n v="10"/>
    <n v="6"/>
    <x v="1"/>
    <n v="9"/>
    <n v="7"/>
    <n v="8"/>
    <n v="1"/>
    <x v="2"/>
    <x v="0"/>
    <n v="0"/>
    <x v="1"/>
    <s v="College"/>
    <x v="0"/>
    <x v="1"/>
  </r>
  <r>
    <n v="32"/>
    <s v="No"/>
    <x v="0"/>
    <n v="267"/>
    <x v="1"/>
    <n v="29"/>
    <n v="4"/>
    <s v="Life Sciences"/>
    <n v="2010"/>
    <n v="3"/>
    <x v="0"/>
    <n v="49"/>
    <n v="2"/>
    <x v="1"/>
    <x v="2"/>
    <n v="2"/>
    <x v="0"/>
    <n v="2837"/>
    <n v="15919"/>
    <n v="1"/>
    <x v="1"/>
    <n v="13"/>
    <n v="3"/>
    <n v="3"/>
    <n v="0"/>
    <n v="6"/>
    <n v="3"/>
    <x v="1"/>
    <n v="6"/>
    <n v="2"/>
    <n v="4"/>
    <n v="1"/>
    <x v="2"/>
    <x v="0"/>
    <n v="0"/>
    <x v="1"/>
    <s v="Master"/>
    <x v="1"/>
    <x v="1"/>
  </r>
  <r>
    <n v="40"/>
    <s v="No"/>
    <x v="0"/>
    <n v="543"/>
    <x v="1"/>
    <n v="1"/>
    <n v="4"/>
    <s v="Life Sciences"/>
    <n v="2012"/>
    <n v="1"/>
    <x v="1"/>
    <n v="83"/>
    <n v="3"/>
    <x v="1"/>
    <x v="2"/>
    <n v="4"/>
    <x v="1"/>
    <n v="2406"/>
    <n v="4060"/>
    <n v="8"/>
    <x v="1"/>
    <n v="19"/>
    <n v="3"/>
    <n v="3"/>
    <n v="2"/>
    <n v="8"/>
    <n v="3"/>
    <x v="2"/>
    <n v="1"/>
    <n v="0"/>
    <n v="0"/>
    <n v="0"/>
    <x v="0"/>
    <x v="3"/>
    <n v="0"/>
    <x v="0"/>
    <s v="Master"/>
    <x v="0"/>
    <x v="2"/>
  </r>
  <r>
    <n v="32"/>
    <s v="No"/>
    <x v="0"/>
    <n v="234"/>
    <x v="0"/>
    <n v="1"/>
    <n v="4"/>
    <s v="Medical"/>
    <n v="2013"/>
    <n v="2"/>
    <x v="1"/>
    <n v="68"/>
    <n v="2"/>
    <x v="1"/>
    <x v="6"/>
    <n v="2"/>
    <x v="1"/>
    <n v="2269"/>
    <n v="18024"/>
    <n v="0"/>
    <x v="1"/>
    <n v="14"/>
    <n v="3"/>
    <n v="2"/>
    <n v="1"/>
    <n v="3"/>
    <n v="2"/>
    <x v="1"/>
    <n v="2"/>
    <n v="2"/>
    <n v="2"/>
    <n v="2"/>
    <x v="2"/>
    <x v="0"/>
    <n v="0"/>
    <x v="2"/>
    <s v="Master"/>
    <x v="1"/>
    <x v="1"/>
  </r>
  <r>
    <n v="39"/>
    <s v="No"/>
    <x v="0"/>
    <n v="116"/>
    <x v="1"/>
    <n v="24"/>
    <n v="1"/>
    <s v="Life Sciences"/>
    <n v="2014"/>
    <n v="1"/>
    <x v="1"/>
    <n v="52"/>
    <n v="3"/>
    <x v="0"/>
    <x v="1"/>
    <n v="4"/>
    <x v="0"/>
    <n v="4108"/>
    <n v="5340"/>
    <n v="7"/>
    <x v="1"/>
    <n v="13"/>
    <n v="3"/>
    <n v="1"/>
    <n v="0"/>
    <n v="18"/>
    <n v="2"/>
    <x v="1"/>
    <n v="7"/>
    <n v="7"/>
    <n v="1"/>
    <n v="7"/>
    <x v="0"/>
    <x v="3"/>
    <n v="0"/>
    <x v="1"/>
    <s v="Below College"/>
    <x v="0"/>
    <x v="1"/>
  </r>
  <r>
    <n v="38"/>
    <s v="No"/>
    <x v="0"/>
    <n v="201"/>
    <x v="1"/>
    <n v="10"/>
    <n v="3"/>
    <s v="Medical"/>
    <n v="2015"/>
    <n v="2"/>
    <x v="0"/>
    <n v="99"/>
    <n v="1"/>
    <x v="2"/>
    <x v="7"/>
    <n v="3"/>
    <x v="1"/>
    <n v="13206"/>
    <n v="3376"/>
    <n v="3"/>
    <x v="1"/>
    <n v="12"/>
    <n v="3"/>
    <n v="1"/>
    <n v="1"/>
    <n v="20"/>
    <n v="3"/>
    <x v="1"/>
    <n v="18"/>
    <n v="16"/>
    <n v="1"/>
    <n v="11"/>
    <x v="0"/>
    <x v="3"/>
    <n v="0"/>
    <x v="3"/>
    <s v="Bachelor"/>
    <x v="2"/>
    <x v="1"/>
  </r>
  <r>
    <n v="32"/>
    <s v="No"/>
    <x v="0"/>
    <n v="801"/>
    <x v="0"/>
    <n v="1"/>
    <n v="4"/>
    <s v="Marketing"/>
    <n v="2016"/>
    <n v="3"/>
    <x v="0"/>
    <n v="48"/>
    <n v="3"/>
    <x v="2"/>
    <x v="0"/>
    <n v="4"/>
    <x v="1"/>
    <n v="10422"/>
    <n v="24032"/>
    <n v="1"/>
    <x v="1"/>
    <n v="19"/>
    <n v="3"/>
    <n v="3"/>
    <n v="2"/>
    <n v="14"/>
    <n v="3"/>
    <x v="1"/>
    <n v="14"/>
    <n v="10"/>
    <n v="5"/>
    <n v="7"/>
    <x v="2"/>
    <x v="0"/>
    <n v="0"/>
    <x v="3"/>
    <s v="Master"/>
    <x v="0"/>
    <x v="1"/>
  </r>
  <r>
    <n v="37"/>
    <s v="No"/>
    <x v="0"/>
    <n v="161"/>
    <x v="1"/>
    <n v="10"/>
    <n v="3"/>
    <s v="Life Sciences"/>
    <n v="2017"/>
    <n v="3"/>
    <x v="0"/>
    <n v="42"/>
    <n v="4"/>
    <x v="2"/>
    <x v="7"/>
    <n v="4"/>
    <x v="1"/>
    <n v="13744"/>
    <n v="15471"/>
    <n v="1"/>
    <x v="0"/>
    <n v="25"/>
    <n v="4"/>
    <n v="1"/>
    <n v="1"/>
    <n v="16"/>
    <n v="2"/>
    <x v="1"/>
    <n v="16"/>
    <n v="11"/>
    <n v="6"/>
    <n v="8"/>
    <x v="0"/>
    <x v="0"/>
    <n v="0"/>
    <x v="3"/>
    <s v="Bachelor"/>
    <x v="0"/>
    <x v="1"/>
  </r>
  <r>
    <n v="25"/>
    <s v="No"/>
    <x v="0"/>
    <n v="1382"/>
    <x v="0"/>
    <n v="8"/>
    <n v="2"/>
    <s v="Other"/>
    <n v="2018"/>
    <n v="1"/>
    <x v="0"/>
    <n v="85"/>
    <n v="3"/>
    <x v="0"/>
    <x v="0"/>
    <n v="3"/>
    <x v="2"/>
    <n v="4907"/>
    <n v="13684"/>
    <n v="0"/>
    <x v="0"/>
    <n v="22"/>
    <n v="4"/>
    <n v="2"/>
    <n v="1"/>
    <n v="6"/>
    <n v="3"/>
    <x v="2"/>
    <n v="5"/>
    <n v="3"/>
    <n v="0"/>
    <n v="4"/>
    <x v="3"/>
    <x v="0"/>
    <n v="0"/>
    <x v="0"/>
    <s v="College"/>
    <x v="2"/>
    <x v="2"/>
  </r>
  <r>
    <n v="52"/>
    <s v="No"/>
    <x v="2"/>
    <n v="585"/>
    <x v="0"/>
    <n v="29"/>
    <n v="4"/>
    <s v="Life Sciences"/>
    <n v="2019"/>
    <n v="1"/>
    <x v="1"/>
    <n v="40"/>
    <n v="3"/>
    <x v="1"/>
    <x v="6"/>
    <n v="4"/>
    <x v="2"/>
    <n v="3482"/>
    <n v="19788"/>
    <n v="2"/>
    <x v="1"/>
    <n v="15"/>
    <n v="3"/>
    <n v="2"/>
    <n v="2"/>
    <n v="16"/>
    <n v="3"/>
    <x v="2"/>
    <n v="9"/>
    <n v="8"/>
    <n v="0"/>
    <n v="0"/>
    <x v="1"/>
    <x v="0"/>
    <n v="0"/>
    <x v="0"/>
    <s v="Master"/>
    <x v="0"/>
    <x v="2"/>
  </r>
  <r>
    <n v="44"/>
    <s v="No"/>
    <x v="0"/>
    <n v="1037"/>
    <x v="1"/>
    <n v="1"/>
    <n v="3"/>
    <s v="Medical"/>
    <n v="2020"/>
    <n v="2"/>
    <x v="1"/>
    <n v="42"/>
    <n v="3"/>
    <x v="1"/>
    <x v="1"/>
    <n v="4"/>
    <x v="0"/>
    <n v="2436"/>
    <n v="13422"/>
    <n v="6"/>
    <x v="0"/>
    <n v="12"/>
    <n v="3"/>
    <n v="3"/>
    <n v="0"/>
    <n v="6"/>
    <n v="2"/>
    <x v="1"/>
    <n v="4"/>
    <n v="3"/>
    <n v="1"/>
    <n v="2"/>
    <x v="0"/>
    <x v="0"/>
    <n v="0"/>
    <x v="2"/>
    <s v="Bachelor"/>
    <x v="0"/>
    <x v="1"/>
  </r>
  <r>
    <n v="21"/>
    <s v="No"/>
    <x v="0"/>
    <n v="501"/>
    <x v="0"/>
    <n v="5"/>
    <n v="1"/>
    <s v="Medical"/>
    <n v="2021"/>
    <n v="3"/>
    <x v="1"/>
    <n v="58"/>
    <n v="3"/>
    <x v="1"/>
    <x v="6"/>
    <n v="1"/>
    <x v="0"/>
    <n v="2380"/>
    <n v="25479"/>
    <n v="1"/>
    <x v="0"/>
    <n v="11"/>
    <n v="3"/>
    <n v="4"/>
    <n v="0"/>
    <n v="2"/>
    <n v="6"/>
    <x v="1"/>
    <n v="2"/>
    <n v="2"/>
    <n v="1"/>
    <n v="2"/>
    <x v="3"/>
    <x v="0"/>
    <n v="0"/>
    <x v="2"/>
    <s v="Below College"/>
    <x v="3"/>
    <x v="1"/>
  </r>
  <r>
    <n v="39"/>
    <s v="No"/>
    <x v="2"/>
    <n v="105"/>
    <x v="1"/>
    <n v="9"/>
    <n v="3"/>
    <s v="Life Sciences"/>
    <n v="2022"/>
    <n v="4"/>
    <x v="1"/>
    <n v="87"/>
    <n v="3"/>
    <x v="4"/>
    <x v="5"/>
    <n v="4"/>
    <x v="0"/>
    <n v="19431"/>
    <n v="15302"/>
    <n v="2"/>
    <x v="1"/>
    <n v="13"/>
    <n v="3"/>
    <n v="3"/>
    <n v="0"/>
    <n v="21"/>
    <n v="3"/>
    <x v="2"/>
    <n v="6"/>
    <n v="0"/>
    <n v="1"/>
    <n v="3"/>
    <x v="0"/>
    <x v="0"/>
    <n v="0"/>
    <x v="0"/>
    <s v="Bachelor"/>
    <x v="0"/>
    <x v="2"/>
  </r>
  <r>
    <n v="23"/>
    <s v="Yes"/>
    <x v="1"/>
    <n v="638"/>
    <x v="0"/>
    <n v="9"/>
    <n v="3"/>
    <s v="Marketing"/>
    <n v="2023"/>
    <n v="4"/>
    <x v="1"/>
    <n v="33"/>
    <n v="3"/>
    <x v="1"/>
    <x v="6"/>
    <n v="1"/>
    <x v="1"/>
    <n v="1790"/>
    <n v="26956"/>
    <n v="1"/>
    <x v="1"/>
    <n v="19"/>
    <n v="3"/>
    <n v="1"/>
    <n v="1"/>
    <n v="1"/>
    <n v="3"/>
    <x v="2"/>
    <n v="1"/>
    <n v="0"/>
    <n v="1"/>
    <n v="0"/>
    <x v="3"/>
    <x v="0"/>
    <n v="1"/>
    <x v="0"/>
    <s v="Bachelor"/>
    <x v="3"/>
    <x v="2"/>
  </r>
  <r>
    <n v="36"/>
    <s v="No"/>
    <x v="0"/>
    <n v="557"/>
    <x v="0"/>
    <n v="3"/>
    <n v="3"/>
    <s v="Medical"/>
    <n v="2024"/>
    <n v="1"/>
    <x v="0"/>
    <n v="94"/>
    <n v="2"/>
    <x v="2"/>
    <x v="0"/>
    <n v="4"/>
    <x v="1"/>
    <n v="7644"/>
    <n v="12695"/>
    <n v="0"/>
    <x v="1"/>
    <n v="19"/>
    <n v="3"/>
    <n v="3"/>
    <n v="2"/>
    <n v="10"/>
    <n v="2"/>
    <x v="1"/>
    <n v="9"/>
    <n v="7"/>
    <n v="3"/>
    <n v="4"/>
    <x v="0"/>
    <x v="0"/>
    <n v="0"/>
    <x v="1"/>
    <s v="Bachelor"/>
    <x v="0"/>
    <x v="1"/>
  </r>
  <r>
    <n v="36"/>
    <s v="No"/>
    <x v="1"/>
    <n v="688"/>
    <x v="1"/>
    <n v="4"/>
    <n v="2"/>
    <s v="Life Sciences"/>
    <n v="2025"/>
    <n v="4"/>
    <x v="0"/>
    <n v="97"/>
    <n v="3"/>
    <x v="0"/>
    <x v="3"/>
    <n v="2"/>
    <x v="2"/>
    <n v="5131"/>
    <n v="9192"/>
    <n v="7"/>
    <x v="1"/>
    <n v="13"/>
    <n v="3"/>
    <n v="2"/>
    <n v="3"/>
    <n v="18"/>
    <n v="3"/>
    <x v="1"/>
    <n v="4"/>
    <n v="2"/>
    <n v="0"/>
    <n v="2"/>
    <x v="0"/>
    <x v="2"/>
    <n v="0"/>
    <x v="2"/>
    <s v="College"/>
    <x v="1"/>
    <x v="1"/>
  </r>
  <r>
    <n v="56"/>
    <s v="No"/>
    <x v="2"/>
    <n v="667"/>
    <x v="1"/>
    <n v="1"/>
    <n v="4"/>
    <s v="Life Sciences"/>
    <n v="2026"/>
    <n v="3"/>
    <x v="1"/>
    <n v="57"/>
    <n v="3"/>
    <x v="0"/>
    <x v="4"/>
    <n v="3"/>
    <x v="2"/>
    <n v="6306"/>
    <n v="26236"/>
    <n v="1"/>
    <x v="1"/>
    <n v="21"/>
    <n v="4"/>
    <n v="1"/>
    <n v="1"/>
    <n v="13"/>
    <n v="2"/>
    <x v="2"/>
    <n v="13"/>
    <n v="12"/>
    <n v="1"/>
    <n v="9"/>
    <x v="1"/>
    <x v="0"/>
    <n v="0"/>
    <x v="0"/>
    <s v="Master"/>
    <x v="2"/>
    <x v="2"/>
  </r>
  <r>
    <n v="29"/>
    <s v="Yes"/>
    <x v="0"/>
    <n v="1092"/>
    <x v="1"/>
    <n v="1"/>
    <n v="4"/>
    <s v="Medical"/>
    <n v="2027"/>
    <n v="1"/>
    <x v="1"/>
    <n v="36"/>
    <n v="3"/>
    <x v="1"/>
    <x v="1"/>
    <n v="4"/>
    <x v="1"/>
    <n v="4787"/>
    <n v="26124"/>
    <n v="9"/>
    <x v="0"/>
    <n v="14"/>
    <n v="3"/>
    <n v="2"/>
    <n v="3"/>
    <n v="4"/>
    <n v="3"/>
    <x v="3"/>
    <n v="2"/>
    <n v="2"/>
    <n v="2"/>
    <n v="2"/>
    <x v="2"/>
    <x v="0"/>
    <n v="1"/>
    <x v="2"/>
    <s v="Master"/>
    <x v="0"/>
    <x v="3"/>
  </r>
  <r>
    <n v="42"/>
    <s v="No"/>
    <x v="0"/>
    <n v="300"/>
    <x v="1"/>
    <n v="2"/>
    <n v="3"/>
    <s v="Life Sciences"/>
    <n v="2031"/>
    <n v="1"/>
    <x v="1"/>
    <n v="56"/>
    <n v="3"/>
    <x v="4"/>
    <x v="5"/>
    <n v="3"/>
    <x v="1"/>
    <n v="18880"/>
    <n v="17312"/>
    <n v="5"/>
    <x v="1"/>
    <n v="11"/>
    <n v="3"/>
    <n v="1"/>
    <n v="0"/>
    <n v="24"/>
    <n v="2"/>
    <x v="2"/>
    <n v="22"/>
    <n v="6"/>
    <n v="4"/>
    <n v="14"/>
    <x v="0"/>
    <x v="0"/>
    <n v="0"/>
    <x v="0"/>
    <s v="Bachelor"/>
    <x v="2"/>
    <x v="2"/>
  </r>
  <r>
    <n v="56"/>
    <s v="Yes"/>
    <x v="0"/>
    <n v="310"/>
    <x v="1"/>
    <n v="7"/>
    <n v="2"/>
    <s v="Technical Degree"/>
    <n v="2032"/>
    <n v="4"/>
    <x v="1"/>
    <n v="72"/>
    <n v="3"/>
    <x v="1"/>
    <x v="2"/>
    <n v="3"/>
    <x v="1"/>
    <n v="2339"/>
    <n v="3666"/>
    <n v="8"/>
    <x v="1"/>
    <n v="11"/>
    <n v="3"/>
    <n v="4"/>
    <n v="1"/>
    <n v="14"/>
    <n v="4"/>
    <x v="0"/>
    <n v="10"/>
    <n v="9"/>
    <n v="9"/>
    <n v="8"/>
    <x v="1"/>
    <x v="3"/>
    <n v="1"/>
    <x v="0"/>
    <s v="College"/>
    <x v="2"/>
    <x v="0"/>
  </r>
  <r>
    <n v="41"/>
    <s v="No"/>
    <x v="0"/>
    <n v="582"/>
    <x v="1"/>
    <n v="28"/>
    <n v="4"/>
    <s v="Life Sciences"/>
    <n v="2034"/>
    <n v="1"/>
    <x v="0"/>
    <n v="60"/>
    <n v="2"/>
    <x v="3"/>
    <x v="3"/>
    <n v="2"/>
    <x v="1"/>
    <n v="13570"/>
    <n v="5640"/>
    <n v="0"/>
    <x v="1"/>
    <n v="23"/>
    <n v="4"/>
    <n v="3"/>
    <n v="1"/>
    <n v="21"/>
    <n v="3"/>
    <x v="1"/>
    <n v="20"/>
    <n v="7"/>
    <n v="0"/>
    <n v="10"/>
    <x v="0"/>
    <x v="3"/>
    <n v="0"/>
    <x v="3"/>
    <s v="Master"/>
    <x v="1"/>
    <x v="1"/>
  </r>
  <r>
    <n v="34"/>
    <s v="No"/>
    <x v="0"/>
    <n v="704"/>
    <x v="0"/>
    <n v="28"/>
    <n v="3"/>
    <s v="Marketing"/>
    <n v="2035"/>
    <n v="4"/>
    <x v="0"/>
    <n v="95"/>
    <n v="2"/>
    <x v="0"/>
    <x v="0"/>
    <n v="3"/>
    <x v="1"/>
    <n v="6712"/>
    <n v="8978"/>
    <n v="1"/>
    <x v="1"/>
    <n v="21"/>
    <n v="4"/>
    <n v="4"/>
    <n v="2"/>
    <n v="8"/>
    <n v="2"/>
    <x v="1"/>
    <n v="8"/>
    <n v="7"/>
    <n v="1"/>
    <n v="7"/>
    <x v="2"/>
    <x v="2"/>
    <n v="0"/>
    <x v="1"/>
    <s v="Bachelor"/>
    <x v="2"/>
    <x v="1"/>
  </r>
  <r>
    <n v="36"/>
    <s v="No"/>
    <x v="2"/>
    <n v="301"/>
    <x v="0"/>
    <n v="15"/>
    <n v="4"/>
    <s v="Marketing"/>
    <n v="2036"/>
    <n v="4"/>
    <x v="1"/>
    <n v="88"/>
    <n v="1"/>
    <x v="0"/>
    <x v="0"/>
    <n v="4"/>
    <x v="2"/>
    <n v="5406"/>
    <n v="10436"/>
    <n v="1"/>
    <x v="1"/>
    <n v="24"/>
    <n v="4"/>
    <n v="1"/>
    <n v="1"/>
    <n v="15"/>
    <n v="4"/>
    <x v="2"/>
    <n v="15"/>
    <n v="12"/>
    <n v="11"/>
    <n v="11"/>
    <x v="0"/>
    <x v="0"/>
    <n v="0"/>
    <x v="0"/>
    <s v="Master"/>
    <x v="0"/>
    <x v="2"/>
  </r>
  <r>
    <n v="41"/>
    <s v="No"/>
    <x v="0"/>
    <n v="930"/>
    <x v="0"/>
    <n v="3"/>
    <n v="3"/>
    <s v="Life Sciences"/>
    <n v="2037"/>
    <n v="3"/>
    <x v="1"/>
    <n v="57"/>
    <n v="2"/>
    <x v="0"/>
    <x v="0"/>
    <n v="2"/>
    <x v="2"/>
    <n v="8938"/>
    <n v="12227"/>
    <n v="2"/>
    <x v="1"/>
    <n v="11"/>
    <n v="3"/>
    <n v="3"/>
    <n v="1"/>
    <n v="14"/>
    <n v="5"/>
    <x v="1"/>
    <n v="5"/>
    <n v="4"/>
    <n v="0"/>
    <n v="4"/>
    <x v="0"/>
    <x v="0"/>
    <n v="0"/>
    <x v="2"/>
    <s v="Bachelor"/>
    <x v="1"/>
    <x v="1"/>
  </r>
  <r>
    <n v="32"/>
    <s v="No"/>
    <x v="0"/>
    <n v="529"/>
    <x v="1"/>
    <n v="2"/>
    <n v="3"/>
    <s v="Technical Degree"/>
    <n v="2038"/>
    <n v="4"/>
    <x v="1"/>
    <n v="78"/>
    <n v="3"/>
    <x v="1"/>
    <x v="1"/>
    <n v="1"/>
    <x v="0"/>
    <n v="2439"/>
    <n v="11288"/>
    <n v="1"/>
    <x v="1"/>
    <n v="14"/>
    <n v="3"/>
    <n v="4"/>
    <n v="0"/>
    <n v="4"/>
    <n v="4"/>
    <x v="1"/>
    <n v="4"/>
    <n v="2"/>
    <n v="1"/>
    <n v="2"/>
    <x v="2"/>
    <x v="0"/>
    <n v="0"/>
    <x v="2"/>
    <s v="Bachelor"/>
    <x v="3"/>
    <x v="1"/>
  </r>
  <r>
    <n v="35"/>
    <s v="No"/>
    <x v="0"/>
    <n v="1146"/>
    <x v="2"/>
    <n v="26"/>
    <n v="4"/>
    <s v="Life Sciences"/>
    <n v="2040"/>
    <n v="3"/>
    <x v="0"/>
    <n v="31"/>
    <n v="3"/>
    <x v="2"/>
    <x v="8"/>
    <n v="4"/>
    <x v="0"/>
    <n v="8837"/>
    <n v="16642"/>
    <n v="1"/>
    <x v="0"/>
    <n v="16"/>
    <n v="3"/>
    <n v="3"/>
    <n v="0"/>
    <n v="9"/>
    <n v="2"/>
    <x v="1"/>
    <n v="9"/>
    <n v="0"/>
    <n v="1"/>
    <n v="7"/>
    <x v="2"/>
    <x v="0"/>
    <n v="0"/>
    <x v="1"/>
    <s v="Master"/>
    <x v="0"/>
    <x v="1"/>
  </r>
  <r>
    <n v="38"/>
    <s v="No"/>
    <x v="0"/>
    <n v="345"/>
    <x v="0"/>
    <n v="10"/>
    <n v="2"/>
    <s v="Life Sciences"/>
    <n v="2041"/>
    <n v="1"/>
    <x v="0"/>
    <n v="100"/>
    <n v="3"/>
    <x v="0"/>
    <x v="0"/>
    <n v="4"/>
    <x v="1"/>
    <n v="5343"/>
    <n v="5982"/>
    <n v="1"/>
    <x v="1"/>
    <n v="11"/>
    <n v="3"/>
    <n v="3"/>
    <n v="1"/>
    <n v="10"/>
    <n v="1"/>
    <x v="1"/>
    <n v="10"/>
    <n v="7"/>
    <n v="1"/>
    <n v="9"/>
    <x v="0"/>
    <x v="3"/>
    <n v="0"/>
    <x v="1"/>
    <s v="College"/>
    <x v="0"/>
    <x v="1"/>
  </r>
  <r>
    <n v="50"/>
    <s v="Yes"/>
    <x v="1"/>
    <n v="878"/>
    <x v="0"/>
    <n v="1"/>
    <n v="4"/>
    <s v="Life Sciences"/>
    <n v="2044"/>
    <n v="2"/>
    <x v="1"/>
    <n v="94"/>
    <n v="3"/>
    <x v="0"/>
    <x v="0"/>
    <n v="3"/>
    <x v="2"/>
    <n v="6728"/>
    <n v="14255"/>
    <n v="7"/>
    <x v="1"/>
    <n v="12"/>
    <n v="3"/>
    <n v="4"/>
    <n v="2"/>
    <n v="12"/>
    <n v="3"/>
    <x v="1"/>
    <n v="6"/>
    <n v="3"/>
    <n v="0"/>
    <n v="1"/>
    <x v="1"/>
    <x v="0"/>
    <n v="1"/>
    <x v="1"/>
    <s v="Master"/>
    <x v="2"/>
    <x v="1"/>
  </r>
  <r>
    <n v="36"/>
    <s v="No"/>
    <x v="0"/>
    <n v="1120"/>
    <x v="0"/>
    <n v="11"/>
    <n v="4"/>
    <s v="Marketing"/>
    <n v="2045"/>
    <n v="2"/>
    <x v="0"/>
    <n v="100"/>
    <n v="2"/>
    <x v="0"/>
    <x v="0"/>
    <n v="4"/>
    <x v="1"/>
    <n v="6652"/>
    <n v="14369"/>
    <n v="4"/>
    <x v="1"/>
    <n v="13"/>
    <n v="3"/>
    <n v="1"/>
    <n v="1"/>
    <n v="8"/>
    <n v="2"/>
    <x v="2"/>
    <n v="6"/>
    <n v="3"/>
    <n v="0"/>
    <n v="0"/>
    <x v="0"/>
    <x v="0"/>
    <n v="0"/>
    <x v="0"/>
    <s v="Master"/>
    <x v="0"/>
    <x v="2"/>
  </r>
  <r>
    <n v="45"/>
    <s v="No"/>
    <x v="0"/>
    <n v="374"/>
    <x v="0"/>
    <n v="20"/>
    <n v="3"/>
    <s v="Life Sciences"/>
    <n v="2046"/>
    <n v="4"/>
    <x v="0"/>
    <n v="50"/>
    <n v="3"/>
    <x v="0"/>
    <x v="0"/>
    <n v="3"/>
    <x v="0"/>
    <n v="4850"/>
    <n v="23333"/>
    <n v="8"/>
    <x v="1"/>
    <n v="15"/>
    <n v="3"/>
    <n v="3"/>
    <n v="0"/>
    <n v="8"/>
    <n v="3"/>
    <x v="1"/>
    <n v="5"/>
    <n v="3"/>
    <n v="0"/>
    <n v="1"/>
    <x v="0"/>
    <x v="0"/>
    <n v="0"/>
    <x v="2"/>
    <s v="Bachelor"/>
    <x v="2"/>
    <x v="1"/>
  </r>
  <r>
    <n v="40"/>
    <s v="No"/>
    <x v="0"/>
    <n v="1322"/>
    <x v="1"/>
    <n v="2"/>
    <n v="4"/>
    <s v="Life Sciences"/>
    <n v="2048"/>
    <n v="3"/>
    <x v="1"/>
    <n v="52"/>
    <n v="2"/>
    <x v="1"/>
    <x v="1"/>
    <n v="3"/>
    <x v="0"/>
    <n v="2809"/>
    <n v="2725"/>
    <n v="2"/>
    <x v="1"/>
    <n v="14"/>
    <n v="3"/>
    <n v="4"/>
    <n v="0"/>
    <n v="8"/>
    <n v="2"/>
    <x v="1"/>
    <n v="2"/>
    <n v="2"/>
    <n v="2"/>
    <n v="2"/>
    <x v="0"/>
    <x v="1"/>
    <n v="0"/>
    <x v="2"/>
    <s v="Master"/>
    <x v="2"/>
    <x v="1"/>
  </r>
  <r>
    <n v="35"/>
    <s v="No"/>
    <x v="1"/>
    <n v="1199"/>
    <x v="1"/>
    <n v="18"/>
    <n v="4"/>
    <s v="Life Sciences"/>
    <n v="2049"/>
    <n v="3"/>
    <x v="1"/>
    <n v="80"/>
    <n v="3"/>
    <x v="0"/>
    <x v="4"/>
    <n v="3"/>
    <x v="1"/>
    <n v="5689"/>
    <n v="24594"/>
    <n v="1"/>
    <x v="0"/>
    <n v="14"/>
    <n v="3"/>
    <n v="4"/>
    <n v="2"/>
    <n v="10"/>
    <n v="2"/>
    <x v="3"/>
    <n v="10"/>
    <n v="2"/>
    <n v="0"/>
    <n v="2"/>
    <x v="2"/>
    <x v="0"/>
    <n v="0"/>
    <x v="1"/>
    <s v="Master"/>
    <x v="2"/>
    <x v="3"/>
  </r>
  <r>
    <n v="40"/>
    <s v="No"/>
    <x v="0"/>
    <n v="1194"/>
    <x v="1"/>
    <n v="2"/>
    <n v="4"/>
    <s v="Medical"/>
    <n v="2051"/>
    <n v="3"/>
    <x v="0"/>
    <n v="98"/>
    <n v="3"/>
    <x v="1"/>
    <x v="1"/>
    <n v="3"/>
    <x v="1"/>
    <n v="2001"/>
    <n v="12549"/>
    <n v="2"/>
    <x v="1"/>
    <n v="14"/>
    <n v="3"/>
    <n v="2"/>
    <n v="3"/>
    <n v="20"/>
    <n v="2"/>
    <x v="1"/>
    <n v="5"/>
    <n v="3"/>
    <n v="0"/>
    <n v="2"/>
    <x v="0"/>
    <x v="0"/>
    <n v="0"/>
    <x v="2"/>
    <s v="Master"/>
    <x v="2"/>
    <x v="1"/>
  </r>
  <r>
    <n v="35"/>
    <s v="No"/>
    <x v="0"/>
    <n v="287"/>
    <x v="1"/>
    <n v="1"/>
    <n v="4"/>
    <s v="Life Sciences"/>
    <n v="2052"/>
    <n v="3"/>
    <x v="0"/>
    <n v="62"/>
    <n v="1"/>
    <x v="1"/>
    <x v="1"/>
    <n v="4"/>
    <x v="1"/>
    <n v="2977"/>
    <n v="8952"/>
    <n v="1"/>
    <x v="1"/>
    <n v="12"/>
    <n v="3"/>
    <n v="4"/>
    <n v="1"/>
    <n v="4"/>
    <n v="5"/>
    <x v="1"/>
    <n v="4"/>
    <n v="3"/>
    <n v="1"/>
    <n v="1"/>
    <x v="2"/>
    <x v="2"/>
    <n v="0"/>
    <x v="2"/>
    <s v="Master"/>
    <x v="0"/>
    <x v="1"/>
  </r>
  <r>
    <n v="29"/>
    <s v="No"/>
    <x v="0"/>
    <n v="1378"/>
    <x v="1"/>
    <n v="13"/>
    <n v="2"/>
    <s v="Other"/>
    <n v="2053"/>
    <n v="4"/>
    <x v="1"/>
    <n v="46"/>
    <n v="2"/>
    <x v="0"/>
    <x v="2"/>
    <n v="2"/>
    <x v="1"/>
    <n v="4025"/>
    <n v="23679"/>
    <n v="4"/>
    <x v="0"/>
    <n v="13"/>
    <n v="3"/>
    <n v="1"/>
    <n v="1"/>
    <n v="10"/>
    <n v="2"/>
    <x v="1"/>
    <n v="4"/>
    <n v="3"/>
    <n v="0"/>
    <n v="3"/>
    <x v="2"/>
    <x v="0"/>
    <n v="0"/>
    <x v="2"/>
    <s v="College"/>
    <x v="1"/>
    <x v="1"/>
  </r>
  <r>
    <n v="29"/>
    <s v="No"/>
    <x v="0"/>
    <n v="468"/>
    <x v="1"/>
    <n v="28"/>
    <n v="4"/>
    <s v="Medical"/>
    <n v="2054"/>
    <n v="4"/>
    <x v="0"/>
    <n v="73"/>
    <n v="2"/>
    <x v="1"/>
    <x v="1"/>
    <n v="1"/>
    <x v="0"/>
    <n v="3785"/>
    <n v="8489"/>
    <n v="1"/>
    <x v="1"/>
    <n v="14"/>
    <n v="3"/>
    <n v="2"/>
    <n v="0"/>
    <n v="5"/>
    <n v="3"/>
    <x v="0"/>
    <n v="5"/>
    <n v="4"/>
    <n v="0"/>
    <n v="4"/>
    <x v="2"/>
    <x v="2"/>
    <n v="0"/>
    <x v="0"/>
    <s v="Master"/>
    <x v="3"/>
    <x v="0"/>
  </r>
  <r>
    <n v="50"/>
    <s v="Yes"/>
    <x v="0"/>
    <n v="410"/>
    <x v="0"/>
    <n v="28"/>
    <n v="3"/>
    <s v="Marketing"/>
    <n v="2055"/>
    <n v="4"/>
    <x v="1"/>
    <n v="39"/>
    <n v="2"/>
    <x v="2"/>
    <x v="0"/>
    <n v="1"/>
    <x v="2"/>
    <n v="10854"/>
    <n v="16586"/>
    <n v="4"/>
    <x v="0"/>
    <n v="13"/>
    <n v="3"/>
    <n v="2"/>
    <n v="1"/>
    <n v="20"/>
    <n v="3"/>
    <x v="1"/>
    <n v="3"/>
    <n v="2"/>
    <n v="2"/>
    <n v="0"/>
    <x v="1"/>
    <x v="0"/>
    <n v="1"/>
    <x v="2"/>
    <s v="Bachelor"/>
    <x v="3"/>
    <x v="1"/>
  </r>
  <r>
    <n v="39"/>
    <s v="No"/>
    <x v="0"/>
    <n v="722"/>
    <x v="0"/>
    <n v="24"/>
    <n v="1"/>
    <s v="Marketing"/>
    <n v="2056"/>
    <n v="2"/>
    <x v="0"/>
    <n v="60"/>
    <n v="2"/>
    <x v="3"/>
    <x v="0"/>
    <n v="4"/>
    <x v="1"/>
    <n v="12031"/>
    <n v="8828"/>
    <n v="0"/>
    <x v="1"/>
    <n v="11"/>
    <n v="3"/>
    <n v="1"/>
    <n v="1"/>
    <n v="21"/>
    <n v="2"/>
    <x v="2"/>
    <n v="20"/>
    <n v="9"/>
    <n v="9"/>
    <n v="6"/>
    <x v="0"/>
    <x v="2"/>
    <n v="0"/>
    <x v="0"/>
    <s v="Below College"/>
    <x v="0"/>
    <x v="2"/>
  </r>
  <r>
    <n v="31"/>
    <s v="No"/>
    <x v="2"/>
    <n v="325"/>
    <x v="1"/>
    <n v="5"/>
    <n v="3"/>
    <s v="Medical"/>
    <n v="2057"/>
    <n v="2"/>
    <x v="1"/>
    <n v="74"/>
    <n v="3"/>
    <x v="0"/>
    <x v="3"/>
    <n v="1"/>
    <x v="0"/>
    <n v="9936"/>
    <n v="3787"/>
    <n v="0"/>
    <x v="1"/>
    <n v="19"/>
    <n v="3"/>
    <n v="2"/>
    <n v="0"/>
    <n v="10"/>
    <n v="2"/>
    <x v="1"/>
    <n v="9"/>
    <n v="4"/>
    <n v="1"/>
    <n v="7"/>
    <x v="2"/>
    <x v="3"/>
    <n v="0"/>
    <x v="1"/>
    <s v="Bachelor"/>
    <x v="3"/>
    <x v="1"/>
  </r>
  <r>
    <n v="26"/>
    <s v="No"/>
    <x v="0"/>
    <n v="1167"/>
    <x v="0"/>
    <n v="5"/>
    <n v="3"/>
    <s v="Other"/>
    <n v="2060"/>
    <n v="4"/>
    <x v="0"/>
    <n v="30"/>
    <n v="2"/>
    <x v="1"/>
    <x v="6"/>
    <n v="3"/>
    <x v="0"/>
    <n v="2966"/>
    <n v="21378"/>
    <n v="0"/>
    <x v="1"/>
    <n v="18"/>
    <n v="3"/>
    <n v="4"/>
    <n v="0"/>
    <n v="5"/>
    <n v="2"/>
    <x v="1"/>
    <n v="4"/>
    <n v="2"/>
    <n v="0"/>
    <n v="0"/>
    <x v="2"/>
    <x v="0"/>
    <n v="0"/>
    <x v="2"/>
    <s v="Bachelor"/>
    <x v="2"/>
    <x v="1"/>
  </r>
  <r>
    <n v="36"/>
    <s v="No"/>
    <x v="1"/>
    <n v="884"/>
    <x v="1"/>
    <n v="23"/>
    <n v="2"/>
    <s v="Medical"/>
    <n v="2061"/>
    <n v="3"/>
    <x v="1"/>
    <n v="41"/>
    <n v="4"/>
    <x v="0"/>
    <x v="2"/>
    <n v="4"/>
    <x v="1"/>
    <n v="2571"/>
    <n v="12290"/>
    <n v="4"/>
    <x v="1"/>
    <n v="17"/>
    <n v="3"/>
    <n v="3"/>
    <n v="1"/>
    <n v="17"/>
    <n v="3"/>
    <x v="1"/>
    <n v="5"/>
    <n v="2"/>
    <n v="0"/>
    <n v="3"/>
    <x v="0"/>
    <x v="0"/>
    <n v="0"/>
    <x v="2"/>
    <s v="College"/>
    <x v="0"/>
    <x v="1"/>
  </r>
  <r>
    <n v="39"/>
    <s v="No"/>
    <x v="0"/>
    <n v="613"/>
    <x v="1"/>
    <n v="6"/>
    <n v="1"/>
    <s v="Medical"/>
    <n v="2062"/>
    <n v="4"/>
    <x v="1"/>
    <n v="42"/>
    <n v="2"/>
    <x v="2"/>
    <x v="4"/>
    <n v="1"/>
    <x v="1"/>
    <n v="9991"/>
    <n v="21457"/>
    <n v="4"/>
    <x v="1"/>
    <n v="15"/>
    <n v="3"/>
    <n v="1"/>
    <n v="1"/>
    <n v="9"/>
    <n v="5"/>
    <x v="1"/>
    <n v="7"/>
    <n v="7"/>
    <n v="1"/>
    <n v="7"/>
    <x v="0"/>
    <x v="0"/>
    <n v="0"/>
    <x v="1"/>
    <s v="Below College"/>
    <x v="3"/>
    <x v="1"/>
  </r>
  <r>
    <n v="27"/>
    <s v="No"/>
    <x v="0"/>
    <n v="155"/>
    <x v="1"/>
    <n v="4"/>
    <n v="3"/>
    <s v="Life Sciences"/>
    <n v="2064"/>
    <n v="2"/>
    <x v="1"/>
    <n v="87"/>
    <n v="4"/>
    <x v="0"/>
    <x v="3"/>
    <n v="2"/>
    <x v="1"/>
    <n v="6142"/>
    <n v="5174"/>
    <n v="1"/>
    <x v="0"/>
    <n v="20"/>
    <n v="4"/>
    <n v="2"/>
    <n v="1"/>
    <n v="6"/>
    <n v="0"/>
    <x v="1"/>
    <n v="6"/>
    <n v="2"/>
    <n v="0"/>
    <n v="3"/>
    <x v="2"/>
    <x v="3"/>
    <n v="0"/>
    <x v="1"/>
    <s v="Bachelor"/>
    <x v="1"/>
    <x v="1"/>
  </r>
  <r>
    <n v="49"/>
    <s v="No"/>
    <x v="1"/>
    <n v="1023"/>
    <x v="0"/>
    <n v="2"/>
    <n v="3"/>
    <s v="Medical"/>
    <n v="2065"/>
    <n v="4"/>
    <x v="1"/>
    <n v="63"/>
    <n v="2"/>
    <x v="0"/>
    <x v="0"/>
    <n v="2"/>
    <x v="1"/>
    <n v="5390"/>
    <n v="13243"/>
    <n v="2"/>
    <x v="1"/>
    <n v="14"/>
    <n v="3"/>
    <n v="4"/>
    <n v="0"/>
    <n v="17"/>
    <n v="3"/>
    <x v="2"/>
    <n v="9"/>
    <n v="6"/>
    <n v="0"/>
    <n v="8"/>
    <x v="1"/>
    <x v="0"/>
    <n v="0"/>
    <x v="0"/>
    <s v="Bachelor"/>
    <x v="1"/>
    <x v="2"/>
  </r>
  <r>
    <n v="34"/>
    <s v="No"/>
    <x v="0"/>
    <n v="628"/>
    <x v="1"/>
    <n v="8"/>
    <n v="3"/>
    <s v="Medical"/>
    <n v="2068"/>
    <n v="2"/>
    <x v="1"/>
    <n v="82"/>
    <n v="4"/>
    <x v="0"/>
    <x v="2"/>
    <n v="3"/>
    <x v="1"/>
    <n v="4404"/>
    <n v="10228"/>
    <n v="2"/>
    <x v="1"/>
    <n v="12"/>
    <n v="3"/>
    <n v="1"/>
    <n v="0"/>
    <n v="6"/>
    <n v="3"/>
    <x v="3"/>
    <n v="4"/>
    <n v="3"/>
    <n v="1"/>
    <n v="2"/>
    <x v="2"/>
    <x v="0"/>
    <n v="0"/>
    <x v="2"/>
    <s v="Bachelor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F31D7-8104-4238-8A95-5A48973D17AC}" name="PivotTable1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Work Life Balance">
  <location ref="M14:O19" firstHeaderRow="0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3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8" subtotal="count" baseField="38" baseItem="0"/>
    <dataField name="Attrited" fld="34" baseField="38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38" type="button" dataOnly="0" labelOnly="1" outline="0" axis="axisRow" fieldPosition="0"/>
    </format>
    <format dxfId="39">
      <pivotArea dataOnly="0" labelOnly="1" fieldPosition="0">
        <references count="1">
          <reference field="38" count="0"/>
        </references>
      </pivotArea>
    </format>
    <format dxfId="38">
      <pivotArea dataOnly="0" labelOnly="1" grandRow="1" outline="0" fieldPosition="0"/>
    </format>
    <format dxfId="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1BA9C-4FC8-4FCE-BDD0-AE6A6B105C5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C6:E10" firstHeaderRow="0" firstDataRow="1" firstDataCol="1"/>
  <pivotFields count="39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8" subtotal="count" baseField="4" baseItem="0"/>
    <dataField name="Attrited" fld="34" baseField="4" baseItem="0"/>
  </dataFields>
  <formats count="6"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4" type="button" dataOnly="0" labelOnly="1" outline="0" axis="axisRow" fieldPosition="0"/>
    </format>
    <format dxfId="45">
      <pivotArea dataOnly="0" labelOnly="1" fieldPosition="0">
        <references count="1">
          <reference field="4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F68C0-5EEF-4316-B623-8BC2E849FBF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vertime">
  <location ref="C22:E25" firstHeaderRow="0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8" subtotal="count" baseField="20" baseItem="0"/>
    <dataField name="Attrited" fld="34" baseField="20" baseItem="0"/>
  </dataFields>
  <formats count="6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20" type="button" dataOnly="0" labelOnly="1" outline="0" axis="axisRow" fieldPosition="0"/>
    </format>
    <format dxfId="51">
      <pivotArea dataOnly="0" labelOnly="1" fieldPosition="0">
        <references count="1">
          <reference field="20" count="0"/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588ED-6556-4C27-8444-A558876B9F56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arital Status">
  <location ref="H22:J26" firstHeaderRow="0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8" subtotal="count" baseField="16" baseItem="0"/>
    <dataField name="attrited" fld="34" baseField="16" baseItem="0"/>
  </dataFields>
  <formats count="6"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6" type="button" dataOnly="0" labelOnly="1" outline="0" axis="axisRow" fieldPosition="0"/>
    </format>
    <format dxfId="57">
      <pivotArea dataOnly="0" labelOnly="1" fieldPosition="0">
        <references count="1">
          <reference field="16" count="0"/>
        </references>
      </pivotArea>
    </format>
    <format dxfId="56">
      <pivotArea dataOnly="0" labelOnly="1" grandRow="1" outline="0" fieldPosition="0"/>
    </format>
    <format dxfId="5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4CCC1-3F14-4C68-AFAA-E7F9024B03CD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tisfaction">
  <location ref="H14:J19" firstHeaderRow="0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</pivotFields>
  <rowFields count="1">
    <field x="3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8" subtotal="count" baseField="37" baseItem="0"/>
    <dataField name="Attrited" fld="34" baseField="37" baseItem="0"/>
  </dataFields>
  <formats count="6">
    <format dxfId="66">
      <pivotArea type="all" dataOnly="0" outline="0" fieldPosition="0"/>
    </format>
    <format dxfId="65">
      <pivotArea outline="0" collapsedLevelsAreSubtotals="1" fieldPosition="0"/>
    </format>
    <format dxfId="64">
      <pivotArea field="37" type="button" dataOnly="0" labelOnly="1" outline="0" axis="axisRow" fieldPosition="0"/>
    </format>
    <format dxfId="63">
      <pivotArea dataOnly="0" labelOnly="1" fieldPosition="0">
        <references count="1">
          <reference field="37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DBE3D-8AAB-4FC8-8C24-146987BD5BF6}" name="PivotTable1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Tenure Band">
  <location ref="M6:O11" firstHeaderRow="0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</pivotFields>
  <rowFields count="1">
    <field x="3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8" subtotal="count" baseField="35" baseItem="0"/>
    <dataField name="Attrited" fld="34" baseField="0" baseItem="0"/>
  </dataFields>
  <formats count="6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35" type="button" dataOnly="0" labelOnly="1" outline="0" axis="axisRow" fieldPosition="0"/>
    </format>
    <format dxfId="69">
      <pivotArea dataOnly="0" labelOnly="1" fieldPosition="0">
        <references count="1">
          <reference field="35" count="0"/>
        </references>
      </pivotArea>
    </format>
    <format dxfId="68">
      <pivotArea dataOnly="0" labelOnly="1" grandRow="1" outline="0" fieldPosition="0"/>
    </format>
    <format dxfId="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95822-A537-43D5-A691-A48E13F9291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usiness Travel">
  <location ref="C14:E18" firstHeaderRow="0" firstDataRow="1" firstDataCol="1"/>
  <pivotFields count="39"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8" subtotal="count" baseField="2" baseItem="0"/>
    <dataField name="Attrited" fld="34" baseField="2" baseItem="0"/>
  </dataFields>
  <formats count="6">
    <format dxfId="78">
      <pivotArea type="all" dataOnly="0" outline="0" fieldPosition="0"/>
    </format>
    <format dxfId="77">
      <pivotArea outline="0" collapsedLevelsAreSubtotals="1" fieldPosition="0"/>
    </format>
    <format dxfId="76">
      <pivotArea field="2" type="button" dataOnly="0" labelOnly="1" outline="0" axis="axisRow" fieldPosition="0"/>
    </format>
    <format dxfId="75">
      <pivotArea dataOnly="0" labelOnly="1" fieldPosition="0">
        <references count="1">
          <reference field="2" count="0"/>
        </references>
      </pivotArea>
    </format>
    <format dxfId="74">
      <pivotArea dataOnly="0" labelOnly="1" grandRow="1" outline="0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2072C-1DDA-4CE1-9E1F-254449F8B049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M22:O25" firstHeaderRow="0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8" subtotal="count" baseField="10" baseItem="0"/>
    <dataField name="Attrited" fld="34" baseField="10" baseItem="0"/>
  </dataFields>
  <formats count="12">
    <format dxfId="90">
      <pivotArea type="all" dataOnly="0" outline="0" fieldPosition="0"/>
    </format>
    <format dxfId="89">
      <pivotArea outline="0" collapsedLevelsAreSubtotals="1" fieldPosition="0"/>
    </format>
    <format dxfId="88">
      <pivotArea field="10" type="button" dataOnly="0" labelOnly="1" outline="0" axis="axisRow" fieldPosition="0"/>
    </format>
    <format dxfId="87">
      <pivotArea dataOnly="0" labelOnly="1" fieldPosition="0">
        <references count="1">
          <reference field="10" count="0"/>
        </references>
      </pivotArea>
    </format>
    <format dxfId="86">
      <pivotArea dataOnly="0" labelOnly="1" grandRow="1" outline="0" fieldPosition="0"/>
    </format>
    <format dxfId="8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10" type="button" dataOnly="0" labelOnly="1" outline="0" axis="axisRow" fieldPosition="0"/>
    </format>
    <format dxfId="81">
      <pivotArea dataOnly="0" labelOnly="1" fieldPosition="0">
        <references count="1">
          <reference field="10" count="0"/>
        </references>
      </pivotArea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4FAB2-DC7A-4F0A-AF79-1BE2CF706F2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H6:J11" firstHeaderRow="0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" fld="8" subtotal="count" baseField="32" baseItem="0"/>
    <dataField name="Attrited" fld="34" baseField="0" baseItem="0"/>
  </dataFields>
  <formats count="6"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32" type="button" dataOnly="0" labelOnly="1" outline="0" axis="axisRow" fieldPosition="0"/>
    </format>
    <format dxfId="93">
      <pivotArea dataOnly="0" labelOnly="1" fieldPosition="0">
        <references count="1">
          <reference field="32" count="0"/>
        </references>
      </pivotArea>
    </format>
    <format dxfId="92">
      <pivotArea dataOnly="0" labelOnly="1" grandRow="1" outline="0" fieldPosition="0"/>
    </format>
    <format dxfId="9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F3DE6-29D6-439D-A307-AE3E39ED6420}" name="PivotTable1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Role">
  <location ref="D6:H16" firstHeaderRow="0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Salary" fld="17" subtotal="average" baseField="14" baseItem="0"/>
    <dataField name="Min Salary" fld="17" subtotal="min" baseField="14" baseItem="0"/>
    <dataField name="Max Salary" fld="17" subtotal="max" baseField="14" baseItem="0"/>
    <dataField name="Head Count" fld="8" subtotal="count" baseField="14" baseItem="0"/>
  </dataFields>
  <formats count="8">
    <format dxfId="11">
      <pivotArea dataOnly="0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14" count="0"/>
        </references>
      </pivotArea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4" type="button" dataOnly="0" labelOnly="1" outline="0" axis="axisRow" fieldPosition="0"/>
    </format>
    <format dxfId="6">
      <pivotArea dataOnly="0" labelOnly="1" fieldPosition="0">
        <references count="1">
          <reference field="14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667BD-3680-4E71-8476-AE77D8426985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level">
  <location ref="D22:G28" firstHeaderRow="0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" fld="8" subtotal="count" baseField="13" baseItem="0"/>
    <dataField name="Average" fld="17" subtotal="average" baseField="13" baseItem="0"/>
    <dataField name="Attrited" fld="34" baseField="13" baseItem="0"/>
  </dataFields>
  <formats count="5">
    <format dxfId="16">
      <pivotArea collapsedLevelsAreSubtotals="1" fieldPosition="0">
        <references count="2">
          <reference field="4294967294" count="1" selected="0">
            <x v="1"/>
          </reference>
          <reference field="13" count="0"/>
        </references>
      </pivotArea>
    </format>
    <format dxfId="15">
      <pivotArea field="13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grandRow="1" outline="0" collapsedLevelsAreSubtotals="1" fieldPosition="0"/>
    </format>
    <format dxfId="12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2C732-058D-451A-81F8-B9FF46833585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K6:P11" firstHeaderRow="1" firstDataRow="2" firstDataCol="1"/>
  <pivotFields count="39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3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Number" fld="8" subtotal="count" showDataAs="percentOfRow" baseField="4" baseItem="1" numFmtId="10"/>
  </dataFields>
  <formats count="20">
    <format dxfId="36">
      <pivotArea type="origin" dataOnly="0" labelOnly="1" outline="0" fieldPosition="0"/>
    </format>
    <format dxfId="35">
      <pivotArea field="33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4" type="button" dataOnly="0" labelOnly="1" outline="0" axis="axisRow" fieldPosition="0"/>
    </format>
    <format dxfId="32">
      <pivotArea dataOnly="0" labelOnly="1" fieldPosition="0">
        <references count="1">
          <reference field="33" count="0"/>
        </references>
      </pivotArea>
    </format>
    <format dxfId="31">
      <pivotArea dataOnly="0" labelOnly="1" grandCol="1" outline="0" fieldPosition="0"/>
    </format>
    <format dxfId="30">
      <pivotArea collapsedLevelsAreSubtotals="1" fieldPosition="0">
        <references count="1">
          <reference field="4" count="0"/>
        </references>
      </pivotArea>
    </format>
    <format dxfId="29">
      <pivotArea dataOnly="0" labelOnly="1" fieldPosition="0">
        <references count="1">
          <reference field="4" count="0"/>
        </references>
      </pivotArea>
    </format>
    <format dxfId="28">
      <pivotArea grandRow="1" outline="0" collapsedLevelsAreSubtotals="1" fieldPosition="0"/>
    </format>
    <format dxfId="27">
      <pivotArea dataOnly="0" labelOnly="1" grandRow="1" outline="0" fieldPosition="0"/>
    </format>
    <format dxfId="26">
      <pivotArea type="origin" dataOnly="0" labelOnly="1" outline="0" fieldPosition="0"/>
    </format>
    <format dxfId="25">
      <pivotArea field="33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4" type="button" dataOnly="0" labelOnly="1" outline="0" axis="axisRow" fieldPosition="0"/>
    </format>
    <format dxfId="22">
      <pivotArea dataOnly="0" labelOnly="1" fieldPosition="0">
        <references count="1">
          <reference field="33" count="0"/>
        </references>
      </pivotArea>
    </format>
    <format dxfId="21">
      <pivotArea dataOnly="0" labelOnly="1" grandCol="1" outline="0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collapsedLevelsAreSubtotals="1" fieldPosition="0">
        <references count="1">
          <reference field="4" count="0"/>
        </references>
      </pivotArea>
    </format>
    <format dxfId="17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79A1F9-5D34-4DBC-8588-FB8532959EE0}" name="Table2" displayName="Table2" ref="A1:AN1471" totalsRowShown="0" headerRowDxfId="100" headerRowBorderDxfId="99" tableBorderDxfId="98">
  <autoFilter ref="A1:AN1471" xr:uid="{F079A1F9-5D34-4DBC-8588-FB8532959EE0}"/>
  <tableColumns count="40">
    <tableColumn id="1" xr3:uid="{84CB526E-715E-4415-A8DB-1594B30E142D}" name="Age"/>
    <tableColumn id="2" xr3:uid="{90073473-C817-46A1-A8E3-66877A091E06}" name="Attrition" dataDxfId="97"/>
    <tableColumn id="3" xr3:uid="{1F69441A-B549-4DE8-ACDF-FD6FBAD7A51C}" name="BusinessTravel"/>
    <tableColumn id="4" xr3:uid="{E1442DAD-FA26-4C65-A8E1-9010A6DAFAE4}" name="DailyRate"/>
    <tableColumn id="5" xr3:uid="{4A8D3E42-F077-4049-AFA7-03DD2BAD5CEB}" name="Department"/>
    <tableColumn id="6" xr3:uid="{27C6E083-455A-4C24-A414-291AF1D64F1E}" name="DistanceFromHome"/>
    <tableColumn id="7" xr3:uid="{760DB876-8895-4230-BD27-E88D9B641CA3}" name="Education"/>
    <tableColumn id="8" xr3:uid="{D374DB46-3DF6-44F6-BD4F-CF415B294A76}" name="EducationField"/>
    <tableColumn id="9" xr3:uid="{8116DC3E-F562-4F05-A7E5-7F8E236890A3}" name="EmployeeNumber"/>
    <tableColumn id="10" xr3:uid="{B9E14307-0395-495A-9AF7-EE652D621509}" name="EnvironmentSatisfaction"/>
    <tableColumn id="11" xr3:uid="{5A5DF7BC-9FD5-4BC7-83D8-034EE9BED06C}" name="Gender"/>
    <tableColumn id="12" xr3:uid="{08E59981-766E-4784-9BD7-8D50E3FDF53C}" name="HourlyRate"/>
    <tableColumn id="13" xr3:uid="{0FC41B3F-A1DF-4783-AC13-A3DA27142576}" name="JobInvolvement"/>
    <tableColumn id="14" xr3:uid="{04F29683-B14E-40AC-8827-8BB084851A20}" name="JobLevel"/>
    <tableColumn id="15" xr3:uid="{3C2AF407-9CB4-44BE-85B8-089CBC439A4C}" name="JobRole"/>
    <tableColumn id="16" xr3:uid="{F253B316-2B77-4EB3-9C56-961321625A14}" name="JobSatisfaction"/>
    <tableColumn id="17" xr3:uid="{2F9BF2AC-5CA6-49B0-9A3B-92B11CBE7B84}" name="MaritalStatus"/>
    <tableColumn id="18" xr3:uid="{B5826751-0CE7-4392-9F24-FA26D328239E}" name="MonthlyIncome"/>
    <tableColumn id="19" xr3:uid="{11ECEB7C-35C7-4D39-B99C-0F2BA342E968}" name="MonthlyRate"/>
    <tableColumn id="20" xr3:uid="{CFF148FF-CB6A-4808-AC3C-80AFB845D491}" name="NumCompaniesWorked"/>
    <tableColumn id="21" xr3:uid="{4ACBA91A-5670-4476-ADDB-5E0CE88C0682}" name="OverTime"/>
    <tableColumn id="22" xr3:uid="{E954AF88-CDBF-428B-A346-947744FF901B}" name="PercentSalaryHike"/>
    <tableColumn id="23" xr3:uid="{991B2F92-58A5-420E-9542-A06AF37F2142}" name="PerformanceRating"/>
    <tableColumn id="24" xr3:uid="{ED9BA26A-BC75-41E5-9CF2-F88033994CA5}" name="RelationshipSatisfaction"/>
    <tableColumn id="25" xr3:uid="{362DBA3C-3216-4FC4-88BF-89E9BA9CF242}" name="StockOptionLevel"/>
    <tableColumn id="26" xr3:uid="{CDAE9E66-4E6F-4E8A-8798-F3BA6C87E1CE}" name="TotalWorkingYears"/>
    <tableColumn id="27" xr3:uid="{E7A94DD8-EA5D-41B8-81BC-98C1B8E604F0}" name="TrainingTimesLastYear"/>
    <tableColumn id="28" xr3:uid="{82F5C688-FECC-4E3D-B831-72DE3D13D089}" name="WorkLifeBalance"/>
    <tableColumn id="29" xr3:uid="{D461D5D9-B58E-4AAD-BC95-067AF8DBFC27}" name="YearsAtCompany"/>
    <tableColumn id="30" xr3:uid="{C04D521C-9852-48F8-9BFE-BDDA0E9879E2}" name="YearsInCurrentRole"/>
    <tableColumn id="31" xr3:uid="{FC6241AD-FEAA-4C72-98DA-CC8E332A3A70}" name="YearsSinceLastPromotion"/>
    <tableColumn id="32" xr3:uid="{70D364AC-D06C-4E37-B1C5-B4C334AE813A}" name="YearsWithCurrManager"/>
    <tableColumn id="33" xr3:uid="{F7110AFB-F93D-461F-8C12-0E33BF17DA04}" name="AgeGroup"/>
    <tableColumn id="34" xr3:uid="{E7FD6838-B1B5-4352-8C1F-F4351FEEF331}" name="SalaryBand"/>
    <tableColumn id="35" xr3:uid="{75A39A92-8306-49E8-8C19-BB08CBD61ECA}" name="AttritionFlag"/>
    <tableColumn id="36" xr3:uid="{66F8E3BC-41CF-4735-8964-39139921677D}" name="TenureBand"/>
    <tableColumn id="37" xr3:uid="{1219500D-7CDA-4C06-8AE1-27B7FB818499}" name="EducationLabel"/>
    <tableColumn id="38" xr3:uid="{42C28154-3505-47C9-B79C-A07580D59483}" name="JobSatisfactionLabel"/>
    <tableColumn id="39" xr3:uid="{536DF776-181D-4E54-9BB2-241373196EED}" name="WorkLifeBalanceLabel"/>
    <tableColumn id="40" xr3:uid="{6239DEBE-110E-4032-A703-2D91017A5099}" name="RiskScore">
      <calculatedColumnFormula>((3-P2)*3+((3-AB2)*2+AE2))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047E-4D2B-4BDC-8594-E3D0DD64C4CF}">
  <sheetPr codeName="Sheet1"/>
  <dimension ref="A1:AN1471"/>
  <sheetViews>
    <sheetView zoomScaleNormal="100" workbookViewId="0">
      <pane ySplit="1" topLeftCell="A1436" activePane="bottomLeft" state="frozen"/>
      <selection activeCell="AD1" sqref="AD1"/>
      <selection pane="bottomLeft" activeCell="AF1446" sqref="AF1446"/>
    </sheetView>
  </sheetViews>
  <sheetFormatPr defaultRowHeight="14.4"/>
  <cols>
    <col min="1" max="1" width="6.21875" customWidth="1"/>
    <col min="2" max="2" width="10.44140625" customWidth="1"/>
    <col min="3" max="3" width="15.77734375" bestFit="1" customWidth="1"/>
    <col min="4" max="4" width="11.44140625" customWidth="1"/>
    <col min="5" max="5" width="21.88671875" bestFit="1" customWidth="1"/>
    <col min="6" max="6" width="20.109375" customWidth="1"/>
    <col min="7" max="7" width="12" bestFit="1" customWidth="1"/>
    <col min="8" max="8" width="16.33203125" bestFit="1" customWidth="1"/>
    <col min="9" max="9" width="18.33203125" customWidth="1"/>
    <col min="10" max="10" width="24.21875" customWidth="1"/>
    <col min="11" max="11" width="9.21875" customWidth="1"/>
    <col min="12" max="12" width="13" customWidth="1"/>
    <col min="13" max="13" width="16.88671875" customWidth="1"/>
    <col min="14" max="14" width="10.77734375" customWidth="1"/>
    <col min="15" max="15" width="22.88671875" bestFit="1" customWidth="1"/>
    <col min="16" max="16" width="16.21875" customWidth="1"/>
    <col min="17" max="17" width="14.6640625" customWidth="1"/>
    <col min="18" max="18" width="16.77734375" customWidth="1"/>
    <col min="19" max="19" width="14.33203125" customWidth="1"/>
    <col min="20" max="20" width="23.6640625" customWidth="1"/>
    <col min="21" max="21" width="11.44140625" customWidth="1"/>
    <col min="22" max="22" width="18.88671875" customWidth="1"/>
    <col min="23" max="23" width="19.6640625" customWidth="1"/>
    <col min="24" max="24" width="23.88671875" customWidth="1"/>
    <col min="25" max="25" width="18.5546875" customWidth="1"/>
    <col min="26" max="26" width="19.77734375" customWidth="1"/>
    <col min="27" max="27" width="23.109375" customWidth="1"/>
    <col min="28" max="28" width="18" customWidth="1"/>
    <col min="29" max="29" width="18.21875" customWidth="1"/>
    <col min="30" max="30" width="20.33203125" customWidth="1"/>
    <col min="31" max="31" width="26" bestFit="1" customWidth="1"/>
    <col min="32" max="32" width="23.6640625" customWidth="1"/>
    <col min="33" max="33" width="11.88671875" customWidth="1"/>
    <col min="34" max="34" width="14.77734375" bestFit="1" customWidth="1"/>
    <col min="35" max="35" width="14.109375" customWidth="1"/>
    <col min="36" max="36" width="13.44140625" customWidth="1"/>
    <col min="37" max="37" width="16.5546875" customWidth="1"/>
    <col min="38" max="38" width="21.109375" customWidth="1"/>
    <col min="39" max="39" width="22.88671875" customWidth="1"/>
    <col min="40" max="40" width="11.5546875" customWidth="1"/>
  </cols>
  <sheetData>
    <row r="1" spans="1:40" ht="15" thickBot="1">
      <c r="A1" s="74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5" t="s">
        <v>8</v>
      </c>
      <c r="J1" s="75" t="s">
        <v>9</v>
      </c>
      <c r="K1" s="75" t="s">
        <v>10</v>
      </c>
      <c r="L1" s="75" t="s">
        <v>11</v>
      </c>
      <c r="M1" s="75" t="s">
        <v>12</v>
      </c>
      <c r="N1" s="75" t="s">
        <v>13</v>
      </c>
      <c r="O1" s="75" t="s">
        <v>14</v>
      </c>
      <c r="P1" s="75" t="s">
        <v>15</v>
      </c>
      <c r="Q1" s="75" t="s">
        <v>16</v>
      </c>
      <c r="R1" s="75" t="s">
        <v>17</v>
      </c>
      <c r="S1" s="75" t="s">
        <v>18</v>
      </c>
      <c r="T1" s="75" t="s">
        <v>19</v>
      </c>
      <c r="U1" s="75" t="s">
        <v>20</v>
      </c>
      <c r="V1" s="75" t="s">
        <v>21</v>
      </c>
      <c r="W1" s="75" t="s">
        <v>22</v>
      </c>
      <c r="X1" s="75" t="s">
        <v>23</v>
      </c>
      <c r="Y1" s="75" t="s">
        <v>24</v>
      </c>
      <c r="Z1" s="75" t="s">
        <v>25</v>
      </c>
      <c r="AA1" s="75" t="s">
        <v>26</v>
      </c>
      <c r="AB1" s="75" t="s">
        <v>27</v>
      </c>
      <c r="AC1" s="75" t="s">
        <v>28</v>
      </c>
      <c r="AD1" s="75" t="s">
        <v>29</v>
      </c>
      <c r="AE1" s="75" t="s">
        <v>30</v>
      </c>
      <c r="AF1" s="75" t="s">
        <v>31</v>
      </c>
      <c r="AG1" s="75" t="s">
        <v>32</v>
      </c>
      <c r="AH1" s="75" t="s">
        <v>33</v>
      </c>
      <c r="AI1" s="75" t="s">
        <v>34</v>
      </c>
      <c r="AJ1" s="75" t="s">
        <v>35</v>
      </c>
      <c r="AK1" s="75" t="s">
        <v>36</v>
      </c>
      <c r="AL1" s="75" t="s">
        <v>37</v>
      </c>
      <c r="AM1" s="75" t="s">
        <v>113</v>
      </c>
      <c r="AN1" s="76" t="s">
        <v>140</v>
      </c>
    </row>
    <row r="2" spans="1:40">
      <c r="A2">
        <v>41</v>
      </c>
      <c r="B2" t="s">
        <v>38</v>
      </c>
      <c r="C2" t="s">
        <v>39</v>
      </c>
      <c r="D2">
        <v>1102</v>
      </c>
      <c r="E2" t="s">
        <v>40</v>
      </c>
      <c r="F2">
        <v>1</v>
      </c>
      <c r="G2">
        <v>2</v>
      </c>
      <c r="H2" t="s">
        <v>41</v>
      </c>
      <c r="I2">
        <v>1</v>
      </c>
      <c r="J2">
        <v>2</v>
      </c>
      <c r="K2" t="s">
        <v>42</v>
      </c>
      <c r="L2">
        <v>94</v>
      </c>
      <c r="M2">
        <v>3</v>
      </c>
      <c r="N2">
        <v>2</v>
      </c>
      <c r="O2" t="s">
        <v>43</v>
      </c>
      <c r="P2">
        <v>4</v>
      </c>
      <c r="Q2" t="s">
        <v>44</v>
      </c>
      <c r="R2">
        <v>5993</v>
      </c>
      <c r="S2">
        <v>19479</v>
      </c>
      <c r="T2">
        <v>8</v>
      </c>
      <c r="U2" t="s">
        <v>38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  <c r="AG2" t="s">
        <v>45</v>
      </c>
      <c r="AH2" t="s">
        <v>46</v>
      </c>
      <c r="AI2">
        <v>1</v>
      </c>
      <c r="AJ2" t="s">
        <v>47</v>
      </c>
      <c r="AK2" t="s">
        <v>48</v>
      </c>
      <c r="AL2" t="s">
        <v>49</v>
      </c>
      <c r="AM2" t="s">
        <v>50</v>
      </c>
      <c r="AN2">
        <f>((3-P2)*3+((3-AB2)*2+AE2))</f>
        <v>1</v>
      </c>
    </row>
    <row r="3" spans="1:40">
      <c r="A3">
        <v>49</v>
      </c>
      <c r="B3" t="s">
        <v>51</v>
      </c>
      <c r="C3" t="s">
        <v>52</v>
      </c>
      <c r="D3">
        <v>279</v>
      </c>
      <c r="E3" t="s">
        <v>53</v>
      </c>
      <c r="F3">
        <v>8</v>
      </c>
      <c r="G3">
        <v>1</v>
      </c>
      <c r="H3" t="s">
        <v>41</v>
      </c>
      <c r="I3">
        <v>2</v>
      </c>
      <c r="J3">
        <v>3</v>
      </c>
      <c r="K3" t="s">
        <v>54</v>
      </c>
      <c r="L3">
        <v>61</v>
      </c>
      <c r="M3">
        <v>2</v>
      </c>
      <c r="N3">
        <v>2</v>
      </c>
      <c r="O3" t="s">
        <v>55</v>
      </c>
      <c r="P3">
        <v>2</v>
      </c>
      <c r="Q3" t="s">
        <v>56</v>
      </c>
      <c r="R3">
        <v>5130</v>
      </c>
      <c r="S3">
        <v>24907</v>
      </c>
      <c r="T3">
        <v>1</v>
      </c>
      <c r="U3" t="s">
        <v>51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  <c r="AG3" t="s">
        <v>57</v>
      </c>
      <c r="AH3" t="s">
        <v>46</v>
      </c>
      <c r="AI3">
        <v>0</v>
      </c>
      <c r="AJ3" t="s">
        <v>58</v>
      </c>
      <c r="AK3" t="s">
        <v>59</v>
      </c>
      <c r="AL3" t="s">
        <v>60</v>
      </c>
      <c r="AM3" t="s">
        <v>61</v>
      </c>
      <c r="AN3">
        <f t="shared" ref="AN3:AN66" si="0">((3-P3)*3+((3-AB3)*2+AE3))</f>
        <v>4</v>
      </c>
    </row>
    <row r="4" spans="1:40">
      <c r="A4">
        <v>37</v>
      </c>
      <c r="B4" t="s">
        <v>38</v>
      </c>
      <c r="C4" t="s">
        <v>39</v>
      </c>
      <c r="D4">
        <v>1373</v>
      </c>
      <c r="E4" t="s">
        <v>53</v>
      </c>
      <c r="F4">
        <v>2</v>
      </c>
      <c r="G4">
        <v>2</v>
      </c>
      <c r="H4" t="s">
        <v>62</v>
      </c>
      <c r="I4">
        <v>4</v>
      </c>
      <c r="J4">
        <v>4</v>
      </c>
      <c r="K4" t="s">
        <v>54</v>
      </c>
      <c r="L4">
        <v>92</v>
      </c>
      <c r="M4">
        <v>2</v>
      </c>
      <c r="N4">
        <v>1</v>
      </c>
      <c r="O4" t="s">
        <v>63</v>
      </c>
      <c r="P4">
        <v>3</v>
      </c>
      <c r="Q4" t="s">
        <v>44</v>
      </c>
      <c r="R4">
        <v>2090</v>
      </c>
      <c r="S4">
        <v>2396</v>
      </c>
      <c r="T4">
        <v>6</v>
      </c>
      <c r="U4" t="s">
        <v>38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  <c r="AG4" t="s">
        <v>45</v>
      </c>
      <c r="AH4" t="s">
        <v>64</v>
      </c>
      <c r="AI4">
        <v>1</v>
      </c>
      <c r="AJ4" t="s">
        <v>65</v>
      </c>
      <c r="AK4" t="s">
        <v>48</v>
      </c>
      <c r="AL4" t="s">
        <v>66</v>
      </c>
      <c r="AM4" t="s">
        <v>61</v>
      </c>
      <c r="AN4">
        <f t="shared" si="0"/>
        <v>0</v>
      </c>
    </row>
    <row r="5" spans="1:40">
      <c r="A5">
        <v>33</v>
      </c>
      <c r="B5" t="s">
        <v>51</v>
      </c>
      <c r="C5" t="s">
        <v>52</v>
      </c>
      <c r="D5">
        <v>1392</v>
      </c>
      <c r="E5" t="s">
        <v>53</v>
      </c>
      <c r="F5">
        <v>3</v>
      </c>
      <c r="G5">
        <v>4</v>
      </c>
      <c r="H5" t="s">
        <v>41</v>
      </c>
      <c r="I5">
        <v>5</v>
      </c>
      <c r="J5">
        <v>4</v>
      </c>
      <c r="K5" t="s">
        <v>42</v>
      </c>
      <c r="L5">
        <v>56</v>
      </c>
      <c r="M5">
        <v>3</v>
      </c>
      <c r="N5">
        <v>1</v>
      </c>
      <c r="O5" t="s">
        <v>55</v>
      </c>
      <c r="P5">
        <v>3</v>
      </c>
      <c r="Q5" t="s">
        <v>56</v>
      </c>
      <c r="R5">
        <v>2909</v>
      </c>
      <c r="S5">
        <v>23159</v>
      </c>
      <c r="T5">
        <v>1</v>
      </c>
      <c r="U5" t="s">
        <v>38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  <c r="AG5" t="s">
        <v>67</v>
      </c>
      <c r="AH5" t="s">
        <v>46</v>
      </c>
      <c r="AI5">
        <v>0</v>
      </c>
      <c r="AJ5" t="s">
        <v>58</v>
      </c>
      <c r="AK5" t="s">
        <v>68</v>
      </c>
      <c r="AL5" t="s">
        <v>66</v>
      </c>
      <c r="AM5" t="s">
        <v>61</v>
      </c>
      <c r="AN5">
        <f t="shared" si="0"/>
        <v>3</v>
      </c>
    </row>
    <row r="6" spans="1:40">
      <c r="A6">
        <v>27</v>
      </c>
      <c r="B6" t="s">
        <v>51</v>
      </c>
      <c r="C6" t="s">
        <v>39</v>
      </c>
      <c r="D6">
        <v>591</v>
      </c>
      <c r="E6" t="s">
        <v>53</v>
      </c>
      <c r="F6">
        <v>2</v>
      </c>
      <c r="G6">
        <v>1</v>
      </c>
      <c r="H6" t="s">
        <v>69</v>
      </c>
      <c r="I6">
        <v>7</v>
      </c>
      <c r="J6">
        <v>1</v>
      </c>
      <c r="K6" t="s">
        <v>54</v>
      </c>
      <c r="L6">
        <v>40</v>
      </c>
      <c r="M6">
        <v>3</v>
      </c>
      <c r="N6">
        <v>1</v>
      </c>
      <c r="O6" t="s">
        <v>63</v>
      </c>
      <c r="P6">
        <v>2</v>
      </c>
      <c r="Q6" t="s">
        <v>56</v>
      </c>
      <c r="R6">
        <v>3468</v>
      </c>
      <c r="S6">
        <v>16632</v>
      </c>
      <c r="T6">
        <v>9</v>
      </c>
      <c r="U6" t="s">
        <v>51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  <c r="AG6" t="s">
        <v>67</v>
      </c>
      <c r="AH6" t="s">
        <v>46</v>
      </c>
      <c r="AI6">
        <v>0</v>
      </c>
      <c r="AJ6" t="s">
        <v>65</v>
      </c>
      <c r="AK6" t="s">
        <v>59</v>
      </c>
      <c r="AL6" t="s">
        <v>60</v>
      </c>
      <c r="AM6" t="s">
        <v>61</v>
      </c>
      <c r="AN6">
        <f t="shared" si="0"/>
        <v>5</v>
      </c>
    </row>
    <row r="7" spans="1:40">
      <c r="A7">
        <v>32</v>
      </c>
      <c r="B7" t="s">
        <v>51</v>
      </c>
      <c r="C7" t="s">
        <v>52</v>
      </c>
      <c r="D7">
        <v>1005</v>
      </c>
      <c r="E7" t="s">
        <v>53</v>
      </c>
      <c r="F7">
        <v>2</v>
      </c>
      <c r="G7">
        <v>2</v>
      </c>
      <c r="H7" t="s">
        <v>41</v>
      </c>
      <c r="I7">
        <v>8</v>
      </c>
      <c r="J7">
        <v>4</v>
      </c>
      <c r="K7" t="s">
        <v>54</v>
      </c>
      <c r="L7">
        <v>79</v>
      </c>
      <c r="M7">
        <v>3</v>
      </c>
      <c r="N7">
        <v>1</v>
      </c>
      <c r="O7" t="s">
        <v>63</v>
      </c>
      <c r="P7">
        <v>4</v>
      </c>
      <c r="Q7" t="s">
        <v>44</v>
      </c>
      <c r="R7">
        <v>3068</v>
      </c>
      <c r="S7">
        <v>11864</v>
      </c>
      <c r="T7">
        <v>0</v>
      </c>
      <c r="U7" t="s">
        <v>51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  <c r="AG7" t="s">
        <v>67</v>
      </c>
      <c r="AH7" t="s">
        <v>46</v>
      </c>
      <c r="AI7">
        <v>0</v>
      </c>
      <c r="AJ7" t="s">
        <v>47</v>
      </c>
      <c r="AK7" t="s">
        <v>48</v>
      </c>
      <c r="AL7" t="s">
        <v>49</v>
      </c>
      <c r="AM7" t="s">
        <v>70</v>
      </c>
      <c r="AN7">
        <f t="shared" si="0"/>
        <v>2</v>
      </c>
    </row>
    <row r="8" spans="1:40">
      <c r="A8">
        <v>59</v>
      </c>
      <c r="B8" t="s">
        <v>51</v>
      </c>
      <c r="C8" t="s">
        <v>39</v>
      </c>
      <c r="D8">
        <v>1324</v>
      </c>
      <c r="E8" t="s">
        <v>53</v>
      </c>
      <c r="F8">
        <v>3</v>
      </c>
      <c r="G8">
        <v>3</v>
      </c>
      <c r="H8" t="s">
        <v>69</v>
      </c>
      <c r="I8">
        <v>10</v>
      </c>
      <c r="J8">
        <v>3</v>
      </c>
      <c r="K8" t="s">
        <v>42</v>
      </c>
      <c r="L8">
        <v>81</v>
      </c>
      <c r="M8">
        <v>4</v>
      </c>
      <c r="N8">
        <v>1</v>
      </c>
      <c r="O8" t="s">
        <v>63</v>
      </c>
      <c r="P8">
        <v>1</v>
      </c>
      <c r="Q8" t="s">
        <v>56</v>
      </c>
      <c r="R8">
        <v>2670</v>
      </c>
      <c r="S8">
        <v>9964</v>
      </c>
      <c r="T8">
        <v>4</v>
      </c>
      <c r="U8" t="s">
        <v>38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  <c r="AG8" t="s">
        <v>57</v>
      </c>
      <c r="AH8" t="s">
        <v>71</v>
      </c>
      <c r="AI8">
        <v>0</v>
      </c>
      <c r="AJ8" t="s">
        <v>47</v>
      </c>
      <c r="AK8" t="s">
        <v>72</v>
      </c>
      <c r="AL8" t="s">
        <v>73</v>
      </c>
      <c r="AM8" t="s">
        <v>70</v>
      </c>
      <c r="AN8">
        <f t="shared" si="0"/>
        <v>8</v>
      </c>
    </row>
    <row r="9" spans="1:40">
      <c r="A9">
        <v>30</v>
      </c>
      <c r="B9" t="s">
        <v>51</v>
      </c>
      <c r="C9" t="s">
        <v>39</v>
      </c>
      <c r="D9">
        <v>1358</v>
      </c>
      <c r="E9" t="s">
        <v>53</v>
      </c>
      <c r="F9">
        <v>24</v>
      </c>
      <c r="G9">
        <v>1</v>
      </c>
      <c r="H9" t="s">
        <v>41</v>
      </c>
      <c r="I9">
        <v>11</v>
      </c>
      <c r="J9">
        <v>4</v>
      </c>
      <c r="K9" t="s">
        <v>54</v>
      </c>
      <c r="L9">
        <v>67</v>
      </c>
      <c r="M9">
        <v>3</v>
      </c>
      <c r="N9">
        <v>1</v>
      </c>
      <c r="O9" t="s">
        <v>63</v>
      </c>
      <c r="P9">
        <v>3</v>
      </c>
      <c r="Q9" t="s">
        <v>74</v>
      </c>
      <c r="R9">
        <v>2693</v>
      </c>
      <c r="S9">
        <v>13335</v>
      </c>
      <c r="T9">
        <v>1</v>
      </c>
      <c r="U9" t="s">
        <v>51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  <c r="AG9" t="s">
        <v>67</v>
      </c>
      <c r="AH9" t="s">
        <v>46</v>
      </c>
      <c r="AI9">
        <v>0</v>
      </c>
      <c r="AJ9" t="s">
        <v>65</v>
      </c>
      <c r="AK9" t="s">
        <v>59</v>
      </c>
      <c r="AL9" t="s">
        <v>66</v>
      </c>
      <c r="AM9" t="s">
        <v>61</v>
      </c>
      <c r="AN9">
        <f t="shared" si="0"/>
        <v>0</v>
      </c>
    </row>
    <row r="10" spans="1:40">
      <c r="A10">
        <v>38</v>
      </c>
      <c r="B10" t="s">
        <v>51</v>
      </c>
      <c r="C10" t="s">
        <v>52</v>
      </c>
      <c r="D10">
        <v>216</v>
      </c>
      <c r="E10" t="s">
        <v>53</v>
      </c>
      <c r="F10">
        <v>23</v>
      </c>
      <c r="G10">
        <v>3</v>
      </c>
      <c r="H10" t="s">
        <v>41</v>
      </c>
      <c r="I10">
        <v>12</v>
      </c>
      <c r="J10">
        <v>4</v>
      </c>
      <c r="K10" t="s">
        <v>54</v>
      </c>
      <c r="L10">
        <v>44</v>
      </c>
      <c r="M10">
        <v>2</v>
      </c>
      <c r="N10">
        <v>3</v>
      </c>
      <c r="O10" t="s">
        <v>75</v>
      </c>
      <c r="P10">
        <v>3</v>
      </c>
      <c r="Q10" t="s">
        <v>44</v>
      </c>
      <c r="R10">
        <v>9526</v>
      </c>
      <c r="S10">
        <v>8787</v>
      </c>
      <c r="T10">
        <v>0</v>
      </c>
      <c r="U10" t="s">
        <v>51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  <c r="AG10" t="s">
        <v>45</v>
      </c>
      <c r="AH10" t="s">
        <v>71</v>
      </c>
      <c r="AI10">
        <v>0</v>
      </c>
      <c r="AJ10" t="s">
        <v>58</v>
      </c>
      <c r="AK10" t="s">
        <v>72</v>
      </c>
      <c r="AL10" t="s">
        <v>66</v>
      </c>
      <c r="AM10" t="s">
        <v>61</v>
      </c>
      <c r="AN10">
        <f t="shared" si="0"/>
        <v>1</v>
      </c>
    </row>
    <row r="11" spans="1:40">
      <c r="A11">
        <v>36</v>
      </c>
      <c r="B11" t="s">
        <v>51</v>
      </c>
      <c r="C11" t="s">
        <v>39</v>
      </c>
      <c r="D11">
        <v>1299</v>
      </c>
      <c r="E11" t="s">
        <v>53</v>
      </c>
      <c r="F11">
        <v>27</v>
      </c>
      <c r="G11">
        <v>3</v>
      </c>
      <c r="H11" t="s">
        <v>69</v>
      </c>
      <c r="I11">
        <v>13</v>
      </c>
      <c r="J11">
        <v>3</v>
      </c>
      <c r="K11" t="s">
        <v>54</v>
      </c>
      <c r="L11">
        <v>94</v>
      </c>
      <c r="M11">
        <v>3</v>
      </c>
      <c r="N11">
        <v>2</v>
      </c>
      <c r="O11" t="s">
        <v>76</v>
      </c>
      <c r="P11">
        <v>3</v>
      </c>
      <c r="Q11" t="s">
        <v>56</v>
      </c>
      <c r="R11">
        <v>5237</v>
      </c>
      <c r="S11">
        <v>16577</v>
      </c>
      <c r="T11">
        <v>6</v>
      </c>
      <c r="U11" t="s">
        <v>51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  <c r="AG11" t="s">
        <v>45</v>
      </c>
      <c r="AH11" t="s">
        <v>46</v>
      </c>
      <c r="AI11">
        <v>0</v>
      </c>
      <c r="AJ11" t="s">
        <v>47</v>
      </c>
      <c r="AK11" t="s">
        <v>72</v>
      </c>
      <c r="AL11" t="s">
        <v>66</v>
      </c>
      <c r="AM11" t="s">
        <v>70</v>
      </c>
      <c r="AN11">
        <f t="shared" si="0"/>
        <v>9</v>
      </c>
    </row>
    <row r="12" spans="1:40">
      <c r="A12">
        <v>35</v>
      </c>
      <c r="B12" t="s">
        <v>51</v>
      </c>
      <c r="C12" t="s">
        <v>39</v>
      </c>
      <c r="D12">
        <v>809</v>
      </c>
      <c r="E12" t="s">
        <v>53</v>
      </c>
      <c r="F12">
        <v>16</v>
      </c>
      <c r="G12">
        <v>3</v>
      </c>
      <c r="H12" t="s">
        <v>69</v>
      </c>
      <c r="I12">
        <v>14</v>
      </c>
      <c r="J12">
        <v>1</v>
      </c>
      <c r="K12" t="s">
        <v>54</v>
      </c>
      <c r="L12">
        <v>84</v>
      </c>
      <c r="M12">
        <v>4</v>
      </c>
      <c r="N12">
        <v>1</v>
      </c>
      <c r="O12" t="s">
        <v>63</v>
      </c>
      <c r="P12">
        <v>2</v>
      </c>
      <c r="Q12" t="s">
        <v>56</v>
      </c>
      <c r="R12">
        <v>2426</v>
      </c>
      <c r="S12">
        <v>16479</v>
      </c>
      <c r="T12">
        <v>0</v>
      </c>
      <c r="U12" t="s">
        <v>51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  <c r="AG12" t="s">
        <v>67</v>
      </c>
      <c r="AH12" t="s">
        <v>46</v>
      </c>
      <c r="AI12">
        <v>0</v>
      </c>
      <c r="AJ12" t="s">
        <v>65</v>
      </c>
      <c r="AK12" t="s">
        <v>72</v>
      </c>
      <c r="AL12" t="s">
        <v>60</v>
      </c>
      <c r="AM12" t="s">
        <v>61</v>
      </c>
      <c r="AN12">
        <f t="shared" si="0"/>
        <v>3</v>
      </c>
    </row>
    <row r="13" spans="1:40">
      <c r="A13">
        <v>29</v>
      </c>
      <c r="B13" t="s">
        <v>51</v>
      </c>
      <c r="C13" t="s">
        <v>39</v>
      </c>
      <c r="D13">
        <v>153</v>
      </c>
      <c r="E13" t="s">
        <v>53</v>
      </c>
      <c r="F13">
        <v>15</v>
      </c>
      <c r="G13">
        <v>2</v>
      </c>
      <c r="H13" t="s">
        <v>41</v>
      </c>
      <c r="I13">
        <v>15</v>
      </c>
      <c r="J13">
        <v>4</v>
      </c>
      <c r="K13" t="s">
        <v>42</v>
      </c>
      <c r="L13">
        <v>49</v>
      </c>
      <c r="M13">
        <v>2</v>
      </c>
      <c r="N13">
        <v>2</v>
      </c>
      <c r="O13" t="s">
        <v>63</v>
      </c>
      <c r="P13">
        <v>3</v>
      </c>
      <c r="Q13" t="s">
        <v>44</v>
      </c>
      <c r="R13">
        <v>4193</v>
      </c>
      <c r="S13">
        <v>12682</v>
      </c>
      <c r="T13">
        <v>0</v>
      </c>
      <c r="U13" t="s">
        <v>38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  <c r="AG13" t="s">
        <v>67</v>
      </c>
      <c r="AH13" t="s">
        <v>46</v>
      </c>
      <c r="AI13">
        <v>0</v>
      </c>
      <c r="AJ13" t="s">
        <v>58</v>
      </c>
      <c r="AK13" t="s">
        <v>48</v>
      </c>
      <c r="AL13" t="s">
        <v>66</v>
      </c>
      <c r="AM13" t="s">
        <v>61</v>
      </c>
      <c r="AN13">
        <f t="shared" si="0"/>
        <v>0</v>
      </c>
    </row>
    <row r="14" spans="1:40">
      <c r="A14">
        <v>31</v>
      </c>
      <c r="B14" t="s">
        <v>51</v>
      </c>
      <c r="C14" t="s">
        <v>39</v>
      </c>
      <c r="D14">
        <v>670</v>
      </c>
      <c r="E14" t="s">
        <v>53</v>
      </c>
      <c r="F14">
        <v>26</v>
      </c>
      <c r="G14">
        <v>1</v>
      </c>
      <c r="H14" t="s">
        <v>41</v>
      </c>
      <c r="I14">
        <v>16</v>
      </c>
      <c r="J14">
        <v>1</v>
      </c>
      <c r="K14" t="s">
        <v>54</v>
      </c>
      <c r="L14">
        <v>31</v>
      </c>
      <c r="M14">
        <v>3</v>
      </c>
      <c r="N14">
        <v>1</v>
      </c>
      <c r="O14" t="s">
        <v>55</v>
      </c>
      <c r="P14">
        <v>3</v>
      </c>
      <c r="Q14" t="s">
        <v>74</v>
      </c>
      <c r="R14">
        <v>2911</v>
      </c>
      <c r="S14">
        <v>15170</v>
      </c>
      <c r="T14">
        <v>1</v>
      </c>
      <c r="U14" t="s">
        <v>51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  <c r="AG14" t="s">
        <v>67</v>
      </c>
      <c r="AH14" t="s">
        <v>46</v>
      </c>
      <c r="AI14">
        <v>0</v>
      </c>
      <c r="AJ14" t="s">
        <v>47</v>
      </c>
      <c r="AK14" t="s">
        <v>59</v>
      </c>
      <c r="AL14" t="s">
        <v>66</v>
      </c>
      <c r="AM14" t="s">
        <v>70</v>
      </c>
      <c r="AN14">
        <f t="shared" si="0"/>
        <v>6</v>
      </c>
    </row>
    <row r="15" spans="1:40">
      <c r="A15">
        <v>34</v>
      </c>
      <c r="B15" t="s">
        <v>51</v>
      </c>
      <c r="C15" t="s">
        <v>39</v>
      </c>
      <c r="D15">
        <v>1346</v>
      </c>
      <c r="E15" t="s">
        <v>53</v>
      </c>
      <c r="F15">
        <v>19</v>
      </c>
      <c r="G15">
        <v>2</v>
      </c>
      <c r="H15" t="s">
        <v>69</v>
      </c>
      <c r="I15">
        <v>18</v>
      </c>
      <c r="J15">
        <v>2</v>
      </c>
      <c r="K15" t="s">
        <v>54</v>
      </c>
      <c r="L15">
        <v>93</v>
      </c>
      <c r="M15">
        <v>3</v>
      </c>
      <c r="N15">
        <v>1</v>
      </c>
      <c r="O15" t="s">
        <v>63</v>
      </c>
      <c r="P15">
        <v>4</v>
      </c>
      <c r="Q15" t="s">
        <v>74</v>
      </c>
      <c r="R15">
        <v>2661</v>
      </c>
      <c r="S15">
        <v>8758</v>
      </c>
      <c r="T15">
        <v>0</v>
      </c>
      <c r="U15" t="s">
        <v>51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  <c r="AG15" t="s">
        <v>67</v>
      </c>
      <c r="AH15" t="s">
        <v>71</v>
      </c>
      <c r="AI15">
        <v>0</v>
      </c>
      <c r="AJ15" t="s">
        <v>65</v>
      </c>
      <c r="AK15" t="s">
        <v>48</v>
      </c>
      <c r="AL15" t="s">
        <v>49</v>
      </c>
      <c r="AM15" t="s">
        <v>61</v>
      </c>
      <c r="AN15">
        <f t="shared" si="0"/>
        <v>-2</v>
      </c>
    </row>
    <row r="16" spans="1:40">
      <c r="A16">
        <v>28</v>
      </c>
      <c r="B16" t="s">
        <v>38</v>
      </c>
      <c r="C16" t="s">
        <v>39</v>
      </c>
      <c r="D16">
        <v>103</v>
      </c>
      <c r="E16" t="s">
        <v>53</v>
      </c>
      <c r="F16">
        <v>24</v>
      </c>
      <c r="G16">
        <v>3</v>
      </c>
      <c r="H16" t="s">
        <v>41</v>
      </c>
      <c r="I16">
        <v>19</v>
      </c>
      <c r="J16">
        <v>3</v>
      </c>
      <c r="K16" t="s">
        <v>54</v>
      </c>
      <c r="L16">
        <v>50</v>
      </c>
      <c r="M16">
        <v>2</v>
      </c>
      <c r="N16">
        <v>1</v>
      </c>
      <c r="O16" t="s">
        <v>63</v>
      </c>
      <c r="P16">
        <v>3</v>
      </c>
      <c r="Q16" t="s">
        <v>44</v>
      </c>
      <c r="R16">
        <v>2028</v>
      </c>
      <c r="S16">
        <v>12947</v>
      </c>
      <c r="T16">
        <v>5</v>
      </c>
      <c r="U16" t="s">
        <v>38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  <c r="AG16" t="s">
        <v>67</v>
      </c>
      <c r="AH16" t="s">
        <v>46</v>
      </c>
      <c r="AI16">
        <v>1</v>
      </c>
      <c r="AJ16" t="s">
        <v>65</v>
      </c>
      <c r="AK16" t="s">
        <v>72</v>
      </c>
      <c r="AL16" t="s">
        <v>66</v>
      </c>
      <c r="AM16" t="s">
        <v>61</v>
      </c>
      <c r="AN16">
        <f t="shared" si="0"/>
        <v>0</v>
      </c>
    </row>
    <row r="17" spans="1:40">
      <c r="A17">
        <v>29</v>
      </c>
      <c r="B17" t="s">
        <v>51</v>
      </c>
      <c r="C17" t="s">
        <v>39</v>
      </c>
      <c r="D17">
        <v>1389</v>
      </c>
      <c r="E17" t="s">
        <v>53</v>
      </c>
      <c r="F17">
        <v>21</v>
      </c>
      <c r="G17">
        <v>4</v>
      </c>
      <c r="H17" t="s">
        <v>41</v>
      </c>
      <c r="I17">
        <v>20</v>
      </c>
      <c r="J17">
        <v>2</v>
      </c>
      <c r="K17" t="s">
        <v>42</v>
      </c>
      <c r="L17">
        <v>51</v>
      </c>
      <c r="M17">
        <v>4</v>
      </c>
      <c r="N17">
        <v>3</v>
      </c>
      <c r="O17" t="s">
        <v>75</v>
      </c>
      <c r="P17">
        <v>1</v>
      </c>
      <c r="Q17" t="s">
        <v>74</v>
      </c>
      <c r="R17">
        <v>9980</v>
      </c>
      <c r="S17">
        <v>10195</v>
      </c>
      <c r="T17">
        <v>1</v>
      </c>
      <c r="U17" t="s">
        <v>51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  <c r="AG17" t="s">
        <v>67</v>
      </c>
      <c r="AH17" t="s">
        <v>46</v>
      </c>
      <c r="AI17">
        <v>0</v>
      </c>
      <c r="AJ17" t="s">
        <v>58</v>
      </c>
      <c r="AK17" t="s">
        <v>68</v>
      </c>
      <c r="AL17" t="s">
        <v>73</v>
      </c>
      <c r="AM17" t="s">
        <v>61</v>
      </c>
      <c r="AN17">
        <f t="shared" si="0"/>
        <v>14</v>
      </c>
    </row>
    <row r="18" spans="1:40">
      <c r="A18">
        <v>32</v>
      </c>
      <c r="B18" t="s">
        <v>51</v>
      </c>
      <c r="C18" t="s">
        <v>39</v>
      </c>
      <c r="D18">
        <v>334</v>
      </c>
      <c r="E18" t="s">
        <v>53</v>
      </c>
      <c r="F18">
        <v>5</v>
      </c>
      <c r="G18">
        <v>2</v>
      </c>
      <c r="H18" t="s">
        <v>41</v>
      </c>
      <c r="I18">
        <v>21</v>
      </c>
      <c r="J18">
        <v>1</v>
      </c>
      <c r="K18" t="s">
        <v>54</v>
      </c>
      <c r="L18">
        <v>80</v>
      </c>
      <c r="M18">
        <v>4</v>
      </c>
      <c r="N18">
        <v>1</v>
      </c>
      <c r="O18" t="s">
        <v>55</v>
      </c>
      <c r="P18">
        <v>2</v>
      </c>
      <c r="Q18" t="s">
        <v>74</v>
      </c>
      <c r="R18">
        <v>3298</v>
      </c>
      <c r="S18">
        <v>15053</v>
      </c>
      <c r="T18">
        <v>0</v>
      </c>
      <c r="U18" t="s">
        <v>38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  <c r="AG18" t="s">
        <v>67</v>
      </c>
      <c r="AH18" t="s">
        <v>46</v>
      </c>
      <c r="AI18">
        <v>0</v>
      </c>
      <c r="AJ18" t="s">
        <v>47</v>
      </c>
      <c r="AK18" t="s">
        <v>48</v>
      </c>
      <c r="AL18" t="s">
        <v>60</v>
      </c>
      <c r="AM18" t="s">
        <v>70</v>
      </c>
      <c r="AN18">
        <f t="shared" si="0"/>
        <v>5</v>
      </c>
    </row>
    <row r="19" spans="1:40">
      <c r="A19">
        <v>22</v>
      </c>
      <c r="B19" t="s">
        <v>51</v>
      </c>
      <c r="C19" t="s">
        <v>77</v>
      </c>
      <c r="D19">
        <v>1123</v>
      </c>
      <c r="E19" t="s">
        <v>53</v>
      </c>
      <c r="F19">
        <v>16</v>
      </c>
      <c r="G19">
        <v>2</v>
      </c>
      <c r="H19" t="s">
        <v>69</v>
      </c>
      <c r="I19">
        <v>22</v>
      </c>
      <c r="J19">
        <v>4</v>
      </c>
      <c r="K19" t="s">
        <v>54</v>
      </c>
      <c r="L19">
        <v>96</v>
      </c>
      <c r="M19">
        <v>4</v>
      </c>
      <c r="N19">
        <v>1</v>
      </c>
      <c r="O19" t="s">
        <v>63</v>
      </c>
      <c r="P19">
        <v>4</v>
      </c>
      <c r="Q19" t="s">
        <v>74</v>
      </c>
      <c r="R19">
        <v>2935</v>
      </c>
      <c r="S19">
        <v>7324</v>
      </c>
      <c r="T19">
        <v>1</v>
      </c>
      <c r="U19" t="s">
        <v>38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  <c r="AG19" t="s">
        <v>78</v>
      </c>
      <c r="AH19" t="s">
        <v>71</v>
      </c>
      <c r="AI19">
        <v>0</v>
      </c>
      <c r="AJ19" t="s">
        <v>47</v>
      </c>
      <c r="AK19" t="s">
        <v>48</v>
      </c>
      <c r="AL19" t="s">
        <v>49</v>
      </c>
      <c r="AM19" t="s">
        <v>70</v>
      </c>
      <c r="AN19">
        <f t="shared" si="0"/>
        <v>-1</v>
      </c>
    </row>
    <row r="20" spans="1:40">
      <c r="A20">
        <v>53</v>
      </c>
      <c r="B20" t="s">
        <v>51</v>
      </c>
      <c r="C20" t="s">
        <v>39</v>
      </c>
      <c r="D20">
        <v>1219</v>
      </c>
      <c r="E20" t="s">
        <v>40</v>
      </c>
      <c r="F20">
        <v>2</v>
      </c>
      <c r="G20">
        <v>4</v>
      </c>
      <c r="H20" t="s">
        <v>41</v>
      </c>
      <c r="I20">
        <v>23</v>
      </c>
      <c r="J20">
        <v>1</v>
      </c>
      <c r="K20" t="s">
        <v>42</v>
      </c>
      <c r="L20">
        <v>78</v>
      </c>
      <c r="M20">
        <v>2</v>
      </c>
      <c r="N20">
        <v>4</v>
      </c>
      <c r="O20" t="s">
        <v>79</v>
      </c>
      <c r="P20">
        <v>4</v>
      </c>
      <c r="Q20" t="s">
        <v>56</v>
      </c>
      <c r="R20">
        <v>15427</v>
      </c>
      <c r="S20">
        <v>22021</v>
      </c>
      <c r="T20">
        <v>2</v>
      </c>
      <c r="U20" t="s">
        <v>51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  <c r="AG20" t="s">
        <v>57</v>
      </c>
      <c r="AH20" t="s">
        <v>46</v>
      </c>
      <c r="AI20">
        <v>0</v>
      </c>
      <c r="AJ20" t="s">
        <v>80</v>
      </c>
      <c r="AK20" t="s">
        <v>68</v>
      </c>
      <c r="AL20" t="s">
        <v>49</v>
      </c>
      <c r="AM20" t="s">
        <v>61</v>
      </c>
      <c r="AN20">
        <f t="shared" si="0"/>
        <v>0</v>
      </c>
    </row>
    <row r="21" spans="1:40">
      <c r="A21">
        <v>38</v>
      </c>
      <c r="B21" t="s">
        <v>51</v>
      </c>
      <c r="C21" t="s">
        <v>39</v>
      </c>
      <c r="D21">
        <v>371</v>
      </c>
      <c r="E21" t="s">
        <v>53</v>
      </c>
      <c r="F21">
        <v>2</v>
      </c>
      <c r="G21">
        <v>3</v>
      </c>
      <c r="H21" t="s">
        <v>41</v>
      </c>
      <c r="I21">
        <v>24</v>
      </c>
      <c r="J21">
        <v>4</v>
      </c>
      <c r="K21" t="s">
        <v>54</v>
      </c>
      <c r="L21">
        <v>45</v>
      </c>
      <c r="M21">
        <v>3</v>
      </c>
      <c r="N21">
        <v>1</v>
      </c>
      <c r="O21" t="s">
        <v>55</v>
      </c>
      <c r="P21">
        <v>4</v>
      </c>
      <c r="Q21" t="s">
        <v>44</v>
      </c>
      <c r="R21">
        <v>3944</v>
      </c>
      <c r="S21">
        <v>4306</v>
      </c>
      <c r="T21">
        <v>5</v>
      </c>
      <c r="U21" t="s">
        <v>38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  <c r="AG21" t="s">
        <v>45</v>
      </c>
      <c r="AH21" t="s">
        <v>81</v>
      </c>
      <c r="AI21">
        <v>0</v>
      </c>
      <c r="AJ21" t="s">
        <v>65</v>
      </c>
      <c r="AK21" t="s">
        <v>72</v>
      </c>
      <c r="AL21" t="s">
        <v>49</v>
      </c>
      <c r="AM21" t="s">
        <v>61</v>
      </c>
      <c r="AN21">
        <f t="shared" si="0"/>
        <v>-2</v>
      </c>
    </row>
    <row r="22" spans="1:40">
      <c r="A22">
        <v>24</v>
      </c>
      <c r="B22" t="s">
        <v>51</v>
      </c>
      <c r="C22" t="s">
        <v>77</v>
      </c>
      <c r="D22">
        <v>673</v>
      </c>
      <c r="E22" t="s">
        <v>53</v>
      </c>
      <c r="F22">
        <v>11</v>
      </c>
      <c r="G22">
        <v>2</v>
      </c>
      <c r="H22" t="s">
        <v>62</v>
      </c>
      <c r="I22">
        <v>26</v>
      </c>
      <c r="J22">
        <v>1</v>
      </c>
      <c r="K22" t="s">
        <v>42</v>
      </c>
      <c r="L22">
        <v>96</v>
      </c>
      <c r="M22">
        <v>4</v>
      </c>
      <c r="N22">
        <v>2</v>
      </c>
      <c r="O22" t="s">
        <v>75</v>
      </c>
      <c r="P22">
        <v>3</v>
      </c>
      <c r="Q22" t="s">
        <v>74</v>
      </c>
      <c r="R22">
        <v>4011</v>
      </c>
      <c r="S22">
        <v>8232</v>
      </c>
      <c r="T22">
        <v>0</v>
      </c>
      <c r="U22" t="s">
        <v>51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  <c r="AG22" t="s">
        <v>78</v>
      </c>
      <c r="AH22" t="s">
        <v>71</v>
      </c>
      <c r="AI22">
        <v>0</v>
      </c>
      <c r="AJ22" t="s">
        <v>47</v>
      </c>
      <c r="AK22" t="s">
        <v>48</v>
      </c>
      <c r="AL22" t="s">
        <v>66</v>
      </c>
      <c r="AM22" t="s">
        <v>70</v>
      </c>
      <c r="AN22">
        <f t="shared" si="0"/>
        <v>3</v>
      </c>
    </row>
    <row r="23" spans="1:40">
      <c r="A23">
        <v>36</v>
      </c>
      <c r="B23" t="s">
        <v>38</v>
      </c>
      <c r="C23" t="s">
        <v>39</v>
      </c>
      <c r="D23">
        <v>1218</v>
      </c>
      <c r="E23" t="s">
        <v>40</v>
      </c>
      <c r="F23">
        <v>9</v>
      </c>
      <c r="G23">
        <v>4</v>
      </c>
      <c r="H23" t="s">
        <v>41</v>
      </c>
      <c r="I23">
        <v>27</v>
      </c>
      <c r="J23">
        <v>3</v>
      </c>
      <c r="K23" t="s">
        <v>54</v>
      </c>
      <c r="L23">
        <v>82</v>
      </c>
      <c r="M23">
        <v>2</v>
      </c>
      <c r="N23">
        <v>1</v>
      </c>
      <c r="O23" t="s">
        <v>82</v>
      </c>
      <c r="P23">
        <v>1</v>
      </c>
      <c r="Q23" t="s">
        <v>44</v>
      </c>
      <c r="R23">
        <v>3407</v>
      </c>
      <c r="S23">
        <v>6986</v>
      </c>
      <c r="T23">
        <v>7</v>
      </c>
      <c r="U23" t="s">
        <v>51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  <c r="AG23" t="s">
        <v>45</v>
      </c>
      <c r="AH23" t="s">
        <v>71</v>
      </c>
      <c r="AI23">
        <v>1</v>
      </c>
      <c r="AJ23" t="s">
        <v>65</v>
      </c>
      <c r="AK23" t="s">
        <v>68</v>
      </c>
      <c r="AL23" t="s">
        <v>73</v>
      </c>
      <c r="AM23" t="s">
        <v>61</v>
      </c>
      <c r="AN23">
        <f t="shared" si="0"/>
        <v>6</v>
      </c>
    </row>
    <row r="24" spans="1:40">
      <c r="A24">
        <v>34</v>
      </c>
      <c r="B24" t="s">
        <v>51</v>
      </c>
      <c r="C24" t="s">
        <v>39</v>
      </c>
      <c r="D24">
        <v>419</v>
      </c>
      <c r="E24" t="s">
        <v>53</v>
      </c>
      <c r="F24">
        <v>7</v>
      </c>
      <c r="G24">
        <v>4</v>
      </c>
      <c r="H24" t="s">
        <v>41</v>
      </c>
      <c r="I24">
        <v>28</v>
      </c>
      <c r="J24">
        <v>1</v>
      </c>
      <c r="K24" t="s">
        <v>42</v>
      </c>
      <c r="L24">
        <v>53</v>
      </c>
      <c r="M24">
        <v>3</v>
      </c>
      <c r="N24">
        <v>3</v>
      </c>
      <c r="O24" t="s">
        <v>83</v>
      </c>
      <c r="P24">
        <v>2</v>
      </c>
      <c r="Q24" t="s">
        <v>44</v>
      </c>
      <c r="R24">
        <v>11994</v>
      </c>
      <c r="S24">
        <v>21293</v>
      </c>
      <c r="T24">
        <v>0</v>
      </c>
      <c r="U24" t="s">
        <v>51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  <c r="AG24" t="s">
        <v>67</v>
      </c>
      <c r="AH24" t="s">
        <v>46</v>
      </c>
      <c r="AI24">
        <v>0</v>
      </c>
      <c r="AJ24" t="s">
        <v>80</v>
      </c>
      <c r="AK24" t="s">
        <v>68</v>
      </c>
      <c r="AL24" t="s">
        <v>60</v>
      </c>
      <c r="AM24" t="s">
        <v>61</v>
      </c>
      <c r="AN24">
        <f t="shared" si="0"/>
        <v>5</v>
      </c>
    </row>
    <row r="25" spans="1:40">
      <c r="A25">
        <v>21</v>
      </c>
      <c r="B25" t="s">
        <v>51</v>
      </c>
      <c r="C25" t="s">
        <v>39</v>
      </c>
      <c r="D25">
        <v>391</v>
      </c>
      <c r="E25" t="s">
        <v>53</v>
      </c>
      <c r="F25">
        <v>15</v>
      </c>
      <c r="G25">
        <v>2</v>
      </c>
      <c r="H25" t="s">
        <v>41</v>
      </c>
      <c r="I25">
        <v>30</v>
      </c>
      <c r="J25">
        <v>3</v>
      </c>
      <c r="K25" t="s">
        <v>54</v>
      </c>
      <c r="L25">
        <v>96</v>
      </c>
      <c r="M25">
        <v>3</v>
      </c>
      <c r="N25">
        <v>1</v>
      </c>
      <c r="O25" t="s">
        <v>55</v>
      </c>
      <c r="P25">
        <v>4</v>
      </c>
      <c r="Q25" t="s">
        <v>44</v>
      </c>
      <c r="R25">
        <v>1232</v>
      </c>
      <c r="S25">
        <v>19281</v>
      </c>
      <c r="T25">
        <v>1</v>
      </c>
      <c r="U25" t="s">
        <v>51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  <c r="AG25" t="s">
        <v>78</v>
      </c>
      <c r="AH25" t="s">
        <v>46</v>
      </c>
      <c r="AI25">
        <v>0</v>
      </c>
      <c r="AJ25" t="s">
        <v>65</v>
      </c>
      <c r="AK25" t="s">
        <v>48</v>
      </c>
      <c r="AL25" t="s">
        <v>49</v>
      </c>
      <c r="AM25" t="s">
        <v>61</v>
      </c>
      <c r="AN25">
        <f t="shared" si="0"/>
        <v>-3</v>
      </c>
    </row>
    <row r="26" spans="1:40">
      <c r="A26">
        <v>34</v>
      </c>
      <c r="B26" t="s">
        <v>38</v>
      </c>
      <c r="C26" t="s">
        <v>39</v>
      </c>
      <c r="D26">
        <v>699</v>
      </c>
      <c r="E26" t="s">
        <v>53</v>
      </c>
      <c r="F26">
        <v>6</v>
      </c>
      <c r="G26">
        <v>1</v>
      </c>
      <c r="H26" t="s">
        <v>69</v>
      </c>
      <c r="I26">
        <v>31</v>
      </c>
      <c r="J26">
        <v>2</v>
      </c>
      <c r="K26" t="s">
        <v>54</v>
      </c>
      <c r="L26">
        <v>83</v>
      </c>
      <c r="M26">
        <v>3</v>
      </c>
      <c r="N26">
        <v>1</v>
      </c>
      <c r="O26" t="s">
        <v>55</v>
      </c>
      <c r="P26">
        <v>1</v>
      </c>
      <c r="Q26" t="s">
        <v>44</v>
      </c>
      <c r="R26">
        <v>2960</v>
      </c>
      <c r="S26">
        <v>17102</v>
      </c>
      <c r="T26">
        <v>2</v>
      </c>
      <c r="U26" t="s">
        <v>51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  <c r="AG26" t="s">
        <v>67</v>
      </c>
      <c r="AH26" t="s">
        <v>46</v>
      </c>
      <c r="AI26">
        <v>1</v>
      </c>
      <c r="AJ26" t="s">
        <v>65</v>
      </c>
      <c r="AK26" t="s">
        <v>59</v>
      </c>
      <c r="AL26" t="s">
        <v>73</v>
      </c>
      <c r="AM26" t="s">
        <v>61</v>
      </c>
      <c r="AN26">
        <f t="shared" si="0"/>
        <v>7</v>
      </c>
    </row>
    <row r="27" spans="1:40">
      <c r="A27">
        <v>53</v>
      </c>
      <c r="B27" t="s">
        <v>51</v>
      </c>
      <c r="C27" t="s">
        <v>39</v>
      </c>
      <c r="D27">
        <v>1282</v>
      </c>
      <c r="E27" t="s">
        <v>53</v>
      </c>
      <c r="F27">
        <v>5</v>
      </c>
      <c r="G27">
        <v>3</v>
      </c>
      <c r="H27" t="s">
        <v>62</v>
      </c>
      <c r="I27">
        <v>32</v>
      </c>
      <c r="J27">
        <v>3</v>
      </c>
      <c r="K27" t="s">
        <v>42</v>
      </c>
      <c r="L27">
        <v>58</v>
      </c>
      <c r="M27">
        <v>3</v>
      </c>
      <c r="N27">
        <v>5</v>
      </c>
      <c r="O27" t="s">
        <v>79</v>
      </c>
      <c r="P27">
        <v>3</v>
      </c>
      <c r="Q27" t="s">
        <v>74</v>
      </c>
      <c r="R27">
        <v>19094</v>
      </c>
      <c r="S27">
        <v>10735</v>
      </c>
      <c r="T27">
        <v>4</v>
      </c>
      <c r="U27" t="s">
        <v>51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  <c r="AG27" t="s">
        <v>57</v>
      </c>
      <c r="AH27" t="s">
        <v>46</v>
      </c>
      <c r="AI27">
        <v>0</v>
      </c>
      <c r="AJ27" t="s">
        <v>47</v>
      </c>
      <c r="AK27" t="s">
        <v>72</v>
      </c>
      <c r="AL27" t="s">
        <v>66</v>
      </c>
      <c r="AM27" t="s">
        <v>70</v>
      </c>
      <c r="AN27">
        <f t="shared" si="0"/>
        <v>6</v>
      </c>
    </row>
    <row r="28" spans="1:40">
      <c r="A28">
        <v>32</v>
      </c>
      <c r="B28" t="s">
        <v>38</v>
      </c>
      <c r="C28" t="s">
        <v>52</v>
      </c>
      <c r="D28">
        <v>1125</v>
      </c>
      <c r="E28" t="s">
        <v>53</v>
      </c>
      <c r="F28">
        <v>16</v>
      </c>
      <c r="G28">
        <v>1</v>
      </c>
      <c r="H28" t="s">
        <v>41</v>
      </c>
      <c r="I28">
        <v>33</v>
      </c>
      <c r="J28">
        <v>2</v>
      </c>
      <c r="K28" t="s">
        <v>42</v>
      </c>
      <c r="L28">
        <v>72</v>
      </c>
      <c r="M28">
        <v>1</v>
      </c>
      <c r="N28">
        <v>1</v>
      </c>
      <c r="O28" t="s">
        <v>55</v>
      </c>
      <c r="P28">
        <v>1</v>
      </c>
      <c r="Q28" t="s">
        <v>44</v>
      </c>
      <c r="R28">
        <v>3919</v>
      </c>
      <c r="S28">
        <v>4681</v>
      </c>
      <c r="T28">
        <v>1</v>
      </c>
      <c r="U28" t="s">
        <v>38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  <c r="AG28" t="s">
        <v>67</v>
      </c>
      <c r="AH28" t="s">
        <v>81</v>
      </c>
      <c r="AI28">
        <v>1</v>
      </c>
      <c r="AJ28" t="s">
        <v>58</v>
      </c>
      <c r="AK28" t="s">
        <v>59</v>
      </c>
      <c r="AL28" t="s">
        <v>73</v>
      </c>
      <c r="AM28" t="s">
        <v>61</v>
      </c>
      <c r="AN28">
        <f t="shared" si="0"/>
        <v>12</v>
      </c>
    </row>
    <row r="29" spans="1:40">
      <c r="A29">
        <v>42</v>
      </c>
      <c r="B29" t="s">
        <v>51</v>
      </c>
      <c r="C29" t="s">
        <v>39</v>
      </c>
      <c r="D29">
        <v>691</v>
      </c>
      <c r="E29" t="s">
        <v>40</v>
      </c>
      <c r="F29">
        <v>8</v>
      </c>
      <c r="G29">
        <v>4</v>
      </c>
      <c r="H29" t="s">
        <v>84</v>
      </c>
      <c r="I29">
        <v>35</v>
      </c>
      <c r="J29">
        <v>3</v>
      </c>
      <c r="K29" t="s">
        <v>54</v>
      </c>
      <c r="L29">
        <v>48</v>
      </c>
      <c r="M29">
        <v>3</v>
      </c>
      <c r="N29">
        <v>2</v>
      </c>
      <c r="O29" t="s">
        <v>43</v>
      </c>
      <c r="P29">
        <v>2</v>
      </c>
      <c r="Q29" t="s">
        <v>56</v>
      </c>
      <c r="R29">
        <v>6825</v>
      </c>
      <c r="S29">
        <v>21173</v>
      </c>
      <c r="T29">
        <v>0</v>
      </c>
      <c r="U29" t="s">
        <v>51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  <c r="AG29" t="s">
        <v>45</v>
      </c>
      <c r="AH29" t="s">
        <v>46</v>
      </c>
      <c r="AI29">
        <v>0</v>
      </c>
      <c r="AJ29" t="s">
        <v>58</v>
      </c>
      <c r="AK29" t="s">
        <v>68</v>
      </c>
      <c r="AL29" t="s">
        <v>60</v>
      </c>
      <c r="AM29" t="s">
        <v>61</v>
      </c>
      <c r="AN29">
        <f t="shared" si="0"/>
        <v>7</v>
      </c>
    </row>
    <row r="30" spans="1:40">
      <c r="A30">
        <v>44</v>
      </c>
      <c r="B30" t="s">
        <v>51</v>
      </c>
      <c r="C30" t="s">
        <v>39</v>
      </c>
      <c r="D30">
        <v>477</v>
      </c>
      <c r="E30" t="s">
        <v>53</v>
      </c>
      <c r="F30">
        <v>7</v>
      </c>
      <c r="G30">
        <v>4</v>
      </c>
      <c r="H30" t="s">
        <v>69</v>
      </c>
      <c r="I30">
        <v>36</v>
      </c>
      <c r="J30">
        <v>1</v>
      </c>
      <c r="K30" t="s">
        <v>42</v>
      </c>
      <c r="L30">
        <v>42</v>
      </c>
      <c r="M30">
        <v>2</v>
      </c>
      <c r="N30">
        <v>3</v>
      </c>
      <c r="O30" t="s">
        <v>76</v>
      </c>
      <c r="P30">
        <v>4</v>
      </c>
      <c r="Q30" t="s">
        <v>56</v>
      </c>
      <c r="R30">
        <v>10248</v>
      </c>
      <c r="S30">
        <v>2094</v>
      </c>
      <c r="T30">
        <v>3</v>
      </c>
      <c r="U30" t="s">
        <v>51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  <c r="AG30" t="s">
        <v>45</v>
      </c>
      <c r="AH30" t="s">
        <v>64</v>
      </c>
      <c r="AI30">
        <v>0</v>
      </c>
      <c r="AJ30" t="s">
        <v>80</v>
      </c>
      <c r="AK30" t="s">
        <v>68</v>
      </c>
      <c r="AL30" t="s">
        <v>49</v>
      </c>
      <c r="AM30" t="s">
        <v>61</v>
      </c>
      <c r="AN30">
        <f t="shared" si="0"/>
        <v>2</v>
      </c>
    </row>
    <row r="31" spans="1:40">
      <c r="A31">
        <v>46</v>
      </c>
      <c r="B31" t="s">
        <v>51</v>
      </c>
      <c r="C31" t="s">
        <v>39</v>
      </c>
      <c r="D31">
        <v>705</v>
      </c>
      <c r="E31" t="s">
        <v>40</v>
      </c>
      <c r="F31">
        <v>2</v>
      </c>
      <c r="G31">
        <v>4</v>
      </c>
      <c r="H31" t="s">
        <v>84</v>
      </c>
      <c r="I31">
        <v>38</v>
      </c>
      <c r="J31">
        <v>2</v>
      </c>
      <c r="K31" t="s">
        <v>42</v>
      </c>
      <c r="L31">
        <v>83</v>
      </c>
      <c r="M31">
        <v>3</v>
      </c>
      <c r="N31">
        <v>5</v>
      </c>
      <c r="O31" t="s">
        <v>79</v>
      </c>
      <c r="P31">
        <v>1</v>
      </c>
      <c r="Q31" t="s">
        <v>44</v>
      </c>
      <c r="R31">
        <v>18947</v>
      </c>
      <c r="S31">
        <v>22822</v>
      </c>
      <c r="T31">
        <v>3</v>
      </c>
      <c r="U31" t="s">
        <v>51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  <c r="AG31" t="s">
        <v>57</v>
      </c>
      <c r="AH31" t="s">
        <v>46</v>
      </c>
      <c r="AI31">
        <v>0</v>
      </c>
      <c r="AJ31" t="s">
        <v>47</v>
      </c>
      <c r="AK31" t="s">
        <v>68</v>
      </c>
      <c r="AL31" t="s">
        <v>73</v>
      </c>
      <c r="AM31" t="s">
        <v>70</v>
      </c>
      <c r="AN31">
        <f t="shared" si="0"/>
        <v>10</v>
      </c>
    </row>
    <row r="32" spans="1:40">
      <c r="A32">
        <v>33</v>
      </c>
      <c r="B32" t="s">
        <v>51</v>
      </c>
      <c r="C32" t="s">
        <v>39</v>
      </c>
      <c r="D32">
        <v>924</v>
      </c>
      <c r="E32" t="s">
        <v>53</v>
      </c>
      <c r="F32">
        <v>2</v>
      </c>
      <c r="G32">
        <v>3</v>
      </c>
      <c r="H32" t="s">
        <v>69</v>
      </c>
      <c r="I32">
        <v>39</v>
      </c>
      <c r="J32">
        <v>3</v>
      </c>
      <c r="K32" t="s">
        <v>54</v>
      </c>
      <c r="L32">
        <v>78</v>
      </c>
      <c r="M32">
        <v>3</v>
      </c>
      <c r="N32">
        <v>1</v>
      </c>
      <c r="O32" t="s">
        <v>63</v>
      </c>
      <c r="P32">
        <v>4</v>
      </c>
      <c r="Q32" t="s">
        <v>44</v>
      </c>
      <c r="R32">
        <v>2496</v>
      </c>
      <c r="S32">
        <v>6670</v>
      </c>
      <c r="T32">
        <v>4</v>
      </c>
      <c r="U32" t="s">
        <v>51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  <c r="AG32" t="s">
        <v>67</v>
      </c>
      <c r="AH32" t="s">
        <v>71</v>
      </c>
      <c r="AI32">
        <v>0</v>
      </c>
      <c r="AJ32" t="s">
        <v>65</v>
      </c>
      <c r="AK32" t="s">
        <v>72</v>
      </c>
      <c r="AL32" t="s">
        <v>49</v>
      </c>
      <c r="AM32" t="s">
        <v>61</v>
      </c>
      <c r="AN32">
        <f t="shared" si="0"/>
        <v>-3</v>
      </c>
    </row>
    <row r="33" spans="1:40">
      <c r="A33">
        <v>44</v>
      </c>
      <c r="B33" t="s">
        <v>51</v>
      </c>
      <c r="C33" t="s">
        <v>39</v>
      </c>
      <c r="D33">
        <v>1459</v>
      </c>
      <c r="E33" t="s">
        <v>53</v>
      </c>
      <c r="F33">
        <v>10</v>
      </c>
      <c r="G33">
        <v>4</v>
      </c>
      <c r="H33" t="s">
        <v>62</v>
      </c>
      <c r="I33">
        <v>40</v>
      </c>
      <c r="J33">
        <v>4</v>
      </c>
      <c r="K33" t="s">
        <v>54</v>
      </c>
      <c r="L33">
        <v>41</v>
      </c>
      <c r="M33">
        <v>3</v>
      </c>
      <c r="N33">
        <v>2</v>
      </c>
      <c r="O33" t="s">
        <v>76</v>
      </c>
      <c r="P33">
        <v>4</v>
      </c>
      <c r="Q33" t="s">
        <v>56</v>
      </c>
      <c r="R33">
        <v>6465</v>
      </c>
      <c r="S33">
        <v>19121</v>
      </c>
      <c r="T33">
        <v>2</v>
      </c>
      <c r="U33" t="s">
        <v>38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  <c r="AG33" t="s">
        <v>45</v>
      </c>
      <c r="AH33" t="s">
        <v>46</v>
      </c>
      <c r="AI33">
        <v>0</v>
      </c>
      <c r="AJ33" t="s">
        <v>65</v>
      </c>
      <c r="AK33" t="s">
        <v>68</v>
      </c>
      <c r="AL33" t="s">
        <v>49</v>
      </c>
      <c r="AM33" t="s">
        <v>85</v>
      </c>
      <c r="AN33">
        <f t="shared" si="0"/>
        <v>-4</v>
      </c>
    </row>
    <row r="34" spans="1:40">
      <c r="A34">
        <v>30</v>
      </c>
      <c r="B34" t="s">
        <v>51</v>
      </c>
      <c r="C34" t="s">
        <v>39</v>
      </c>
      <c r="D34">
        <v>125</v>
      </c>
      <c r="E34" t="s">
        <v>53</v>
      </c>
      <c r="F34">
        <v>9</v>
      </c>
      <c r="G34">
        <v>2</v>
      </c>
      <c r="H34" t="s">
        <v>69</v>
      </c>
      <c r="I34">
        <v>41</v>
      </c>
      <c r="J34">
        <v>4</v>
      </c>
      <c r="K34" t="s">
        <v>54</v>
      </c>
      <c r="L34">
        <v>83</v>
      </c>
      <c r="M34">
        <v>2</v>
      </c>
      <c r="N34">
        <v>1</v>
      </c>
      <c r="O34" t="s">
        <v>63</v>
      </c>
      <c r="P34">
        <v>3</v>
      </c>
      <c r="Q34" t="s">
        <v>44</v>
      </c>
      <c r="R34">
        <v>2206</v>
      </c>
      <c r="S34">
        <v>16117</v>
      </c>
      <c r="T34">
        <v>1</v>
      </c>
      <c r="U34" t="s">
        <v>51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  <c r="AG34" t="s">
        <v>67</v>
      </c>
      <c r="AH34" t="s">
        <v>46</v>
      </c>
      <c r="AI34">
        <v>0</v>
      </c>
      <c r="AJ34" t="s">
        <v>58</v>
      </c>
      <c r="AK34" t="s">
        <v>48</v>
      </c>
      <c r="AL34" t="s">
        <v>66</v>
      </c>
      <c r="AM34" t="s">
        <v>61</v>
      </c>
      <c r="AN34">
        <f t="shared" si="0"/>
        <v>1</v>
      </c>
    </row>
    <row r="35" spans="1:40">
      <c r="A35">
        <v>39</v>
      </c>
      <c r="B35" t="s">
        <v>38</v>
      </c>
      <c r="C35" t="s">
        <v>39</v>
      </c>
      <c r="D35">
        <v>895</v>
      </c>
      <c r="E35" t="s">
        <v>40</v>
      </c>
      <c r="F35">
        <v>5</v>
      </c>
      <c r="G35">
        <v>3</v>
      </c>
      <c r="H35" t="s">
        <v>86</v>
      </c>
      <c r="I35">
        <v>42</v>
      </c>
      <c r="J35">
        <v>4</v>
      </c>
      <c r="K35" t="s">
        <v>54</v>
      </c>
      <c r="L35">
        <v>56</v>
      </c>
      <c r="M35">
        <v>3</v>
      </c>
      <c r="N35">
        <v>2</v>
      </c>
      <c r="O35" t="s">
        <v>82</v>
      </c>
      <c r="P35">
        <v>4</v>
      </c>
      <c r="Q35" t="s">
        <v>56</v>
      </c>
      <c r="R35">
        <v>2086</v>
      </c>
      <c r="S35">
        <v>3335</v>
      </c>
      <c r="T35">
        <v>3</v>
      </c>
      <c r="U35" t="s">
        <v>51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  <c r="AG35" t="s">
        <v>45</v>
      </c>
      <c r="AH35" t="s">
        <v>81</v>
      </c>
      <c r="AI35">
        <v>1</v>
      </c>
      <c r="AJ35" t="s">
        <v>65</v>
      </c>
      <c r="AK35" t="s">
        <v>72</v>
      </c>
      <c r="AL35" t="s">
        <v>49</v>
      </c>
      <c r="AM35" t="s">
        <v>85</v>
      </c>
      <c r="AN35">
        <f t="shared" si="0"/>
        <v>-5</v>
      </c>
    </row>
    <row r="36" spans="1:40">
      <c r="A36">
        <v>24</v>
      </c>
      <c r="B36" t="s">
        <v>38</v>
      </c>
      <c r="C36" t="s">
        <v>39</v>
      </c>
      <c r="D36">
        <v>813</v>
      </c>
      <c r="E36" t="s">
        <v>53</v>
      </c>
      <c r="F36">
        <v>1</v>
      </c>
      <c r="G36">
        <v>3</v>
      </c>
      <c r="H36" t="s">
        <v>69</v>
      </c>
      <c r="I36">
        <v>45</v>
      </c>
      <c r="J36">
        <v>2</v>
      </c>
      <c r="K36" t="s">
        <v>54</v>
      </c>
      <c r="L36">
        <v>61</v>
      </c>
      <c r="M36">
        <v>3</v>
      </c>
      <c r="N36">
        <v>1</v>
      </c>
      <c r="O36" t="s">
        <v>55</v>
      </c>
      <c r="P36">
        <v>4</v>
      </c>
      <c r="Q36" t="s">
        <v>56</v>
      </c>
      <c r="R36">
        <v>2293</v>
      </c>
      <c r="S36">
        <v>3020</v>
      </c>
      <c r="T36">
        <v>2</v>
      </c>
      <c r="U36" t="s">
        <v>38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  <c r="AG36" t="s">
        <v>78</v>
      </c>
      <c r="AH36" t="s">
        <v>81</v>
      </c>
      <c r="AI36">
        <v>1</v>
      </c>
      <c r="AJ36" t="s">
        <v>47</v>
      </c>
      <c r="AK36" t="s">
        <v>72</v>
      </c>
      <c r="AL36" t="s">
        <v>49</v>
      </c>
      <c r="AM36" t="s">
        <v>70</v>
      </c>
      <c r="AN36">
        <f t="shared" si="0"/>
        <v>1</v>
      </c>
    </row>
    <row r="37" spans="1:40">
      <c r="A37">
        <v>43</v>
      </c>
      <c r="B37" t="s">
        <v>51</v>
      </c>
      <c r="C37" t="s">
        <v>39</v>
      </c>
      <c r="D37">
        <v>1273</v>
      </c>
      <c r="E37" t="s">
        <v>53</v>
      </c>
      <c r="F37">
        <v>2</v>
      </c>
      <c r="G37">
        <v>2</v>
      </c>
      <c r="H37" t="s">
        <v>69</v>
      </c>
      <c r="I37">
        <v>46</v>
      </c>
      <c r="J37">
        <v>4</v>
      </c>
      <c r="K37" t="s">
        <v>42</v>
      </c>
      <c r="L37">
        <v>72</v>
      </c>
      <c r="M37">
        <v>4</v>
      </c>
      <c r="N37">
        <v>1</v>
      </c>
      <c r="O37" t="s">
        <v>55</v>
      </c>
      <c r="P37">
        <v>3</v>
      </c>
      <c r="Q37" t="s">
        <v>74</v>
      </c>
      <c r="R37">
        <v>2645</v>
      </c>
      <c r="S37">
        <v>21923</v>
      </c>
      <c r="T37">
        <v>1</v>
      </c>
      <c r="U37" t="s">
        <v>51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  <c r="AG37" t="s">
        <v>45</v>
      </c>
      <c r="AH37" t="s">
        <v>46</v>
      </c>
      <c r="AI37">
        <v>0</v>
      </c>
      <c r="AJ37" t="s">
        <v>47</v>
      </c>
      <c r="AK37" t="s">
        <v>48</v>
      </c>
      <c r="AL37" t="s">
        <v>66</v>
      </c>
      <c r="AM37" t="s">
        <v>70</v>
      </c>
      <c r="AN37">
        <f t="shared" si="0"/>
        <v>3</v>
      </c>
    </row>
    <row r="38" spans="1:40">
      <c r="A38">
        <v>50</v>
      </c>
      <c r="B38" t="s">
        <v>38</v>
      </c>
      <c r="C38" t="s">
        <v>39</v>
      </c>
      <c r="D38">
        <v>869</v>
      </c>
      <c r="E38" t="s">
        <v>40</v>
      </c>
      <c r="F38">
        <v>3</v>
      </c>
      <c r="G38">
        <v>2</v>
      </c>
      <c r="H38" t="s">
        <v>84</v>
      </c>
      <c r="I38">
        <v>47</v>
      </c>
      <c r="J38">
        <v>1</v>
      </c>
      <c r="K38" t="s">
        <v>54</v>
      </c>
      <c r="L38">
        <v>86</v>
      </c>
      <c r="M38">
        <v>2</v>
      </c>
      <c r="N38">
        <v>1</v>
      </c>
      <c r="O38" t="s">
        <v>82</v>
      </c>
      <c r="P38">
        <v>3</v>
      </c>
      <c r="Q38" t="s">
        <v>56</v>
      </c>
      <c r="R38">
        <v>2683</v>
      </c>
      <c r="S38">
        <v>3810</v>
      </c>
      <c r="T38">
        <v>1</v>
      </c>
      <c r="U38" t="s">
        <v>38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  <c r="AG38" t="s">
        <v>57</v>
      </c>
      <c r="AH38" t="s">
        <v>81</v>
      </c>
      <c r="AI38">
        <v>1</v>
      </c>
      <c r="AJ38" t="s">
        <v>65</v>
      </c>
      <c r="AK38" t="s">
        <v>48</v>
      </c>
      <c r="AL38" t="s">
        <v>66</v>
      </c>
      <c r="AM38" t="s">
        <v>61</v>
      </c>
      <c r="AN38">
        <f t="shared" si="0"/>
        <v>0</v>
      </c>
    </row>
    <row r="39" spans="1:40">
      <c r="A39">
        <v>35</v>
      </c>
      <c r="B39" t="s">
        <v>51</v>
      </c>
      <c r="C39" t="s">
        <v>39</v>
      </c>
      <c r="D39">
        <v>890</v>
      </c>
      <c r="E39" t="s">
        <v>40</v>
      </c>
      <c r="F39">
        <v>2</v>
      </c>
      <c r="G39">
        <v>3</v>
      </c>
      <c r="H39" t="s">
        <v>84</v>
      </c>
      <c r="I39">
        <v>49</v>
      </c>
      <c r="J39">
        <v>4</v>
      </c>
      <c r="K39" t="s">
        <v>42</v>
      </c>
      <c r="L39">
        <v>97</v>
      </c>
      <c r="M39">
        <v>3</v>
      </c>
      <c r="N39">
        <v>1</v>
      </c>
      <c r="O39" t="s">
        <v>82</v>
      </c>
      <c r="P39">
        <v>4</v>
      </c>
      <c r="Q39" t="s">
        <v>56</v>
      </c>
      <c r="R39">
        <v>2014</v>
      </c>
      <c r="S39">
        <v>9687</v>
      </c>
      <c r="T39">
        <v>1</v>
      </c>
      <c r="U39" t="s">
        <v>51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  <c r="AG39" t="s">
        <v>67</v>
      </c>
      <c r="AH39" t="s">
        <v>71</v>
      </c>
      <c r="AI39">
        <v>0</v>
      </c>
      <c r="AJ39" t="s">
        <v>65</v>
      </c>
      <c r="AK39" t="s">
        <v>72</v>
      </c>
      <c r="AL39" t="s">
        <v>49</v>
      </c>
      <c r="AM39" t="s">
        <v>61</v>
      </c>
      <c r="AN39">
        <f t="shared" si="0"/>
        <v>-1</v>
      </c>
    </row>
    <row r="40" spans="1:40">
      <c r="A40">
        <v>36</v>
      </c>
      <c r="B40" t="s">
        <v>51</v>
      </c>
      <c r="C40" t="s">
        <v>39</v>
      </c>
      <c r="D40">
        <v>852</v>
      </c>
      <c r="E40" t="s">
        <v>53</v>
      </c>
      <c r="F40">
        <v>5</v>
      </c>
      <c r="G40">
        <v>4</v>
      </c>
      <c r="H40" t="s">
        <v>41</v>
      </c>
      <c r="I40">
        <v>51</v>
      </c>
      <c r="J40">
        <v>2</v>
      </c>
      <c r="K40" t="s">
        <v>42</v>
      </c>
      <c r="L40">
        <v>82</v>
      </c>
      <c r="M40">
        <v>2</v>
      </c>
      <c r="N40">
        <v>1</v>
      </c>
      <c r="O40" t="s">
        <v>55</v>
      </c>
      <c r="P40">
        <v>1</v>
      </c>
      <c r="Q40" t="s">
        <v>56</v>
      </c>
      <c r="R40">
        <v>3419</v>
      </c>
      <c r="S40">
        <v>13072</v>
      </c>
      <c r="T40">
        <v>9</v>
      </c>
      <c r="U40" t="s">
        <v>38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  <c r="AG40" t="s">
        <v>45</v>
      </c>
      <c r="AH40" t="s">
        <v>46</v>
      </c>
      <c r="AI40">
        <v>0</v>
      </c>
      <c r="AJ40" t="s">
        <v>65</v>
      </c>
      <c r="AK40" t="s">
        <v>68</v>
      </c>
      <c r="AL40" t="s">
        <v>73</v>
      </c>
      <c r="AM40" t="s">
        <v>85</v>
      </c>
      <c r="AN40">
        <f t="shared" si="0"/>
        <v>4</v>
      </c>
    </row>
    <row r="41" spans="1:40">
      <c r="A41">
        <v>33</v>
      </c>
      <c r="B41" t="s">
        <v>51</v>
      </c>
      <c r="C41" t="s">
        <v>52</v>
      </c>
      <c r="D41">
        <v>1141</v>
      </c>
      <c r="E41" t="s">
        <v>40</v>
      </c>
      <c r="F41">
        <v>1</v>
      </c>
      <c r="G41">
        <v>3</v>
      </c>
      <c r="H41" t="s">
        <v>41</v>
      </c>
      <c r="I41">
        <v>52</v>
      </c>
      <c r="J41">
        <v>3</v>
      </c>
      <c r="K41" t="s">
        <v>42</v>
      </c>
      <c r="L41">
        <v>42</v>
      </c>
      <c r="M41">
        <v>4</v>
      </c>
      <c r="N41">
        <v>2</v>
      </c>
      <c r="O41" t="s">
        <v>43</v>
      </c>
      <c r="P41">
        <v>1</v>
      </c>
      <c r="Q41" t="s">
        <v>56</v>
      </c>
      <c r="R41">
        <v>5376</v>
      </c>
      <c r="S41">
        <v>3193</v>
      </c>
      <c r="T41">
        <v>2</v>
      </c>
      <c r="U41" t="s">
        <v>51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  <c r="AG41" t="s">
        <v>67</v>
      </c>
      <c r="AH41" t="s">
        <v>81</v>
      </c>
      <c r="AI41">
        <v>0</v>
      </c>
      <c r="AJ41" t="s">
        <v>65</v>
      </c>
      <c r="AK41" t="s">
        <v>72</v>
      </c>
      <c r="AL41" t="s">
        <v>73</v>
      </c>
      <c r="AM41" t="s">
        <v>61</v>
      </c>
      <c r="AN41">
        <f t="shared" si="0"/>
        <v>7</v>
      </c>
    </row>
    <row r="42" spans="1:40">
      <c r="A42">
        <v>35</v>
      </c>
      <c r="B42" t="s">
        <v>51</v>
      </c>
      <c r="C42" t="s">
        <v>39</v>
      </c>
      <c r="D42">
        <v>464</v>
      </c>
      <c r="E42" t="s">
        <v>53</v>
      </c>
      <c r="F42">
        <v>4</v>
      </c>
      <c r="G42">
        <v>2</v>
      </c>
      <c r="H42" t="s">
        <v>62</v>
      </c>
      <c r="I42">
        <v>53</v>
      </c>
      <c r="J42">
        <v>3</v>
      </c>
      <c r="K42" t="s">
        <v>54</v>
      </c>
      <c r="L42">
        <v>75</v>
      </c>
      <c r="M42">
        <v>3</v>
      </c>
      <c r="N42">
        <v>1</v>
      </c>
      <c r="O42" t="s">
        <v>63</v>
      </c>
      <c r="P42">
        <v>4</v>
      </c>
      <c r="Q42" t="s">
        <v>74</v>
      </c>
      <c r="R42">
        <v>1951</v>
      </c>
      <c r="S42">
        <v>10910</v>
      </c>
      <c r="T42">
        <v>1</v>
      </c>
      <c r="U42" t="s">
        <v>51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  <c r="AG42" t="s">
        <v>67</v>
      </c>
      <c r="AH42" t="s">
        <v>46</v>
      </c>
      <c r="AI42">
        <v>0</v>
      </c>
      <c r="AJ42" t="s">
        <v>65</v>
      </c>
      <c r="AK42" t="s">
        <v>48</v>
      </c>
      <c r="AL42" t="s">
        <v>49</v>
      </c>
      <c r="AM42" t="s">
        <v>61</v>
      </c>
      <c r="AN42">
        <f t="shared" si="0"/>
        <v>-3</v>
      </c>
    </row>
    <row r="43" spans="1:40">
      <c r="A43">
        <v>27</v>
      </c>
      <c r="B43" t="s">
        <v>51</v>
      </c>
      <c r="C43" t="s">
        <v>39</v>
      </c>
      <c r="D43">
        <v>1240</v>
      </c>
      <c r="E43" t="s">
        <v>53</v>
      </c>
      <c r="F43">
        <v>2</v>
      </c>
      <c r="G43">
        <v>4</v>
      </c>
      <c r="H43" t="s">
        <v>41</v>
      </c>
      <c r="I43">
        <v>54</v>
      </c>
      <c r="J43">
        <v>4</v>
      </c>
      <c r="K43" t="s">
        <v>42</v>
      </c>
      <c r="L43">
        <v>33</v>
      </c>
      <c r="M43">
        <v>3</v>
      </c>
      <c r="N43">
        <v>1</v>
      </c>
      <c r="O43" t="s">
        <v>63</v>
      </c>
      <c r="P43">
        <v>1</v>
      </c>
      <c r="Q43" t="s">
        <v>74</v>
      </c>
      <c r="R43">
        <v>2341</v>
      </c>
      <c r="S43">
        <v>19715</v>
      </c>
      <c r="T43">
        <v>1</v>
      </c>
      <c r="U43" t="s">
        <v>51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  <c r="AG43" t="s">
        <v>67</v>
      </c>
      <c r="AH43" t="s">
        <v>46</v>
      </c>
      <c r="AI43">
        <v>0</v>
      </c>
      <c r="AJ43" t="s">
        <v>65</v>
      </c>
      <c r="AK43" t="s">
        <v>68</v>
      </c>
      <c r="AL43" t="s">
        <v>73</v>
      </c>
      <c r="AM43" t="s">
        <v>61</v>
      </c>
      <c r="AN43">
        <f t="shared" si="0"/>
        <v>6</v>
      </c>
    </row>
    <row r="44" spans="1:40">
      <c r="A44">
        <v>26</v>
      </c>
      <c r="B44" t="s">
        <v>38</v>
      </c>
      <c r="C44" t="s">
        <v>39</v>
      </c>
      <c r="D44">
        <v>1357</v>
      </c>
      <c r="E44" t="s">
        <v>53</v>
      </c>
      <c r="F44">
        <v>25</v>
      </c>
      <c r="G44">
        <v>3</v>
      </c>
      <c r="H44" t="s">
        <v>41</v>
      </c>
      <c r="I44">
        <v>55</v>
      </c>
      <c r="J44">
        <v>1</v>
      </c>
      <c r="K44" t="s">
        <v>54</v>
      </c>
      <c r="L44">
        <v>48</v>
      </c>
      <c r="M44">
        <v>1</v>
      </c>
      <c r="N44">
        <v>1</v>
      </c>
      <c r="O44" t="s">
        <v>63</v>
      </c>
      <c r="P44">
        <v>3</v>
      </c>
      <c r="Q44" t="s">
        <v>44</v>
      </c>
      <c r="R44">
        <v>2293</v>
      </c>
      <c r="S44">
        <v>10558</v>
      </c>
      <c r="T44">
        <v>1</v>
      </c>
      <c r="U44" t="s">
        <v>51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  <c r="AG44" t="s">
        <v>67</v>
      </c>
      <c r="AH44" t="s">
        <v>46</v>
      </c>
      <c r="AI44">
        <v>1</v>
      </c>
      <c r="AJ44" t="s">
        <v>47</v>
      </c>
      <c r="AK44" t="s">
        <v>72</v>
      </c>
      <c r="AL44" t="s">
        <v>66</v>
      </c>
      <c r="AM44" t="s">
        <v>70</v>
      </c>
      <c r="AN44">
        <f t="shared" si="0"/>
        <v>2</v>
      </c>
    </row>
    <row r="45" spans="1:40">
      <c r="A45">
        <v>27</v>
      </c>
      <c r="B45" t="s">
        <v>51</v>
      </c>
      <c r="C45" t="s">
        <v>52</v>
      </c>
      <c r="D45">
        <v>994</v>
      </c>
      <c r="E45" t="s">
        <v>40</v>
      </c>
      <c r="F45">
        <v>8</v>
      </c>
      <c r="G45">
        <v>3</v>
      </c>
      <c r="H45" t="s">
        <v>41</v>
      </c>
      <c r="I45">
        <v>56</v>
      </c>
      <c r="J45">
        <v>4</v>
      </c>
      <c r="K45" t="s">
        <v>54</v>
      </c>
      <c r="L45">
        <v>37</v>
      </c>
      <c r="M45">
        <v>3</v>
      </c>
      <c r="N45">
        <v>3</v>
      </c>
      <c r="O45" t="s">
        <v>43</v>
      </c>
      <c r="P45">
        <v>3</v>
      </c>
      <c r="Q45" t="s">
        <v>44</v>
      </c>
      <c r="R45">
        <v>8726</v>
      </c>
      <c r="S45">
        <v>2975</v>
      </c>
      <c r="T45">
        <v>1</v>
      </c>
      <c r="U45" t="s">
        <v>51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  <c r="AG45" t="s">
        <v>67</v>
      </c>
      <c r="AH45" t="s">
        <v>64</v>
      </c>
      <c r="AI45">
        <v>0</v>
      </c>
      <c r="AJ45" t="s">
        <v>58</v>
      </c>
      <c r="AK45" t="s">
        <v>72</v>
      </c>
      <c r="AL45" t="s">
        <v>66</v>
      </c>
      <c r="AM45" t="s">
        <v>61</v>
      </c>
      <c r="AN45">
        <f t="shared" si="0"/>
        <v>1</v>
      </c>
    </row>
    <row r="46" spans="1:40">
      <c r="A46">
        <v>30</v>
      </c>
      <c r="B46" t="s">
        <v>51</v>
      </c>
      <c r="C46" t="s">
        <v>52</v>
      </c>
      <c r="D46">
        <v>721</v>
      </c>
      <c r="E46" t="s">
        <v>53</v>
      </c>
      <c r="F46">
        <v>1</v>
      </c>
      <c r="G46">
        <v>2</v>
      </c>
      <c r="H46" t="s">
        <v>69</v>
      </c>
      <c r="I46">
        <v>57</v>
      </c>
      <c r="J46">
        <v>3</v>
      </c>
      <c r="K46" t="s">
        <v>42</v>
      </c>
      <c r="L46">
        <v>58</v>
      </c>
      <c r="M46">
        <v>3</v>
      </c>
      <c r="N46">
        <v>2</v>
      </c>
      <c r="O46" t="s">
        <v>63</v>
      </c>
      <c r="P46">
        <v>4</v>
      </c>
      <c r="Q46" t="s">
        <v>44</v>
      </c>
      <c r="R46">
        <v>4011</v>
      </c>
      <c r="S46">
        <v>10781</v>
      </c>
      <c r="T46">
        <v>1</v>
      </c>
      <c r="U46" t="s">
        <v>51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  <c r="AG46" t="s">
        <v>67</v>
      </c>
      <c r="AH46" t="s">
        <v>46</v>
      </c>
      <c r="AI46">
        <v>0</v>
      </c>
      <c r="AJ46" t="s">
        <v>80</v>
      </c>
      <c r="AK46" t="s">
        <v>48</v>
      </c>
      <c r="AL46" t="s">
        <v>49</v>
      </c>
      <c r="AM46" t="s">
        <v>61</v>
      </c>
      <c r="AN46">
        <f t="shared" si="0"/>
        <v>0</v>
      </c>
    </row>
    <row r="47" spans="1:40">
      <c r="A47">
        <v>41</v>
      </c>
      <c r="B47" t="s">
        <v>38</v>
      </c>
      <c r="C47" t="s">
        <v>39</v>
      </c>
      <c r="D47">
        <v>1360</v>
      </c>
      <c r="E47" t="s">
        <v>53</v>
      </c>
      <c r="F47">
        <v>12</v>
      </c>
      <c r="G47">
        <v>3</v>
      </c>
      <c r="H47" t="s">
        <v>86</v>
      </c>
      <c r="I47">
        <v>58</v>
      </c>
      <c r="J47">
        <v>2</v>
      </c>
      <c r="K47" t="s">
        <v>42</v>
      </c>
      <c r="L47">
        <v>49</v>
      </c>
      <c r="M47">
        <v>3</v>
      </c>
      <c r="N47">
        <v>5</v>
      </c>
      <c r="O47" t="s">
        <v>83</v>
      </c>
      <c r="P47">
        <v>3</v>
      </c>
      <c r="Q47" t="s">
        <v>56</v>
      </c>
      <c r="R47">
        <v>19545</v>
      </c>
      <c r="S47">
        <v>16280</v>
      </c>
      <c r="T47">
        <v>1</v>
      </c>
      <c r="U47" t="s">
        <v>51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  <c r="AG47" t="s">
        <v>45</v>
      </c>
      <c r="AH47" t="s">
        <v>46</v>
      </c>
      <c r="AI47">
        <v>1</v>
      </c>
      <c r="AJ47" t="s">
        <v>80</v>
      </c>
      <c r="AK47" t="s">
        <v>72</v>
      </c>
      <c r="AL47" t="s">
        <v>66</v>
      </c>
      <c r="AM47" t="s">
        <v>61</v>
      </c>
      <c r="AN47">
        <f t="shared" si="0"/>
        <v>15</v>
      </c>
    </row>
    <row r="48" spans="1:40">
      <c r="A48">
        <v>34</v>
      </c>
      <c r="B48" t="s">
        <v>51</v>
      </c>
      <c r="C48" t="s">
        <v>77</v>
      </c>
      <c r="D48">
        <v>1065</v>
      </c>
      <c r="E48" t="s">
        <v>40</v>
      </c>
      <c r="F48">
        <v>23</v>
      </c>
      <c r="G48">
        <v>4</v>
      </c>
      <c r="H48" t="s">
        <v>84</v>
      </c>
      <c r="I48">
        <v>60</v>
      </c>
      <c r="J48">
        <v>2</v>
      </c>
      <c r="K48" t="s">
        <v>54</v>
      </c>
      <c r="L48">
        <v>72</v>
      </c>
      <c r="M48">
        <v>3</v>
      </c>
      <c r="N48">
        <v>2</v>
      </c>
      <c r="O48" t="s">
        <v>43</v>
      </c>
      <c r="P48">
        <v>3</v>
      </c>
      <c r="Q48" t="s">
        <v>44</v>
      </c>
      <c r="R48">
        <v>4568</v>
      </c>
      <c r="S48">
        <v>10034</v>
      </c>
      <c r="T48">
        <v>0</v>
      </c>
      <c r="U48" t="s">
        <v>51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  <c r="AG48" t="s">
        <v>67</v>
      </c>
      <c r="AH48" t="s">
        <v>46</v>
      </c>
      <c r="AI48">
        <v>0</v>
      </c>
      <c r="AJ48" t="s">
        <v>58</v>
      </c>
      <c r="AK48" t="s">
        <v>68</v>
      </c>
      <c r="AL48" t="s">
        <v>66</v>
      </c>
      <c r="AM48" t="s">
        <v>61</v>
      </c>
      <c r="AN48">
        <f t="shared" si="0"/>
        <v>8</v>
      </c>
    </row>
    <row r="49" spans="1:40">
      <c r="A49">
        <v>37</v>
      </c>
      <c r="B49" t="s">
        <v>51</v>
      </c>
      <c r="C49" t="s">
        <v>39</v>
      </c>
      <c r="D49">
        <v>408</v>
      </c>
      <c r="E49" t="s">
        <v>53</v>
      </c>
      <c r="F49">
        <v>19</v>
      </c>
      <c r="G49">
        <v>2</v>
      </c>
      <c r="H49" t="s">
        <v>41</v>
      </c>
      <c r="I49">
        <v>61</v>
      </c>
      <c r="J49">
        <v>2</v>
      </c>
      <c r="K49" t="s">
        <v>54</v>
      </c>
      <c r="L49">
        <v>73</v>
      </c>
      <c r="M49">
        <v>3</v>
      </c>
      <c r="N49">
        <v>1</v>
      </c>
      <c r="O49" t="s">
        <v>55</v>
      </c>
      <c r="P49">
        <v>2</v>
      </c>
      <c r="Q49" t="s">
        <v>56</v>
      </c>
      <c r="R49">
        <v>3022</v>
      </c>
      <c r="S49">
        <v>10227</v>
      </c>
      <c r="T49">
        <v>4</v>
      </c>
      <c r="U49" t="s">
        <v>51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  <c r="AG49" t="s">
        <v>45</v>
      </c>
      <c r="AH49" t="s">
        <v>46</v>
      </c>
      <c r="AI49">
        <v>0</v>
      </c>
      <c r="AJ49" t="s">
        <v>65</v>
      </c>
      <c r="AK49" t="s">
        <v>48</v>
      </c>
      <c r="AL49" t="s">
        <v>60</v>
      </c>
      <c r="AM49" t="s">
        <v>61</v>
      </c>
      <c r="AN49">
        <f t="shared" si="0"/>
        <v>3</v>
      </c>
    </row>
    <row r="50" spans="1:40">
      <c r="A50">
        <v>46</v>
      </c>
      <c r="B50" t="s">
        <v>51</v>
      </c>
      <c r="C50" t="s">
        <v>52</v>
      </c>
      <c r="D50">
        <v>1211</v>
      </c>
      <c r="E50" t="s">
        <v>40</v>
      </c>
      <c r="F50">
        <v>5</v>
      </c>
      <c r="G50">
        <v>4</v>
      </c>
      <c r="H50" t="s">
        <v>84</v>
      </c>
      <c r="I50">
        <v>62</v>
      </c>
      <c r="J50">
        <v>1</v>
      </c>
      <c r="K50" t="s">
        <v>54</v>
      </c>
      <c r="L50">
        <v>98</v>
      </c>
      <c r="M50">
        <v>3</v>
      </c>
      <c r="N50">
        <v>2</v>
      </c>
      <c r="O50" t="s">
        <v>43</v>
      </c>
      <c r="P50">
        <v>4</v>
      </c>
      <c r="Q50" t="s">
        <v>44</v>
      </c>
      <c r="R50">
        <v>5772</v>
      </c>
      <c r="S50">
        <v>20445</v>
      </c>
      <c r="T50">
        <v>4</v>
      </c>
      <c r="U50" t="s">
        <v>38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  <c r="AG50" t="s">
        <v>57</v>
      </c>
      <c r="AH50" t="s">
        <v>46</v>
      </c>
      <c r="AI50">
        <v>0</v>
      </c>
      <c r="AJ50" t="s">
        <v>58</v>
      </c>
      <c r="AK50" t="s">
        <v>68</v>
      </c>
      <c r="AL50" t="s">
        <v>49</v>
      </c>
      <c r="AM50" t="s">
        <v>61</v>
      </c>
      <c r="AN50">
        <f t="shared" si="0"/>
        <v>-3</v>
      </c>
    </row>
    <row r="51" spans="1:40">
      <c r="A51">
        <v>35</v>
      </c>
      <c r="B51" t="s">
        <v>51</v>
      </c>
      <c r="C51" t="s">
        <v>39</v>
      </c>
      <c r="D51">
        <v>1229</v>
      </c>
      <c r="E51" t="s">
        <v>53</v>
      </c>
      <c r="F51">
        <v>8</v>
      </c>
      <c r="G51">
        <v>1</v>
      </c>
      <c r="H51" t="s">
        <v>41</v>
      </c>
      <c r="I51">
        <v>63</v>
      </c>
      <c r="J51">
        <v>4</v>
      </c>
      <c r="K51" t="s">
        <v>54</v>
      </c>
      <c r="L51">
        <v>36</v>
      </c>
      <c r="M51">
        <v>4</v>
      </c>
      <c r="N51">
        <v>1</v>
      </c>
      <c r="O51" t="s">
        <v>63</v>
      </c>
      <c r="P51">
        <v>4</v>
      </c>
      <c r="Q51" t="s">
        <v>56</v>
      </c>
      <c r="R51">
        <v>2269</v>
      </c>
      <c r="S51">
        <v>4892</v>
      </c>
      <c r="T51">
        <v>1</v>
      </c>
      <c r="U51" t="s">
        <v>51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  <c r="AG51" t="s">
        <v>67</v>
      </c>
      <c r="AH51" t="s">
        <v>81</v>
      </c>
      <c r="AI51">
        <v>0</v>
      </c>
      <c r="AJ51" t="s">
        <v>65</v>
      </c>
      <c r="AK51" t="s">
        <v>59</v>
      </c>
      <c r="AL51" t="s">
        <v>49</v>
      </c>
      <c r="AM51" t="s">
        <v>61</v>
      </c>
      <c r="AN51">
        <f t="shared" si="0"/>
        <v>-3</v>
      </c>
    </row>
    <row r="52" spans="1:40">
      <c r="A52">
        <v>48</v>
      </c>
      <c r="B52" t="s">
        <v>38</v>
      </c>
      <c r="C52" t="s">
        <v>39</v>
      </c>
      <c r="D52">
        <v>626</v>
      </c>
      <c r="E52" t="s">
        <v>53</v>
      </c>
      <c r="F52">
        <v>1</v>
      </c>
      <c r="G52">
        <v>2</v>
      </c>
      <c r="H52" t="s">
        <v>41</v>
      </c>
      <c r="I52">
        <v>64</v>
      </c>
      <c r="J52">
        <v>1</v>
      </c>
      <c r="K52" t="s">
        <v>54</v>
      </c>
      <c r="L52">
        <v>98</v>
      </c>
      <c r="M52">
        <v>2</v>
      </c>
      <c r="N52">
        <v>3</v>
      </c>
      <c r="O52" t="s">
        <v>63</v>
      </c>
      <c r="P52">
        <v>3</v>
      </c>
      <c r="Q52" t="s">
        <v>44</v>
      </c>
      <c r="R52">
        <v>5381</v>
      </c>
      <c r="S52">
        <v>19294</v>
      </c>
      <c r="T52">
        <v>9</v>
      </c>
      <c r="U52" t="s">
        <v>38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  <c r="AG52" t="s">
        <v>57</v>
      </c>
      <c r="AH52" t="s">
        <v>46</v>
      </c>
      <c r="AI52">
        <v>1</v>
      </c>
      <c r="AJ52" t="s">
        <v>65</v>
      </c>
      <c r="AK52" t="s">
        <v>48</v>
      </c>
      <c r="AL52" t="s">
        <v>66</v>
      </c>
      <c r="AM52" t="s">
        <v>61</v>
      </c>
      <c r="AN52">
        <f t="shared" si="0"/>
        <v>0</v>
      </c>
    </row>
    <row r="53" spans="1:40">
      <c r="A53">
        <v>28</v>
      </c>
      <c r="B53" t="s">
        <v>38</v>
      </c>
      <c r="C53" t="s">
        <v>39</v>
      </c>
      <c r="D53">
        <v>1434</v>
      </c>
      <c r="E53" t="s">
        <v>53</v>
      </c>
      <c r="F53">
        <v>5</v>
      </c>
      <c r="G53">
        <v>4</v>
      </c>
      <c r="H53" t="s">
        <v>86</v>
      </c>
      <c r="I53">
        <v>65</v>
      </c>
      <c r="J53">
        <v>3</v>
      </c>
      <c r="K53" t="s">
        <v>54</v>
      </c>
      <c r="L53">
        <v>50</v>
      </c>
      <c r="M53">
        <v>3</v>
      </c>
      <c r="N53">
        <v>1</v>
      </c>
      <c r="O53" t="s">
        <v>63</v>
      </c>
      <c r="P53">
        <v>3</v>
      </c>
      <c r="Q53" t="s">
        <v>44</v>
      </c>
      <c r="R53">
        <v>3441</v>
      </c>
      <c r="S53">
        <v>11179</v>
      </c>
      <c r="T53">
        <v>1</v>
      </c>
      <c r="U53" t="s">
        <v>38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 t="s">
        <v>67</v>
      </c>
      <c r="AH53" t="s">
        <v>46</v>
      </c>
      <c r="AI53">
        <v>1</v>
      </c>
      <c r="AJ53" t="s">
        <v>47</v>
      </c>
      <c r="AK53" t="s">
        <v>68</v>
      </c>
      <c r="AL53" t="s">
        <v>66</v>
      </c>
      <c r="AM53" t="s">
        <v>70</v>
      </c>
      <c r="AN53">
        <f t="shared" si="0"/>
        <v>4</v>
      </c>
    </row>
    <row r="54" spans="1:40">
      <c r="A54">
        <v>44</v>
      </c>
      <c r="B54" t="s">
        <v>51</v>
      </c>
      <c r="C54" t="s">
        <v>39</v>
      </c>
      <c r="D54">
        <v>1488</v>
      </c>
      <c r="E54" t="s">
        <v>40</v>
      </c>
      <c r="F54">
        <v>1</v>
      </c>
      <c r="G54">
        <v>5</v>
      </c>
      <c r="H54" t="s">
        <v>84</v>
      </c>
      <c r="I54">
        <v>68</v>
      </c>
      <c r="J54">
        <v>2</v>
      </c>
      <c r="K54" t="s">
        <v>42</v>
      </c>
      <c r="L54">
        <v>75</v>
      </c>
      <c r="M54">
        <v>3</v>
      </c>
      <c r="N54">
        <v>2</v>
      </c>
      <c r="O54" t="s">
        <v>43</v>
      </c>
      <c r="P54">
        <v>1</v>
      </c>
      <c r="Q54" t="s">
        <v>74</v>
      </c>
      <c r="R54">
        <v>5454</v>
      </c>
      <c r="S54">
        <v>4009</v>
      </c>
      <c r="T54">
        <v>5</v>
      </c>
      <c r="U54" t="s">
        <v>38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  <c r="AG54" t="s">
        <v>45</v>
      </c>
      <c r="AH54" t="s">
        <v>81</v>
      </c>
      <c r="AI54">
        <v>0</v>
      </c>
      <c r="AJ54" t="s">
        <v>47</v>
      </c>
      <c r="AK54" t="s">
        <v>87</v>
      </c>
      <c r="AL54" t="s">
        <v>73</v>
      </c>
      <c r="AM54" t="s">
        <v>70</v>
      </c>
      <c r="AN54">
        <f t="shared" si="0"/>
        <v>9</v>
      </c>
    </row>
    <row r="55" spans="1:40">
      <c r="A55">
        <v>35</v>
      </c>
      <c r="B55" t="s">
        <v>51</v>
      </c>
      <c r="C55" t="s">
        <v>77</v>
      </c>
      <c r="D55">
        <v>1097</v>
      </c>
      <c r="E55" t="s">
        <v>53</v>
      </c>
      <c r="F55">
        <v>11</v>
      </c>
      <c r="G55">
        <v>2</v>
      </c>
      <c r="H55" t="s">
        <v>69</v>
      </c>
      <c r="I55">
        <v>70</v>
      </c>
      <c r="J55">
        <v>3</v>
      </c>
      <c r="K55" t="s">
        <v>54</v>
      </c>
      <c r="L55">
        <v>79</v>
      </c>
      <c r="M55">
        <v>2</v>
      </c>
      <c r="N55">
        <v>3</v>
      </c>
      <c r="O55" t="s">
        <v>76</v>
      </c>
      <c r="P55">
        <v>1</v>
      </c>
      <c r="Q55" t="s">
        <v>56</v>
      </c>
      <c r="R55">
        <v>9884</v>
      </c>
      <c r="S55">
        <v>8302</v>
      </c>
      <c r="T55">
        <v>2</v>
      </c>
      <c r="U55" t="s">
        <v>38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  <c r="AG55" t="s">
        <v>67</v>
      </c>
      <c r="AH55" t="s">
        <v>71</v>
      </c>
      <c r="AI55">
        <v>0</v>
      </c>
      <c r="AJ55" t="s">
        <v>65</v>
      </c>
      <c r="AK55" t="s">
        <v>48</v>
      </c>
      <c r="AL55" t="s">
        <v>73</v>
      </c>
      <c r="AM55" t="s">
        <v>61</v>
      </c>
      <c r="AN55">
        <f t="shared" si="0"/>
        <v>8</v>
      </c>
    </row>
    <row r="56" spans="1:40">
      <c r="A56">
        <v>26</v>
      </c>
      <c r="B56" t="s">
        <v>51</v>
      </c>
      <c r="C56" t="s">
        <v>39</v>
      </c>
      <c r="D56">
        <v>1443</v>
      </c>
      <c r="E56" t="s">
        <v>40</v>
      </c>
      <c r="F56">
        <v>23</v>
      </c>
      <c r="G56">
        <v>3</v>
      </c>
      <c r="H56" t="s">
        <v>84</v>
      </c>
      <c r="I56">
        <v>72</v>
      </c>
      <c r="J56">
        <v>3</v>
      </c>
      <c r="K56" t="s">
        <v>42</v>
      </c>
      <c r="L56">
        <v>47</v>
      </c>
      <c r="M56">
        <v>2</v>
      </c>
      <c r="N56">
        <v>2</v>
      </c>
      <c r="O56" t="s">
        <v>43</v>
      </c>
      <c r="P56">
        <v>4</v>
      </c>
      <c r="Q56" t="s">
        <v>56</v>
      </c>
      <c r="R56">
        <v>4157</v>
      </c>
      <c r="S56">
        <v>21436</v>
      </c>
      <c r="T56">
        <v>7</v>
      </c>
      <c r="U56" t="s">
        <v>38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  <c r="AG56" t="s">
        <v>67</v>
      </c>
      <c r="AH56" t="s">
        <v>46</v>
      </c>
      <c r="AI56">
        <v>0</v>
      </c>
      <c r="AJ56" t="s">
        <v>47</v>
      </c>
      <c r="AK56" t="s">
        <v>72</v>
      </c>
      <c r="AL56" t="s">
        <v>49</v>
      </c>
      <c r="AM56" t="s">
        <v>70</v>
      </c>
      <c r="AN56">
        <f t="shared" si="0"/>
        <v>-1</v>
      </c>
    </row>
    <row r="57" spans="1:40">
      <c r="A57">
        <v>33</v>
      </c>
      <c r="B57" t="s">
        <v>51</v>
      </c>
      <c r="C57" t="s">
        <v>52</v>
      </c>
      <c r="D57">
        <v>515</v>
      </c>
      <c r="E57" t="s">
        <v>53</v>
      </c>
      <c r="F57">
        <v>1</v>
      </c>
      <c r="G57">
        <v>2</v>
      </c>
      <c r="H57" t="s">
        <v>41</v>
      </c>
      <c r="I57">
        <v>73</v>
      </c>
      <c r="J57">
        <v>1</v>
      </c>
      <c r="K57" t="s">
        <v>42</v>
      </c>
      <c r="L57">
        <v>98</v>
      </c>
      <c r="M57">
        <v>3</v>
      </c>
      <c r="N57">
        <v>3</v>
      </c>
      <c r="O57" t="s">
        <v>83</v>
      </c>
      <c r="P57">
        <v>4</v>
      </c>
      <c r="Q57" t="s">
        <v>44</v>
      </c>
      <c r="R57">
        <v>13458</v>
      </c>
      <c r="S57">
        <v>15146</v>
      </c>
      <c r="T57">
        <v>1</v>
      </c>
      <c r="U57" t="s">
        <v>38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  <c r="AG57" t="s">
        <v>67</v>
      </c>
      <c r="AH57" t="s">
        <v>46</v>
      </c>
      <c r="AI57">
        <v>0</v>
      </c>
      <c r="AJ57" t="s">
        <v>80</v>
      </c>
      <c r="AK57" t="s">
        <v>48</v>
      </c>
      <c r="AL57" t="s">
        <v>49</v>
      </c>
      <c r="AM57" t="s">
        <v>61</v>
      </c>
      <c r="AN57">
        <f t="shared" si="0"/>
        <v>5</v>
      </c>
    </row>
    <row r="58" spans="1:40">
      <c r="A58">
        <v>35</v>
      </c>
      <c r="B58" t="s">
        <v>51</v>
      </c>
      <c r="C58" t="s">
        <v>52</v>
      </c>
      <c r="D58">
        <v>853</v>
      </c>
      <c r="E58" t="s">
        <v>40</v>
      </c>
      <c r="F58">
        <v>18</v>
      </c>
      <c r="G58">
        <v>5</v>
      </c>
      <c r="H58" t="s">
        <v>41</v>
      </c>
      <c r="I58">
        <v>74</v>
      </c>
      <c r="J58">
        <v>2</v>
      </c>
      <c r="K58" t="s">
        <v>54</v>
      </c>
      <c r="L58">
        <v>71</v>
      </c>
      <c r="M58">
        <v>3</v>
      </c>
      <c r="N58">
        <v>3</v>
      </c>
      <c r="O58" t="s">
        <v>43</v>
      </c>
      <c r="P58">
        <v>1</v>
      </c>
      <c r="Q58" t="s">
        <v>56</v>
      </c>
      <c r="R58">
        <v>9069</v>
      </c>
      <c r="S58">
        <v>11031</v>
      </c>
      <c r="T58">
        <v>1</v>
      </c>
      <c r="U58" t="s">
        <v>51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  <c r="AG58" t="s">
        <v>67</v>
      </c>
      <c r="AH58" t="s">
        <v>46</v>
      </c>
      <c r="AI58">
        <v>0</v>
      </c>
      <c r="AJ58" t="s">
        <v>47</v>
      </c>
      <c r="AK58" t="s">
        <v>87</v>
      </c>
      <c r="AL58" t="s">
        <v>73</v>
      </c>
      <c r="AM58" t="s">
        <v>70</v>
      </c>
      <c r="AN58">
        <f t="shared" si="0"/>
        <v>9</v>
      </c>
    </row>
    <row r="59" spans="1:40">
      <c r="A59">
        <v>35</v>
      </c>
      <c r="B59" t="s">
        <v>51</v>
      </c>
      <c r="C59" t="s">
        <v>39</v>
      </c>
      <c r="D59">
        <v>1142</v>
      </c>
      <c r="E59" t="s">
        <v>53</v>
      </c>
      <c r="F59">
        <v>23</v>
      </c>
      <c r="G59">
        <v>4</v>
      </c>
      <c r="H59" t="s">
        <v>69</v>
      </c>
      <c r="I59">
        <v>75</v>
      </c>
      <c r="J59">
        <v>3</v>
      </c>
      <c r="K59" t="s">
        <v>42</v>
      </c>
      <c r="L59">
        <v>30</v>
      </c>
      <c r="M59">
        <v>3</v>
      </c>
      <c r="N59">
        <v>1</v>
      </c>
      <c r="O59" t="s">
        <v>63</v>
      </c>
      <c r="P59">
        <v>1</v>
      </c>
      <c r="Q59" t="s">
        <v>56</v>
      </c>
      <c r="R59">
        <v>4014</v>
      </c>
      <c r="S59">
        <v>16002</v>
      </c>
      <c r="T59">
        <v>3</v>
      </c>
      <c r="U59" t="s">
        <v>38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  <c r="AG59" t="s">
        <v>67</v>
      </c>
      <c r="AH59" t="s">
        <v>46</v>
      </c>
      <c r="AI59">
        <v>0</v>
      </c>
      <c r="AJ59" t="s">
        <v>65</v>
      </c>
      <c r="AK59" t="s">
        <v>68</v>
      </c>
      <c r="AL59" t="s">
        <v>73</v>
      </c>
      <c r="AM59" t="s">
        <v>61</v>
      </c>
      <c r="AN59">
        <f t="shared" si="0"/>
        <v>8</v>
      </c>
    </row>
    <row r="60" spans="1:40">
      <c r="A60">
        <v>31</v>
      </c>
      <c r="B60" t="s">
        <v>51</v>
      </c>
      <c r="C60" t="s">
        <v>39</v>
      </c>
      <c r="D60">
        <v>655</v>
      </c>
      <c r="E60" t="s">
        <v>53</v>
      </c>
      <c r="F60">
        <v>7</v>
      </c>
      <c r="G60">
        <v>4</v>
      </c>
      <c r="H60" t="s">
        <v>41</v>
      </c>
      <c r="I60">
        <v>76</v>
      </c>
      <c r="J60">
        <v>4</v>
      </c>
      <c r="K60" t="s">
        <v>54</v>
      </c>
      <c r="L60">
        <v>48</v>
      </c>
      <c r="M60">
        <v>3</v>
      </c>
      <c r="N60">
        <v>2</v>
      </c>
      <c r="O60" t="s">
        <v>63</v>
      </c>
      <c r="P60">
        <v>4</v>
      </c>
      <c r="Q60" t="s">
        <v>74</v>
      </c>
      <c r="R60">
        <v>5915</v>
      </c>
      <c r="S60">
        <v>9528</v>
      </c>
      <c r="T60">
        <v>3</v>
      </c>
      <c r="U60" t="s">
        <v>51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  <c r="AG60" t="s">
        <v>67</v>
      </c>
      <c r="AH60" t="s">
        <v>71</v>
      </c>
      <c r="AI60">
        <v>0</v>
      </c>
      <c r="AJ60" t="s">
        <v>47</v>
      </c>
      <c r="AK60" t="s">
        <v>68</v>
      </c>
      <c r="AL60" t="s">
        <v>49</v>
      </c>
      <c r="AM60" t="s">
        <v>70</v>
      </c>
      <c r="AN60">
        <f t="shared" si="0"/>
        <v>0</v>
      </c>
    </row>
    <row r="61" spans="1:40">
      <c r="A61">
        <v>37</v>
      </c>
      <c r="B61" t="s">
        <v>51</v>
      </c>
      <c r="C61" t="s">
        <v>39</v>
      </c>
      <c r="D61">
        <v>1115</v>
      </c>
      <c r="E61" t="s">
        <v>53</v>
      </c>
      <c r="F61">
        <v>1</v>
      </c>
      <c r="G61">
        <v>4</v>
      </c>
      <c r="H61" t="s">
        <v>41</v>
      </c>
      <c r="I61">
        <v>77</v>
      </c>
      <c r="J61">
        <v>1</v>
      </c>
      <c r="K61" t="s">
        <v>54</v>
      </c>
      <c r="L61">
        <v>51</v>
      </c>
      <c r="M61">
        <v>2</v>
      </c>
      <c r="N61">
        <v>2</v>
      </c>
      <c r="O61" t="s">
        <v>75</v>
      </c>
      <c r="P61">
        <v>3</v>
      </c>
      <c r="Q61" t="s">
        <v>74</v>
      </c>
      <c r="R61">
        <v>5993</v>
      </c>
      <c r="S61">
        <v>2689</v>
      </c>
      <c r="T61">
        <v>1</v>
      </c>
      <c r="U61" t="s">
        <v>51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  <c r="AG61" t="s">
        <v>45</v>
      </c>
      <c r="AH61" t="s">
        <v>64</v>
      </c>
      <c r="AI61">
        <v>0</v>
      </c>
      <c r="AJ61" t="s">
        <v>58</v>
      </c>
      <c r="AK61" t="s">
        <v>68</v>
      </c>
      <c r="AL61" t="s">
        <v>66</v>
      </c>
      <c r="AM61" t="s">
        <v>85</v>
      </c>
      <c r="AN61">
        <f t="shared" si="0"/>
        <v>-2</v>
      </c>
    </row>
    <row r="62" spans="1:40">
      <c r="A62">
        <v>32</v>
      </c>
      <c r="B62" t="s">
        <v>51</v>
      </c>
      <c r="C62" t="s">
        <v>39</v>
      </c>
      <c r="D62">
        <v>427</v>
      </c>
      <c r="E62" t="s">
        <v>53</v>
      </c>
      <c r="F62">
        <v>1</v>
      </c>
      <c r="G62">
        <v>3</v>
      </c>
      <c r="H62" t="s">
        <v>69</v>
      </c>
      <c r="I62">
        <v>78</v>
      </c>
      <c r="J62">
        <v>1</v>
      </c>
      <c r="K62" t="s">
        <v>54</v>
      </c>
      <c r="L62">
        <v>33</v>
      </c>
      <c r="M62">
        <v>3</v>
      </c>
      <c r="N62">
        <v>2</v>
      </c>
      <c r="O62" t="s">
        <v>75</v>
      </c>
      <c r="P62">
        <v>4</v>
      </c>
      <c r="Q62" t="s">
        <v>56</v>
      </c>
      <c r="R62">
        <v>6162</v>
      </c>
      <c r="S62">
        <v>10877</v>
      </c>
      <c r="T62">
        <v>1</v>
      </c>
      <c r="U62" t="s">
        <v>38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  <c r="AG62" t="s">
        <v>67</v>
      </c>
      <c r="AH62" t="s">
        <v>46</v>
      </c>
      <c r="AI62">
        <v>0</v>
      </c>
      <c r="AJ62" t="s">
        <v>58</v>
      </c>
      <c r="AK62" t="s">
        <v>72</v>
      </c>
      <c r="AL62" t="s">
        <v>49</v>
      </c>
      <c r="AM62" t="s">
        <v>61</v>
      </c>
      <c r="AN62">
        <f t="shared" si="0"/>
        <v>4</v>
      </c>
    </row>
    <row r="63" spans="1:40">
      <c r="A63">
        <v>38</v>
      </c>
      <c r="B63" t="s">
        <v>51</v>
      </c>
      <c r="C63" t="s">
        <v>52</v>
      </c>
      <c r="D63">
        <v>653</v>
      </c>
      <c r="E63" t="s">
        <v>53</v>
      </c>
      <c r="F63">
        <v>29</v>
      </c>
      <c r="G63">
        <v>5</v>
      </c>
      <c r="H63" t="s">
        <v>41</v>
      </c>
      <c r="I63">
        <v>79</v>
      </c>
      <c r="J63">
        <v>4</v>
      </c>
      <c r="K63" t="s">
        <v>42</v>
      </c>
      <c r="L63">
        <v>50</v>
      </c>
      <c r="M63">
        <v>3</v>
      </c>
      <c r="N63">
        <v>2</v>
      </c>
      <c r="O63" t="s">
        <v>63</v>
      </c>
      <c r="P63">
        <v>4</v>
      </c>
      <c r="Q63" t="s">
        <v>44</v>
      </c>
      <c r="R63">
        <v>2406</v>
      </c>
      <c r="S63">
        <v>5456</v>
      </c>
      <c r="T63">
        <v>1</v>
      </c>
      <c r="U63" t="s">
        <v>51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  <c r="AG63" t="s">
        <v>45</v>
      </c>
      <c r="AH63" t="s">
        <v>81</v>
      </c>
      <c r="AI63">
        <v>0</v>
      </c>
      <c r="AJ63" t="s">
        <v>58</v>
      </c>
      <c r="AK63" t="s">
        <v>87</v>
      </c>
      <c r="AL63" t="s">
        <v>49</v>
      </c>
      <c r="AM63" t="s">
        <v>61</v>
      </c>
      <c r="AN63">
        <f t="shared" si="0"/>
        <v>6</v>
      </c>
    </row>
    <row r="64" spans="1:40">
      <c r="A64">
        <v>50</v>
      </c>
      <c r="B64" t="s">
        <v>51</v>
      </c>
      <c r="C64" t="s">
        <v>39</v>
      </c>
      <c r="D64">
        <v>989</v>
      </c>
      <c r="E64" t="s">
        <v>53</v>
      </c>
      <c r="F64">
        <v>7</v>
      </c>
      <c r="G64">
        <v>2</v>
      </c>
      <c r="H64" t="s">
        <v>69</v>
      </c>
      <c r="I64">
        <v>80</v>
      </c>
      <c r="J64">
        <v>2</v>
      </c>
      <c r="K64" t="s">
        <v>42</v>
      </c>
      <c r="L64">
        <v>43</v>
      </c>
      <c r="M64">
        <v>2</v>
      </c>
      <c r="N64">
        <v>5</v>
      </c>
      <c r="O64" t="s">
        <v>83</v>
      </c>
      <c r="P64">
        <v>3</v>
      </c>
      <c r="Q64" t="s">
        <v>74</v>
      </c>
      <c r="R64">
        <v>18740</v>
      </c>
      <c r="S64">
        <v>16701</v>
      </c>
      <c r="T64">
        <v>5</v>
      </c>
      <c r="U64" t="s">
        <v>38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  <c r="AG64" t="s">
        <v>57</v>
      </c>
      <c r="AH64" t="s">
        <v>46</v>
      </c>
      <c r="AI64">
        <v>0</v>
      </c>
      <c r="AJ64" t="s">
        <v>47</v>
      </c>
      <c r="AK64" t="s">
        <v>48</v>
      </c>
      <c r="AL64" t="s">
        <v>66</v>
      </c>
      <c r="AM64" t="s">
        <v>70</v>
      </c>
      <c r="AN64">
        <f t="shared" si="0"/>
        <v>15</v>
      </c>
    </row>
    <row r="65" spans="1:40">
      <c r="A65">
        <v>59</v>
      </c>
      <c r="B65" t="s">
        <v>51</v>
      </c>
      <c r="C65" t="s">
        <v>39</v>
      </c>
      <c r="D65">
        <v>1435</v>
      </c>
      <c r="E65" t="s">
        <v>40</v>
      </c>
      <c r="F65">
        <v>25</v>
      </c>
      <c r="G65">
        <v>3</v>
      </c>
      <c r="H65" t="s">
        <v>41</v>
      </c>
      <c r="I65">
        <v>81</v>
      </c>
      <c r="J65">
        <v>1</v>
      </c>
      <c r="K65" t="s">
        <v>42</v>
      </c>
      <c r="L65">
        <v>99</v>
      </c>
      <c r="M65">
        <v>3</v>
      </c>
      <c r="N65">
        <v>3</v>
      </c>
      <c r="O65" t="s">
        <v>43</v>
      </c>
      <c r="P65">
        <v>1</v>
      </c>
      <c r="Q65" t="s">
        <v>44</v>
      </c>
      <c r="R65">
        <v>7637</v>
      </c>
      <c r="S65">
        <v>2354</v>
      </c>
      <c r="T65">
        <v>7</v>
      </c>
      <c r="U65" t="s">
        <v>51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  <c r="AG65" t="s">
        <v>57</v>
      </c>
      <c r="AH65" t="s">
        <v>64</v>
      </c>
      <c r="AI65">
        <v>0</v>
      </c>
      <c r="AJ65" t="s">
        <v>47</v>
      </c>
      <c r="AK65" t="s">
        <v>72</v>
      </c>
      <c r="AL65" t="s">
        <v>73</v>
      </c>
      <c r="AM65" t="s">
        <v>70</v>
      </c>
      <c r="AN65">
        <f t="shared" si="0"/>
        <v>15</v>
      </c>
    </row>
    <row r="66" spans="1:40">
      <c r="A66">
        <v>36</v>
      </c>
      <c r="B66" t="s">
        <v>51</v>
      </c>
      <c r="C66" t="s">
        <v>39</v>
      </c>
      <c r="D66">
        <v>1223</v>
      </c>
      <c r="E66" t="s">
        <v>53</v>
      </c>
      <c r="F66">
        <v>8</v>
      </c>
      <c r="G66">
        <v>3</v>
      </c>
      <c r="H66" t="s">
        <v>86</v>
      </c>
      <c r="I66">
        <v>83</v>
      </c>
      <c r="J66">
        <v>3</v>
      </c>
      <c r="K66" t="s">
        <v>42</v>
      </c>
      <c r="L66">
        <v>59</v>
      </c>
      <c r="M66">
        <v>3</v>
      </c>
      <c r="N66">
        <v>3</v>
      </c>
      <c r="O66" t="s">
        <v>76</v>
      </c>
      <c r="P66">
        <v>3</v>
      </c>
      <c r="Q66" t="s">
        <v>74</v>
      </c>
      <c r="R66">
        <v>10096</v>
      </c>
      <c r="S66">
        <v>8202</v>
      </c>
      <c r="T66">
        <v>1</v>
      </c>
      <c r="U66" t="s">
        <v>51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  <c r="AG66" t="s">
        <v>45</v>
      </c>
      <c r="AH66" t="s">
        <v>71</v>
      </c>
      <c r="AI66">
        <v>0</v>
      </c>
      <c r="AJ66" t="s">
        <v>80</v>
      </c>
      <c r="AK66" t="s">
        <v>72</v>
      </c>
      <c r="AL66" t="s">
        <v>66</v>
      </c>
      <c r="AM66" t="s">
        <v>61</v>
      </c>
      <c r="AN66">
        <f t="shared" si="0"/>
        <v>12</v>
      </c>
    </row>
    <row r="67" spans="1:40">
      <c r="A67">
        <v>55</v>
      </c>
      <c r="B67" t="s">
        <v>51</v>
      </c>
      <c r="C67" t="s">
        <v>39</v>
      </c>
      <c r="D67">
        <v>836</v>
      </c>
      <c r="E67" t="s">
        <v>53</v>
      </c>
      <c r="F67">
        <v>8</v>
      </c>
      <c r="G67">
        <v>3</v>
      </c>
      <c r="H67" t="s">
        <v>69</v>
      </c>
      <c r="I67">
        <v>84</v>
      </c>
      <c r="J67">
        <v>4</v>
      </c>
      <c r="K67" t="s">
        <v>42</v>
      </c>
      <c r="L67">
        <v>33</v>
      </c>
      <c r="M67">
        <v>3</v>
      </c>
      <c r="N67">
        <v>4</v>
      </c>
      <c r="O67" t="s">
        <v>79</v>
      </c>
      <c r="P67">
        <v>3</v>
      </c>
      <c r="Q67" t="s">
        <v>74</v>
      </c>
      <c r="R67">
        <v>14756</v>
      </c>
      <c r="S67">
        <v>19730</v>
      </c>
      <c r="T67">
        <v>2</v>
      </c>
      <c r="U67" t="s">
        <v>38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  <c r="AG67" t="s">
        <v>57</v>
      </c>
      <c r="AH67" t="s">
        <v>46</v>
      </c>
      <c r="AI67">
        <v>0</v>
      </c>
      <c r="AJ67" t="s">
        <v>65</v>
      </c>
      <c r="AK67" t="s">
        <v>72</v>
      </c>
      <c r="AL67" t="s">
        <v>66</v>
      </c>
      <c r="AM67" t="s">
        <v>61</v>
      </c>
      <c r="AN67">
        <f t="shared" ref="AN67:AN130" si="1">((3-P67)*3+((3-AB67)*2+AE67))</f>
        <v>0</v>
      </c>
    </row>
    <row r="68" spans="1:40">
      <c r="A68">
        <v>36</v>
      </c>
      <c r="B68" t="s">
        <v>51</v>
      </c>
      <c r="C68" t="s">
        <v>52</v>
      </c>
      <c r="D68">
        <v>1195</v>
      </c>
      <c r="E68" t="s">
        <v>53</v>
      </c>
      <c r="F68">
        <v>11</v>
      </c>
      <c r="G68">
        <v>3</v>
      </c>
      <c r="H68" t="s">
        <v>41</v>
      </c>
      <c r="I68">
        <v>85</v>
      </c>
      <c r="J68">
        <v>2</v>
      </c>
      <c r="K68" t="s">
        <v>54</v>
      </c>
      <c r="L68">
        <v>95</v>
      </c>
      <c r="M68">
        <v>2</v>
      </c>
      <c r="N68">
        <v>2</v>
      </c>
      <c r="O68" t="s">
        <v>75</v>
      </c>
      <c r="P68">
        <v>2</v>
      </c>
      <c r="Q68" t="s">
        <v>44</v>
      </c>
      <c r="R68">
        <v>6499</v>
      </c>
      <c r="S68">
        <v>22656</v>
      </c>
      <c r="T68">
        <v>1</v>
      </c>
      <c r="U68" t="s">
        <v>51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  <c r="AG68" t="s">
        <v>45</v>
      </c>
      <c r="AH68" t="s">
        <v>46</v>
      </c>
      <c r="AI68">
        <v>0</v>
      </c>
      <c r="AJ68" t="s">
        <v>58</v>
      </c>
      <c r="AK68" t="s">
        <v>72</v>
      </c>
      <c r="AL68" t="s">
        <v>60</v>
      </c>
      <c r="AM68" t="s">
        <v>61</v>
      </c>
      <c r="AN68">
        <f t="shared" si="1"/>
        <v>3</v>
      </c>
    </row>
    <row r="69" spans="1:40">
      <c r="A69">
        <v>45</v>
      </c>
      <c r="B69" t="s">
        <v>51</v>
      </c>
      <c r="C69" t="s">
        <v>39</v>
      </c>
      <c r="D69">
        <v>1339</v>
      </c>
      <c r="E69" t="s">
        <v>53</v>
      </c>
      <c r="F69">
        <v>7</v>
      </c>
      <c r="G69">
        <v>3</v>
      </c>
      <c r="H69" t="s">
        <v>41</v>
      </c>
      <c r="I69">
        <v>86</v>
      </c>
      <c r="J69">
        <v>2</v>
      </c>
      <c r="K69" t="s">
        <v>54</v>
      </c>
      <c r="L69">
        <v>59</v>
      </c>
      <c r="M69">
        <v>3</v>
      </c>
      <c r="N69">
        <v>3</v>
      </c>
      <c r="O69" t="s">
        <v>55</v>
      </c>
      <c r="P69">
        <v>1</v>
      </c>
      <c r="Q69" t="s">
        <v>74</v>
      </c>
      <c r="R69">
        <v>9724</v>
      </c>
      <c r="S69">
        <v>18787</v>
      </c>
      <c r="T69">
        <v>2</v>
      </c>
      <c r="U69" t="s">
        <v>51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  <c r="AG69" t="s">
        <v>45</v>
      </c>
      <c r="AH69" t="s">
        <v>46</v>
      </c>
      <c r="AI69">
        <v>0</v>
      </c>
      <c r="AJ69" t="s">
        <v>65</v>
      </c>
      <c r="AK69" t="s">
        <v>72</v>
      </c>
      <c r="AL69" t="s">
        <v>73</v>
      </c>
      <c r="AM69" t="s">
        <v>61</v>
      </c>
      <c r="AN69">
        <f t="shared" si="1"/>
        <v>6</v>
      </c>
    </row>
    <row r="70" spans="1:40">
      <c r="A70">
        <v>35</v>
      </c>
      <c r="B70" t="s">
        <v>51</v>
      </c>
      <c r="C70" t="s">
        <v>52</v>
      </c>
      <c r="D70">
        <v>664</v>
      </c>
      <c r="E70" t="s">
        <v>53</v>
      </c>
      <c r="F70">
        <v>1</v>
      </c>
      <c r="G70">
        <v>3</v>
      </c>
      <c r="H70" t="s">
        <v>69</v>
      </c>
      <c r="I70">
        <v>88</v>
      </c>
      <c r="J70">
        <v>2</v>
      </c>
      <c r="K70" t="s">
        <v>54</v>
      </c>
      <c r="L70">
        <v>79</v>
      </c>
      <c r="M70">
        <v>3</v>
      </c>
      <c r="N70">
        <v>1</v>
      </c>
      <c r="O70" t="s">
        <v>55</v>
      </c>
      <c r="P70">
        <v>1</v>
      </c>
      <c r="Q70" t="s">
        <v>56</v>
      </c>
      <c r="R70">
        <v>2194</v>
      </c>
      <c r="S70">
        <v>5868</v>
      </c>
      <c r="T70">
        <v>4</v>
      </c>
      <c r="U70" t="s">
        <v>51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  <c r="AG70" t="s">
        <v>67</v>
      </c>
      <c r="AH70" t="s">
        <v>81</v>
      </c>
      <c r="AI70">
        <v>0</v>
      </c>
      <c r="AJ70" t="s">
        <v>47</v>
      </c>
      <c r="AK70" t="s">
        <v>72</v>
      </c>
      <c r="AL70" t="s">
        <v>73</v>
      </c>
      <c r="AM70" t="s">
        <v>70</v>
      </c>
      <c r="AN70">
        <f t="shared" si="1"/>
        <v>9</v>
      </c>
    </row>
    <row r="71" spans="1:40">
      <c r="A71">
        <v>36</v>
      </c>
      <c r="B71" t="s">
        <v>38</v>
      </c>
      <c r="C71" t="s">
        <v>39</v>
      </c>
      <c r="D71">
        <v>318</v>
      </c>
      <c r="E71" t="s">
        <v>53</v>
      </c>
      <c r="F71">
        <v>9</v>
      </c>
      <c r="G71">
        <v>3</v>
      </c>
      <c r="H71" t="s">
        <v>69</v>
      </c>
      <c r="I71">
        <v>90</v>
      </c>
      <c r="J71">
        <v>4</v>
      </c>
      <c r="K71" t="s">
        <v>54</v>
      </c>
      <c r="L71">
        <v>79</v>
      </c>
      <c r="M71">
        <v>2</v>
      </c>
      <c r="N71">
        <v>1</v>
      </c>
      <c r="O71" t="s">
        <v>55</v>
      </c>
      <c r="P71">
        <v>3</v>
      </c>
      <c r="Q71" t="s">
        <v>56</v>
      </c>
      <c r="R71">
        <v>3388</v>
      </c>
      <c r="S71">
        <v>21777</v>
      </c>
      <c r="T71">
        <v>0</v>
      </c>
      <c r="U71" t="s">
        <v>38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  <c r="AG71" t="s">
        <v>45</v>
      </c>
      <c r="AH71" t="s">
        <v>46</v>
      </c>
      <c r="AI71">
        <v>1</v>
      </c>
      <c r="AJ71" t="s">
        <v>47</v>
      </c>
      <c r="AK71" t="s">
        <v>72</v>
      </c>
      <c r="AL71" t="s">
        <v>66</v>
      </c>
      <c r="AM71" t="s">
        <v>70</v>
      </c>
      <c r="AN71">
        <f t="shared" si="1"/>
        <v>2</v>
      </c>
    </row>
    <row r="72" spans="1:40">
      <c r="A72">
        <v>59</v>
      </c>
      <c r="B72" t="s">
        <v>51</v>
      </c>
      <c r="C72" t="s">
        <v>52</v>
      </c>
      <c r="D72">
        <v>1225</v>
      </c>
      <c r="E72" t="s">
        <v>40</v>
      </c>
      <c r="F72">
        <v>1</v>
      </c>
      <c r="G72">
        <v>1</v>
      </c>
      <c r="H72" t="s">
        <v>41</v>
      </c>
      <c r="I72">
        <v>91</v>
      </c>
      <c r="J72">
        <v>1</v>
      </c>
      <c r="K72" t="s">
        <v>42</v>
      </c>
      <c r="L72">
        <v>57</v>
      </c>
      <c r="M72">
        <v>2</v>
      </c>
      <c r="N72">
        <v>2</v>
      </c>
      <c r="O72" t="s">
        <v>43</v>
      </c>
      <c r="P72">
        <v>3</v>
      </c>
      <c r="Q72" t="s">
        <v>44</v>
      </c>
      <c r="R72">
        <v>5473</v>
      </c>
      <c r="S72">
        <v>24668</v>
      </c>
      <c r="T72">
        <v>7</v>
      </c>
      <c r="U72" t="s">
        <v>51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  <c r="AG72" t="s">
        <v>57</v>
      </c>
      <c r="AH72" t="s">
        <v>46</v>
      </c>
      <c r="AI72">
        <v>0</v>
      </c>
      <c r="AJ72" t="s">
        <v>47</v>
      </c>
      <c r="AK72" t="s">
        <v>59</v>
      </c>
      <c r="AL72" t="s">
        <v>66</v>
      </c>
      <c r="AM72" t="s">
        <v>70</v>
      </c>
      <c r="AN72">
        <f t="shared" si="1"/>
        <v>3</v>
      </c>
    </row>
    <row r="73" spans="1:40">
      <c r="A73">
        <v>29</v>
      </c>
      <c r="B73" t="s">
        <v>51</v>
      </c>
      <c r="C73" t="s">
        <v>39</v>
      </c>
      <c r="D73">
        <v>1328</v>
      </c>
      <c r="E73" t="s">
        <v>53</v>
      </c>
      <c r="F73">
        <v>2</v>
      </c>
      <c r="G73">
        <v>3</v>
      </c>
      <c r="H73" t="s">
        <v>41</v>
      </c>
      <c r="I73">
        <v>94</v>
      </c>
      <c r="J73">
        <v>3</v>
      </c>
      <c r="K73" t="s">
        <v>54</v>
      </c>
      <c r="L73">
        <v>76</v>
      </c>
      <c r="M73">
        <v>3</v>
      </c>
      <c r="N73">
        <v>1</v>
      </c>
      <c r="O73" t="s">
        <v>55</v>
      </c>
      <c r="P73">
        <v>2</v>
      </c>
      <c r="Q73" t="s">
        <v>56</v>
      </c>
      <c r="R73">
        <v>2703</v>
      </c>
      <c r="S73">
        <v>4956</v>
      </c>
      <c r="T73">
        <v>0</v>
      </c>
      <c r="U73" t="s">
        <v>51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  <c r="AG73" t="s">
        <v>67</v>
      </c>
      <c r="AH73" t="s">
        <v>81</v>
      </c>
      <c r="AI73">
        <v>0</v>
      </c>
      <c r="AJ73" t="s">
        <v>65</v>
      </c>
      <c r="AK73" t="s">
        <v>72</v>
      </c>
      <c r="AL73" t="s">
        <v>60</v>
      </c>
      <c r="AM73" t="s">
        <v>61</v>
      </c>
      <c r="AN73">
        <f t="shared" si="1"/>
        <v>3</v>
      </c>
    </row>
    <row r="74" spans="1:40">
      <c r="A74">
        <v>31</v>
      </c>
      <c r="B74" t="s">
        <v>51</v>
      </c>
      <c r="C74" t="s">
        <v>39</v>
      </c>
      <c r="D74">
        <v>1082</v>
      </c>
      <c r="E74" t="s">
        <v>53</v>
      </c>
      <c r="F74">
        <v>1</v>
      </c>
      <c r="G74">
        <v>4</v>
      </c>
      <c r="H74" t="s">
        <v>69</v>
      </c>
      <c r="I74">
        <v>95</v>
      </c>
      <c r="J74">
        <v>3</v>
      </c>
      <c r="K74" t="s">
        <v>54</v>
      </c>
      <c r="L74">
        <v>87</v>
      </c>
      <c r="M74">
        <v>3</v>
      </c>
      <c r="N74">
        <v>1</v>
      </c>
      <c r="O74" t="s">
        <v>55</v>
      </c>
      <c r="P74">
        <v>2</v>
      </c>
      <c r="Q74" t="s">
        <v>44</v>
      </c>
      <c r="R74">
        <v>2501</v>
      </c>
      <c r="S74">
        <v>18775</v>
      </c>
      <c r="T74">
        <v>1</v>
      </c>
      <c r="U74" t="s">
        <v>51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  <c r="AG74" t="s">
        <v>67</v>
      </c>
      <c r="AH74" t="s">
        <v>46</v>
      </c>
      <c r="AI74">
        <v>0</v>
      </c>
      <c r="AJ74" t="s">
        <v>65</v>
      </c>
      <c r="AK74" t="s">
        <v>68</v>
      </c>
      <c r="AL74" t="s">
        <v>60</v>
      </c>
      <c r="AM74" t="s">
        <v>61</v>
      </c>
      <c r="AN74">
        <f t="shared" si="1"/>
        <v>4</v>
      </c>
    </row>
    <row r="75" spans="1:40">
      <c r="A75">
        <v>32</v>
      </c>
      <c r="B75" t="s">
        <v>51</v>
      </c>
      <c r="C75" t="s">
        <v>39</v>
      </c>
      <c r="D75">
        <v>548</v>
      </c>
      <c r="E75" t="s">
        <v>53</v>
      </c>
      <c r="F75">
        <v>1</v>
      </c>
      <c r="G75">
        <v>3</v>
      </c>
      <c r="H75" t="s">
        <v>41</v>
      </c>
      <c r="I75">
        <v>96</v>
      </c>
      <c r="J75">
        <v>2</v>
      </c>
      <c r="K75" t="s">
        <v>54</v>
      </c>
      <c r="L75">
        <v>66</v>
      </c>
      <c r="M75">
        <v>3</v>
      </c>
      <c r="N75">
        <v>2</v>
      </c>
      <c r="O75" t="s">
        <v>55</v>
      </c>
      <c r="P75">
        <v>2</v>
      </c>
      <c r="Q75" t="s">
        <v>56</v>
      </c>
      <c r="R75">
        <v>6220</v>
      </c>
      <c r="S75">
        <v>7346</v>
      </c>
      <c r="T75">
        <v>1</v>
      </c>
      <c r="U75" t="s">
        <v>51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  <c r="AG75" t="s">
        <v>67</v>
      </c>
      <c r="AH75" t="s">
        <v>71</v>
      </c>
      <c r="AI75">
        <v>0</v>
      </c>
      <c r="AJ75" t="s">
        <v>58</v>
      </c>
      <c r="AK75" t="s">
        <v>72</v>
      </c>
      <c r="AL75" t="s">
        <v>60</v>
      </c>
      <c r="AM75" t="s">
        <v>61</v>
      </c>
      <c r="AN75">
        <f t="shared" si="1"/>
        <v>3</v>
      </c>
    </row>
    <row r="76" spans="1:40">
      <c r="A76">
        <v>36</v>
      </c>
      <c r="B76" t="s">
        <v>51</v>
      </c>
      <c r="C76" t="s">
        <v>39</v>
      </c>
      <c r="D76">
        <v>132</v>
      </c>
      <c r="E76" t="s">
        <v>53</v>
      </c>
      <c r="F76">
        <v>6</v>
      </c>
      <c r="G76">
        <v>3</v>
      </c>
      <c r="H76" t="s">
        <v>41</v>
      </c>
      <c r="I76">
        <v>97</v>
      </c>
      <c r="J76">
        <v>2</v>
      </c>
      <c r="K76" t="s">
        <v>42</v>
      </c>
      <c r="L76">
        <v>55</v>
      </c>
      <c r="M76">
        <v>4</v>
      </c>
      <c r="N76">
        <v>1</v>
      </c>
      <c r="O76" t="s">
        <v>63</v>
      </c>
      <c r="P76">
        <v>4</v>
      </c>
      <c r="Q76" t="s">
        <v>56</v>
      </c>
      <c r="R76">
        <v>3038</v>
      </c>
      <c r="S76">
        <v>22002</v>
      </c>
      <c r="T76">
        <v>3</v>
      </c>
      <c r="U76" t="s">
        <v>51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  <c r="AG76" t="s">
        <v>45</v>
      </c>
      <c r="AH76" t="s">
        <v>46</v>
      </c>
      <c r="AI76">
        <v>0</v>
      </c>
      <c r="AJ76" t="s">
        <v>65</v>
      </c>
      <c r="AK76" t="s">
        <v>72</v>
      </c>
      <c r="AL76" t="s">
        <v>49</v>
      </c>
      <c r="AM76" t="s">
        <v>61</v>
      </c>
      <c r="AN76">
        <f t="shared" si="1"/>
        <v>-3</v>
      </c>
    </row>
    <row r="77" spans="1:40">
      <c r="A77">
        <v>31</v>
      </c>
      <c r="B77" t="s">
        <v>51</v>
      </c>
      <c r="C77" t="s">
        <v>39</v>
      </c>
      <c r="D77">
        <v>746</v>
      </c>
      <c r="E77" t="s">
        <v>53</v>
      </c>
      <c r="F77">
        <v>8</v>
      </c>
      <c r="G77">
        <v>4</v>
      </c>
      <c r="H77" t="s">
        <v>41</v>
      </c>
      <c r="I77">
        <v>98</v>
      </c>
      <c r="J77">
        <v>3</v>
      </c>
      <c r="K77" t="s">
        <v>42</v>
      </c>
      <c r="L77">
        <v>61</v>
      </c>
      <c r="M77">
        <v>3</v>
      </c>
      <c r="N77">
        <v>2</v>
      </c>
      <c r="O77" t="s">
        <v>75</v>
      </c>
      <c r="P77">
        <v>4</v>
      </c>
      <c r="Q77" t="s">
        <v>44</v>
      </c>
      <c r="R77">
        <v>4424</v>
      </c>
      <c r="S77">
        <v>20682</v>
      </c>
      <c r="T77">
        <v>1</v>
      </c>
      <c r="U77" t="s">
        <v>51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  <c r="AG77" t="s">
        <v>67</v>
      </c>
      <c r="AH77" t="s">
        <v>46</v>
      </c>
      <c r="AI77">
        <v>0</v>
      </c>
      <c r="AJ77" t="s">
        <v>80</v>
      </c>
      <c r="AK77" t="s">
        <v>68</v>
      </c>
      <c r="AL77" t="s">
        <v>49</v>
      </c>
      <c r="AM77" t="s">
        <v>61</v>
      </c>
      <c r="AN77">
        <f t="shared" si="1"/>
        <v>-2</v>
      </c>
    </row>
    <row r="78" spans="1:40">
      <c r="A78">
        <v>35</v>
      </c>
      <c r="B78" t="s">
        <v>51</v>
      </c>
      <c r="C78" t="s">
        <v>39</v>
      </c>
      <c r="D78">
        <v>776</v>
      </c>
      <c r="E78" t="s">
        <v>40</v>
      </c>
      <c r="F78">
        <v>1</v>
      </c>
      <c r="G78">
        <v>4</v>
      </c>
      <c r="H78" t="s">
        <v>84</v>
      </c>
      <c r="I78">
        <v>100</v>
      </c>
      <c r="J78">
        <v>3</v>
      </c>
      <c r="K78" t="s">
        <v>54</v>
      </c>
      <c r="L78">
        <v>32</v>
      </c>
      <c r="M78">
        <v>2</v>
      </c>
      <c r="N78">
        <v>2</v>
      </c>
      <c r="O78" t="s">
        <v>43</v>
      </c>
      <c r="P78">
        <v>1</v>
      </c>
      <c r="Q78" t="s">
        <v>44</v>
      </c>
      <c r="R78">
        <v>4312</v>
      </c>
      <c r="S78">
        <v>23016</v>
      </c>
      <c r="T78">
        <v>0</v>
      </c>
      <c r="U78" t="s">
        <v>51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  <c r="AG78" t="s">
        <v>67</v>
      </c>
      <c r="AH78" t="s">
        <v>46</v>
      </c>
      <c r="AI78">
        <v>0</v>
      </c>
      <c r="AJ78" t="s">
        <v>80</v>
      </c>
      <c r="AK78" t="s">
        <v>68</v>
      </c>
      <c r="AL78" t="s">
        <v>73</v>
      </c>
      <c r="AM78" t="s">
        <v>61</v>
      </c>
      <c r="AN78">
        <f t="shared" si="1"/>
        <v>8</v>
      </c>
    </row>
    <row r="79" spans="1:40">
      <c r="A79">
        <v>45</v>
      </c>
      <c r="B79" t="s">
        <v>51</v>
      </c>
      <c r="C79" t="s">
        <v>39</v>
      </c>
      <c r="D79">
        <v>193</v>
      </c>
      <c r="E79" t="s">
        <v>53</v>
      </c>
      <c r="F79">
        <v>6</v>
      </c>
      <c r="G79">
        <v>4</v>
      </c>
      <c r="H79" t="s">
        <v>62</v>
      </c>
      <c r="I79">
        <v>101</v>
      </c>
      <c r="J79">
        <v>4</v>
      </c>
      <c r="K79" t="s">
        <v>54</v>
      </c>
      <c r="L79">
        <v>52</v>
      </c>
      <c r="M79">
        <v>3</v>
      </c>
      <c r="N79">
        <v>3</v>
      </c>
      <c r="O79" t="s">
        <v>83</v>
      </c>
      <c r="P79">
        <v>1</v>
      </c>
      <c r="Q79" t="s">
        <v>56</v>
      </c>
      <c r="R79">
        <v>13245</v>
      </c>
      <c r="S79">
        <v>15067</v>
      </c>
      <c r="T79">
        <v>4</v>
      </c>
      <c r="U79" t="s">
        <v>38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  <c r="AG79" t="s">
        <v>45</v>
      </c>
      <c r="AH79" t="s">
        <v>46</v>
      </c>
      <c r="AI79">
        <v>0</v>
      </c>
      <c r="AJ79" t="s">
        <v>65</v>
      </c>
      <c r="AK79" t="s">
        <v>68</v>
      </c>
      <c r="AL79" t="s">
        <v>73</v>
      </c>
      <c r="AM79" t="s">
        <v>85</v>
      </c>
      <c r="AN79">
        <f t="shared" si="1"/>
        <v>4</v>
      </c>
    </row>
    <row r="80" spans="1:40">
      <c r="A80">
        <v>37</v>
      </c>
      <c r="B80" t="s">
        <v>51</v>
      </c>
      <c r="C80" t="s">
        <v>39</v>
      </c>
      <c r="D80">
        <v>397</v>
      </c>
      <c r="E80" t="s">
        <v>53</v>
      </c>
      <c r="F80">
        <v>7</v>
      </c>
      <c r="G80">
        <v>4</v>
      </c>
      <c r="H80" t="s">
        <v>69</v>
      </c>
      <c r="I80">
        <v>102</v>
      </c>
      <c r="J80">
        <v>1</v>
      </c>
      <c r="K80" t="s">
        <v>54</v>
      </c>
      <c r="L80">
        <v>30</v>
      </c>
      <c r="M80">
        <v>3</v>
      </c>
      <c r="N80">
        <v>3</v>
      </c>
      <c r="O80" t="s">
        <v>83</v>
      </c>
      <c r="P80">
        <v>3</v>
      </c>
      <c r="Q80" t="s">
        <v>44</v>
      </c>
      <c r="R80">
        <v>13664</v>
      </c>
      <c r="S80">
        <v>25258</v>
      </c>
      <c r="T80">
        <v>4</v>
      </c>
      <c r="U80" t="s">
        <v>51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  <c r="AG80" t="s">
        <v>45</v>
      </c>
      <c r="AH80" t="s">
        <v>46</v>
      </c>
      <c r="AI80">
        <v>0</v>
      </c>
      <c r="AJ80" t="s">
        <v>65</v>
      </c>
      <c r="AK80" t="s">
        <v>68</v>
      </c>
      <c r="AL80" t="s">
        <v>66</v>
      </c>
      <c r="AM80" t="s">
        <v>85</v>
      </c>
      <c r="AN80">
        <f t="shared" si="1"/>
        <v>-2</v>
      </c>
    </row>
    <row r="81" spans="1:40">
      <c r="A81">
        <v>46</v>
      </c>
      <c r="B81" t="s">
        <v>51</v>
      </c>
      <c r="C81" t="s">
        <v>39</v>
      </c>
      <c r="D81">
        <v>945</v>
      </c>
      <c r="E81" t="s">
        <v>88</v>
      </c>
      <c r="F81">
        <v>5</v>
      </c>
      <c r="G81">
        <v>2</v>
      </c>
      <c r="H81" t="s">
        <v>69</v>
      </c>
      <c r="I81">
        <v>103</v>
      </c>
      <c r="J81">
        <v>2</v>
      </c>
      <c r="K81" t="s">
        <v>54</v>
      </c>
      <c r="L81">
        <v>80</v>
      </c>
      <c r="M81">
        <v>3</v>
      </c>
      <c r="N81">
        <v>2</v>
      </c>
      <c r="O81" t="s">
        <v>88</v>
      </c>
      <c r="P81">
        <v>2</v>
      </c>
      <c r="Q81" t="s">
        <v>74</v>
      </c>
      <c r="R81">
        <v>5021</v>
      </c>
      <c r="S81">
        <v>10425</v>
      </c>
      <c r="T81">
        <v>8</v>
      </c>
      <c r="U81" t="s">
        <v>38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  <c r="AG81" t="s">
        <v>57</v>
      </c>
      <c r="AH81" t="s">
        <v>46</v>
      </c>
      <c r="AI81">
        <v>0</v>
      </c>
      <c r="AJ81" t="s">
        <v>65</v>
      </c>
      <c r="AK81" t="s">
        <v>48</v>
      </c>
      <c r="AL81" t="s">
        <v>60</v>
      </c>
      <c r="AM81" t="s">
        <v>61</v>
      </c>
      <c r="AN81">
        <f t="shared" si="1"/>
        <v>3</v>
      </c>
    </row>
    <row r="82" spans="1:40">
      <c r="A82">
        <v>30</v>
      </c>
      <c r="B82" t="s">
        <v>51</v>
      </c>
      <c r="C82" t="s">
        <v>39</v>
      </c>
      <c r="D82">
        <v>852</v>
      </c>
      <c r="E82" t="s">
        <v>53</v>
      </c>
      <c r="F82">
        <v>1</v>
      </c>
      <c r="G82">
        <v>1</v>
      </c>
      <c r="H82" t="s">
        <v>41</v>
      </c>
      <c r="I82">
        <v>104</v>
      </c>
      <c r="J82">
        <v>4</v>
      </c>
      <c r="K82" t="s">
        <v>54</v>
      </c>
      <c r="L82">
        <v>55</v>
      </c>
      <c r="M82">
        <v>2</v>
      </c>
      <c r="N82">
        <v>2</v>
      </c>
      <c r="O82" t="s">
        <v>63</v>
      </c>
      <c r="P82">
        <v>4</v>
      </c>
      <c r="Q82" t="s">
        <v>56</v>
      </c>
      <c r="R82">
        <v>5126</v>
      </c>
      <c r="S82">
        <v>15998</v>
      </c>
      <c r="T82">
        <v>1</v>
      </c>
      <c r="U82" t="s">
        <v>38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  <c r="AG82" t="s">
        <v>67</v>
      </c>
      <c r="AH82" t="s">
        <v>46</v>
      </c>
      <c r="AI82">
        <v>0</v>
      </c>
      <c r="AJ82" t="s">
        <v>47</v>
      </c>
      <c r="AK82" t="s">
        <v>59</v>
      </c>
      <c r="AL82" t="s">
        <v>49</v>
      </c>
      <c r="AM82" t="s">
        <v>70</v>
      </c>
      <c r="AN82">
        <f t="shared" si="1"/>
        <v>2</v>
      </c>
    </row>
    <row r="83" spans="1:40">
      <c r="A83">
        <v>35</v>
      </c>
      <c r="B83" t="s">
        <v>51</v>
      </c>
      <c r="C83" t="s">
        <v>39</v>
      </c>
      <c r="D83">
        <v>1214</v>
      </c>
      <c r="E83" t="s">
        <v>53</v>
      </c>
      <c r="F83">
        <v>1</v>
      </c>
      <c r="G83">
        <v>3</v>
      </c>
      <c r="H83" t="s">
        <v>69</v>
      </c>
      <c r="I83">
        <v>105</v>
      </c>
      <c r="J83">
        <v>2</v>
      </c>
      <c r="K83" t="s">
        <v>54</v>
      </c>
      <c r="L83">
        <v>30</v>
      </c>
      <c r="M83">
        <v>2</v>
      </c>
      <c r="N83">
        <v>1</v>
      </c>
      <c r="O83" t="s">
        <v>55</v>
      </c>
      <c r="P83">
        <v>3</v>
      </c>
      <c r="Q83" t="s">
        <v>44</v>
      </c>
      <c r="R83">
        <v>2859</v>
      </c>
      <c r="S83">
        <v>26278</v>
      </c>
      <c r="T83">
        <v>1</v>
      </c>
      <c r="U83" t="s">
        <v>51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  <c r="AG83" t="s">
        <v>67</v>
      </c>
      <c r="AH83" t="s">
        <v>46</v>
      </c>
      <c r="AI83">
        <v>0</v>
      </c>
      <c r="AJ83" t="s">
        <v>58</v>
      </c>
      <c r="AK83" t="s">
        <v>72</v>
      </c>
      <c r="AL83" t="s">
        <v>66</v>
      </c>
      <c r="AM83" t="s">
        <v>61</v>
      </c>
      <c r="AN83">
        <f t="shared" si="1"/>
        <v>0</v>
      </c>
    </row>
    <row r="84" spans="1:40">
      <c r="A84">
        <v>55</v>
      </c>
      <c r="B84" t="s">
        <v>51</v>
      </c>
      <c r="C84" t="s">
        <v>39</v>
      </c>
      <c r="D84">
        <v>111</v>
      </c>
      <c r="E84" t="s">
        <v>40</v>
      </c>
      <c r="F84">
        <v>1</v>
      </c>
      <c r="G84">
        <v>2</v>
      </c>
      <c r="H84" t="s">
        <v>41</v>
      </c>
      <c r="I84">
        <v>106</v>
      </c>
      <c r="J84">
        <v>1</v>
      </c>
      <c r="K84" t="s">
        <v>54</v>
      </c>
      <c r="L84">
        <v>70</v>
      </c>
      <c r="M84">
        <v>3</v>
      </c>
      <c r="N84">
        <v>3</v>
      </c>
      <c r="O84" t="s">
        <v>43</v>
      </c>
      <c r="P84">
        <v>4</v>
      </c>
      <c r="Q84" t="s">
        <v>56</v>
      </c>
      <c r="R84">
        <v>10239</v>
      </c>
      <c r="S84">
        <v>18092</v>
      </c>
      <c r="T84">
        <v>3</v>
      </c>
      <c r="U84" t="s">
        <v>51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  <c r="AG84" t="s">
        <v>57</v>
      </c>
      <c r="AH84" t="s">
        <v>46</v>
      </c>
      <c r="AI84">
        <v>0</v>
      </c>
      <c r="AJ84" t="s">
        <v>65</v>
      </c>
      <c r="AK84" t="s">
        <v>48</v>
      </c>
      <c r="AL84" t="s">
        <v>49</v>
      </c>
      <c r="AM84" t="s">
        <v>61</v>
      </c>
      <c r="AN84">
        <f t="shared" si="1"/>
        <v>-2</v>
      </c>
    </row>
    <row r="85" spans="1:40">
      <c r="A85">
        <v>38</v>
      </c>
      <c r="B85" t="s">
        <v>51</v>
      </c>
      <c r="C85" t="s">
        <v>77</v>
      </c>
      <c r="D85">
        <v>573</v>
      </c>
      <c r="E85" t="s">
        <v>53</v>
      </c>
      <c r="F85">
        <v>6</v>
      </c>
      <c r="G85">
        <v>3</v>
      </c>
      <c r="H85" t="s">
        <v>69</v>
      </c>
      <c r="I85">
        <v>107</v>
      </c>
      <c r="J85">
        <v>2</v>
      </c>
      <c r="K85" t="s">
        <v>42</v>
      </c>
      <c r="L85">
        <v>79</v>
      </c>
      <c r="M85">
        <v>1</v>
      </c>
      <c r="N85">
        <v>2</v>
      </c>
      <c r="O85" t="s">
        <v>55</v>
      </c>
      <c r="P85">
        <v>4</v>
      </c>
      <c r="Q85" t="s">
        <v>74</v>
      </c>
      <c r="R85">
        <v>5329</v>
      </c>
      <c r="S85">
        <v>15717</v>
      </c>
      <c r="T85">
        <v>7</v>
      </c>
      <c r="U85" t="s">
        <v>38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  <c r="AG85" t="s">
        <v>45</v>
      </c>
      <c r="AH85" t="s">
        <v>46</v>
      </c>
      <c r="AI85">
        <v>0</v>
      </c>
      <c r="AJ85" t="s">
        <v>80</v>
      </c>
      <c r="AK85" t="s">
        <v>72</v>
      </c>
      <c r="AL85" t="s">
        <v>49</v>
      </c>
      <c r="AM85" t="s">
        <v>61</v>
      </c>
      <c r="AN85">
        <f t="shared" si="1"/>
        <v>-2</v>
      </c>
    </row>
    <row r="86" spans="1:40">
      <c r="A86">
        <v>34</v>
      </c>
      <c r="B86" t="s">
        <v>51</v>
      </c>
      <c r="C86" t="s">
        <v>39</v>
      </c>
      <c r="D86">
        <v>1153</v>
      </c>
      <c r="E86" t="s">
        <v>53</v>
      </c>
      <c r="F86">
        <v>1</v>
      </c>
      <c r="G86">
        <v>2</v>
      </c>
      <c r="H86" t="s">
        <v>69</v>
      </c>
      <c r="I86">
        <v>110</v>
      </c>
      <c r="J86">
        <v>1</v>
      </c>
      <c r="K86" t="s">
        <v>54</v>
      </c>
      <c r="L86">
        <v>94</v>
      </c>
      <c r="M86">
        <v>3</v>
      </c>
      <c r="N86">
        <v>2</v>
      </c>
      <c r="O86" t="s">
        <v>75</v>
      </c>
      <c r="P86">
        <v>2</v>
      </c>
      <c r="Q86" t="s">
        <v>56</v>
      </c>
      <c r="R86">
        <v>4325</v>
      </c>
      <c r="S86">
        <v>17736</v>
      </c>
      <c r="T86">
        <v>1</v>
      </c>
      <c r="U86" t="s">
        <v>51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  <c r="AG86" t="s">
        <v>67</v>
      </c>
      <c r="AH86" t="s">
        <v>46</v>
      </c>
      <c r="AI86">
        <v>0</v>
      </c>
      <c r="AJ86" t="s">
        <v>65</v>
      </c>
      <c r="AK86" t="s">
        <v>48</v>
      </c>
      <c r="AL86" t="s">
        <v>60</v>
      </c>
      <c r="AM86" t="s">
        <v>61</v>
      </c>
      <c r="AN86">
        <f t="shared" si="1"/>
        <v>4</v>
      </c>
    </row>
    <row r="87" spans="1:40">
      <c r="A87">
        <v>56</v>
      </c>
      <c r="B87" t="s">
        <v>51</v>
      </c>
      <c r="C87" t="s">
        <v>39</v>
      </c>
      <c r="D87">
        <v>1400</v>
      </c>
      <c r="E87" t="s">
        <v>53</v>
      </c>
      <c r="F87">
        <v>7</v>
      </c>
      <c r="G87">
        <v>3</v>
      </c>
      <c r="H87" t="s">
        <v>41</v>
      </c>
      <c r="I87">
        <v>112</v>
      </c>
      <c r="J87">
        <v>4</v>
      </c>
      <c r="K87" t="s">
        <v>54</v>
      </c>
      <c r="L87">
        <v>49</v>
      </c>
      <c r="M87">
        <v>1</v>
      </c>
      <c r="N87">
        <v>3</v>
      </c>
      <c r="O87" t="s">
        <v>75</v>
      </c>
      <c r="P87">
        <v>4</v>
      </c>
      <c r="Q87" t="s">
        <v>44</v>
      </c>
      <c r="R87">
        <v>7260</v>
      </c>
      <c r="S87">
        <v>21698</v>
      </c>
      <c r="T87">
        <v>4</v>
      </c>
      <c r="U87" t="s">
        <v>51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  <c r="AG87" t="s">
        <v>57</v>
      </c>
      <c r="AH87" t="s">
        <v>46</v>
      </c>
      <c r="AI87">
        <v>0</v>
      </c>
      <c r="AJ87" t="s">
        <v>47</v>
      </c>
      <c r="AK87" t="s">
        <v>72</v>
      </c>
      <c r="AL87" t="s">
        <v>49</v>
      </c>
      <c r="AM87" t="s">
        <v>70</v>
      </c>
      <c r="AN87">
        <f t="shared" si="1"/>
        <v>-1</v>
      </c>
    </row>
    <row r="88" spans="1:40">
      <c r="A88">
        <v>23</v>
      </c>
      <c r="B88" t="s">
        <v>51</v>
      </c>
      <c r="C88" t="s">
        <v>39</v>
      </c>
      <c r="D88">
        <v>541</v>
      </c>
      <c r="E88" t="s">
        <v>40</v>
      </c>
      <c r="F88">
        <v>2</v>
      </c>
      <c r="G88">
        <v>1</v>
      </c>
      <c r="H88" t="s">
        <v>86</v>
      </c>
      <c r="I88">
        <v>113</v>
      </c>
      <c r="J88">
        <v>3</v>
      </c>
      <c r="K88" t="s">
        <v>54</v>
      </c>
      <c r="L88">
        <v>62</v>
      </c>
      <c r="M88">
        <v>3</v>
      </c>
      <c r="N88">
        <v>1</v>
      </c>
      <c r="O88" t="s">
        <v>82</v>
      </c>
      <c r="P88">
        <v>1</v>
      </c>
      <c r="Q88" t="s">
        <v>74</v>
      </c>
      <c r="R88">
        <v>2322</v>
      </c>
      <c r="S88">
        <v>9518</v>
      </c>
      <c r="T88">
        <v>3</v>
      </c>
      <c r="U88" t="s">
        <v>51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  <c r="AG88" t="s">
        <v>78</v>
      </c>
      <c r="AH88" t="s">
        <v>71</v>
      </c>
      <c r="AI88">
        <v>0</v>
      </c>
      <c r="AJ88" t="s">
        <v>65</v>
      </c>
      <c r="AK88" t="s">
        <v>59</v>
      </c>
      <c r="AL88" t="s">
        <v>73</v>
      </c>
      <c r="AM88" t="s">
        <v>61</v>
      </c>
      <c r="AN88">
        <f t="shared" si="1"/>
        <v>6</v>
      </c>
    </row>
    <row r="89" spans="1:40">
      <c r="A89">
        <v>51</v>
      </c>
      <c r="B89" t="s">
        <v>51</v>
      </c>
      <c r="C89" t="s">
        <v>39</v>
      </c>
      <c r="D89">
        <v>432</v>
      </c>
      <c r="E89" t="s">
        <v>53</v>
      </c>
      <c r="F89">
        <v>9</v>
      </c>
      <c r="G89">
        <v>4</v>
      </c>
      <c r="H89" t="s">
        <v>41</v>
      </c>
      <c r="I89">
        <v>116</v>
      </c>
      <c r="J89">
        <v>4</v>
      </c>
      <c r="K89" t="s">
        <v>54</v>
      </c>
      <c r="L89">
        <v>96</v>
      </c>
      <c r="M89">
        <v>3</v>
      </c>
      <c r="N89">
        <v>1</v>
      </c>
      <c r="O89" t="s">
        <v>63</v>
      </c>
      <c r="P89">
        <v>4</v>
      </c>
      <c r="Q89" t="s">
        <v>56</v>
      </c>
      <c r="R89">
        <v>2075</v>
      </c>
      <c r="S89">
        <v>18725</v>
      </c>
      <c r="T89">
        <v>3</v>
      </c>
      <c r="U89" t="s">
        <v>51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  <c r="AG89" t="s">
        <v>57</v>
      </c>
      <c r="AH89" t="s">
        <v>46</v>
      </c>
      <c r="AI89">
        <v>0</v>
      </c>
      <c r="AJ89" t="s">
        <v>65</v>
      </c>
      <c r="AK89" t="s">
        <v>68</v>
      </c>
      <c r="AL89" t="s">
        <v>49</v>
      </c>
      <c r="AM89" t="s">
        <v>61</v>
      </c>
      <c r="AN89">
        <f t="shared" si="1"/>
        <v>-3</v>
      </c>
    </row>
    <row r="90" spans="1:40">
      <c r="A90">
        <v>30</v>
      </c>
      <c r="B90" t="s">
        <v>51</v>
      </c>
      <c r="C90" t="s">
        <v>39</v>
      </c>
      <c r="D90">
        <v>288</v>
      </c>
      <c r="E90" t="s">
        <v>53</v>
      </c>
      <c r="F90">
        <v>2</v>
      </c>
      <c r="G90">
        <v>3</v>
      </c>
      <c r="H90" t="s">
        <v>41</v>
      </c>
      <c r="I90">
        <v>117</v>
      </c>
      <c r="J90">
        <v>3</v>
      </c>
      <c r="K90" t="s">
        <v>54</v>
      </c>
      <c r="L90">
        <v>99</v>
      </c>
      <c r="M90">
        <v>2</v>
      </c>
      <c r="N90">
        <v>2</v>
      </c>
      <c r="O90" t="s">
        <v>76</v>
      </c>
      <c r="P90">
        <v>4</v>
      </c>
      <c r="Q90" t="s">
        <v>56</v>
      </c>
      <c r="R90">
        <v>4152</v>
      </c>
      <c r="S90">
        <v>15830</v>
      </c>
      <c r="T90">
        <v>1</v>
      </c>
      <c r="U90" t="s">
        <v>51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  <c r="AG90" t="s">
        <v>67</v>
      </c>
      <c r="AH90" t="s">
        <v>46</v>
      </c>
      <c r="AI90">
        <v>0</v>
      </c>
      <c r="AJ90" t="s">
        <v>80</v>
      </c>
      <c r="AK90" t="s">
        <v>72</v>
      </c>
      <c r="AL90" t="s">
        <v>49</v>
      </c>
      <c r="AM90" t="s">
        <v>61</v>
      </c>
      <c r="AN90">
        <f t="shared" si="1"/>
        <v>7</v>
      </c>
    </row>
    <row r="91" spans="1:40">
      <c r="A91">
        <v>46</v>
      </c>
      <c r="B91" t="s">
        <v>38</v>
      </c>
      <c r="C91" t="s">
        <v>39</v>
      </c>
      <c r="D91">
        <v>669</v>
      </c>
      <c r="E91" t="s">
        <v>40</v>
      </c>
      <c r="F91">
        <v>9</v>
      </c>
      <c r="G91">
        <v>2</v>
      </c>
      <c r="H91" t="s">
        <v>69</v>
      </c>
      <c r="I91">
        <v>118</v>
      </c>
      <c r="J91">
        <v>3</v>
      </c>
      <c r="K91" t="s">
        <v>54</v>
      </c>
      <c r="L91">
        <v>64</v>
      </c>
      <c r="M91">
        <v>2</v>
      </c>
      <c r="N91">
        <v>3</v>
      </c>
      <c r="O91" t="s">
        <v>43</v>
      </c>
      <c r="P91">
        <v>4</v>
      </c>
      <c r="Q91" t="s">
        <v>44</v>
      </c>
      <c r="R91">
        <v>9619</v>
      </c>
      <c r="S91">
        <v>13596</v>
      </c>
      <c r="T91">
        <v>1</v>
      </c>
      <c r="U91" t="s">
        <v>51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  <c r="AG91" t="s">
        <v>57</v>
      </c>
      <c r="AH91" t="s">
        <v>46</v>
      </c>
      <c r="AI91">
        <v>1</v>
      </c>
      <c r="AJ91" t="s">
        <v>58</v>
      </c>
      <c r="AK91" t="s">
        <v>48</v>
      </c>
      <c r="AL91" t="s">
        <v>49</v>
      </c>
      <c r="AM91" t="s">
        <v>61</v>
      </c>
      <c r="AN91">
        <f t="shared" si="1"/>
        <v>1</v>
      </c>
    </row>
    <row r="92" spans="1:40">
      <c r="A92">
        <v>40</v>
      </c>
      <c r="B92" t="s">
        <v>51</v>
      </c>
      <c r="C92" t="s">
        <v>52</v>
      </c>
      <c r="D92">
        <v>530</v>
      </c>
      <c r="E92" t="s">
        <v>53</v>
      </c>
      <c r="F92">
        <v>1</v>
      </c>
      <c r="G92">
        <v>4</v>
      </c>
      <c r="H92" t="s">
        <v>41</v>
      </c>
      <c r="I92">
        <v>119</v>
      </c>
      <c r="J92">
        <v>3</v>
      </c>
      <c r="K92" t="s">
        <v>54</v>
      </c>
      <c r="L92">
        <v>78</v>
      </c>
      <c r="M92">
        <v>2</v>
      </c>
      <c r="N92">
        <v>4</v>
      </c>
      <c r="O92" t="s">
        <v>76</v>
      </c>
      <c r="P92">
        <v>2</v>
      </c>
      <c r="Q92" t="s">
        <v>56</v>
      </c>
      <c r="R92">
        <v>13503</v>
      </c>
      <c r="S92">
        <v>14115</v>
      </c>
      <c r="T92">
        <v>1</v>
      </c>
      <c r="U92" t="s">
        <v>51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  <c r="AG92" t="s">
        <v>45</v>
      </c>
      <c r="AH92" t="s">
        <v>46</v>
      </c>
      <c r="AI92">
        <v>0</v>
      </c>
      <c r="AJ92" t="s">
        <v>47</v>
      </c>
      <c r="AK92" t="s">
        <v>68</v>
      </c>
      <c r="AL92" t="s">
        <v>60</v>
      </c>
      <c r="AM92" t="s">
        <v>70</v>
      </c>
      <c r="AN92">
        <f t="shared" si="1"/>
        <v>16</v>
      </c>
    </row>
    <row r="93" spans="1:40">
      <c r="A93">
        <v>51</v>
      </c>
      <c r="B93" t="s">
        <v>51</v>
      </c>
      <c r="C93" t="s">
        <v>39</v>
      </c>
      <c r="D93">
        <v>632</v>
      </c>
      <c r="E93" t="s">
        <v>40</v>
      </c>
      <c r="F93">
        <v>21</v>
      </c>
      <c r="G93">
        <v>4</v>
      </c>
      <c r="H93" t="s">
        <v>84</v>
      </c>
      <c r="I93">
        <v>120</v>
      </c>
      <c r="J93">
        <v>3</v>
      </c>
      <c r="K93" t="s">
        <v>54</v>
      </c>
      <c r="L93">
        <v>71</v>
      </c>
      <c r="M93">
        <v>3</v>
      </c>
      <c r="N93">
        <v>2</v>
      </c>
      <c r="O93" t="s">
        <v>43</v>
      </c>
      <c r="P93">
        <v>4</v>
      </c>
      <c r="Q93" t="s">
        <v>44</v>
      </c>
      <c r="R93">
        <v>5441</v>
      </c>
      <c r="S93">
        <v>8423</v>
      </c>
      <c r="T93">
        <v>0</v>
      </c>
      <c r="U93" t="s">
        <v>38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  <c r="AG93" t="s">
        <v>57</v>
      </c>
      <c r="AH93" t="s">
        <v>71</v>
      </c>
      <c r="AI93">
        <v>0</v>
      </c>
      <c r="AJ93" t="s">
        <v>47</v>
      </c>
      <c r="AK93" t="s">
        <v>68</v>
      </c>
      <c r="AL93" t="s">
        <v>49</v>
      </c>
      <c r="AM93" t="s">
        <v>50</v>
      </c>
      <c r="AN93">
        <f t="shared" si="1"/>
        <v>2</v>
      </c>
    </row>
    <row r="94" spans="1:40">
      <c r="A94">
        <v>30</v>
      </c>
      <c r="B94" t="s">
        <v>51</v>
      </c>
      <c r="C94" t="s">
        <v>39</v>
      </c>
      <c r="D94">
        <v>1334</v>
      </c>
      <c r="E94" t="s">
        <v>40</v>
      </c>
      <c r="F94">
        <v>4</v>
      </c>
      <c r="G94">
        <v>2</v>
      </c>
      <c r="H94" t="s">
        <v>69</v>
      </c>
      <c r="I94">
        <v>121</v>
      </c>
      <c r="J94">
        <v>3</v>
      </c>
      <c r="K94" t="s">
        <v>42</v>
      </c>
      <c r="L94">
        <v>63</v>
      </c>
      <c r="M94">
        <v>2</v>
      </c>
      <c r="N94">
        <v>2</v>
      </c>
      <c r="O94" t="s">
        <v>43</v>
      </c>
      <c r="P94">
        <v>2</v>
      </c>
      <c r="Q94" t="s">
        <v>74</v>
      </c>
      <c r="R94">
        <v>5209</v>
      </c>
      <c r="S94">
        <v>19760</v>
      </c>
      <c r="T94">
        <v>1</v>
      </c>
      <c r="U94" t="s">
        <v>38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  <c r="AG94" t="s">
        <v>67</v>
      </c>
      <c r="AH94" t="s">
        <v>46</v>
      </c>
      <c r="AI94">
        <v>0</v>
      </c>
      <c r="AJ94" t="s">
        <v>47</v>
      </c>
      <c r="AK94" t="s">
        <v>48</v>
      </c>
      <c r="AL94" t="s">
        <v>60</v>
      </c>
      <c r="AM94" t="s">
        <v>70</v>
      </c>
      <c r="AN94">
        <f t="shared" si="1"/>
        <v>7</v>
      </c>
    </row>
    <row r="95" spans="1:40">
      <c r="A95">
        <v>46</v>
      </c>
      <c r="B95" t="s">
        <v>51</v>
      </c>
      <c r="C95" t="s">
        <v>52</v>
      </c>
      <c r="D95">
        <v>638</v>
      </c>
      <c r="E95" t="s">
        <v>53</v>
      </c>
      <c r="F95">
        <v>1</v>
      </c>
      <c r="G95">
        <v>3</v>
      </c>
      <c r="H95" t="s">
        <v>69</v>
      </c>
      <c r="I95">
        <v>124</v>
      </c>
      <c r="J95">
        <v>3</v>
      </c>
      <c r="K95" t="s">
        <v>54</v>
      </c>
      <c r="L95">
        <v>40</v>
      </c>
      <c r="M95">
        <v>2</v>
      </c>
      <c r="N95">
        <v>3</v>
      </c>
      <c r="O95" t="s">
        <v>76</v>
      </c>
      <c r="P95">
        <v>1</v>
      </c>
      <c r="Q95" t="s">
        <v>56</v>
      </c>
      <c r="R95">
        <v>10673</v>
      </c>
      <c r="S95">
        <v>3142</v>
      </c>
      <c r="T95">
        <v>2</v>
      </c>
      <c r="U95" t="s">
        <v>38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  <c r="AG95" t="s">
        <v>57</v>
      </c>
      <c r="AH95" t="s">
        <v>81</v>
      </c>
      <c r="AI95">
        <v>0</v>
      </c>
      <c r="AJ95" t="s">
        <v>47</v>
      </c>
      <c r="AK95" t="s">
        <v>72</v>
      </c>
      <c r="AL95" t="s">
        <v>73</v>
      </c>
      <c r="AM95" t="s">
        <v>70</v>
      </c>
      <c r="AN95">
        <f t="shared" si="1"/>
        <v>17</v>
      </c>
    </row>
    <row r="96" spans="1:40">
      <c r="A96">
        <v>32</v>
      </c>
      <c r="B96" t="s">
        <v>51</v>
      </c>
      <c r="C96" t="s">
        <v>39</v>
      </c>
      <c r="D96">
        <v>1093</v>
      </c>
      <c r="E96" t="s">
        <v>40</v>
      </c>
      <c r="F96">
        <v>6</v>
      </c>
      <c r="G96">
        <v>4</v>
      </c>
      <c r="H96" t="s">
        <v>69</v>
      </c>
      <c r="I96">
        <v>125</v>
      </c>
      <c r="J96">
        <v>2</v>
      </c>
      <c r="K96" t="s">
        <v>54</v>
      </c>
      <c r="L96">
        <v>87</v>
      </c>
      <c r="M96">
        <v>3</v>
      </c>
      <c r="N96">
        <v>2</v>
      </c>
      <c r="O96" t="s">
        <v>43</v>
      </c>
      <c r="P96">
        <v>3</v>
      </c>
      <c r="Q96" t="s">
        <v>44</v>
      </c>
      <c r="R96">
        <v>5010</v>
      </c>
      <c r="S96">
        <v>24301</v>
      </c>
      <c r="T96">
        <v>1</v>
      </c>
      <c r="U96" t="s">
        <v>51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  <c r="AG96" t="s">
        <v>67</v>
      </c>
      <c r="AH96" t="s">
        <v>46</v>
      </c>
      <c r="AI96">
        <v>0</v>
      </c>
      <c r="AJ96" t="s">
        <v>80</v>
      </c>
      <c r="AK96" t="s">
        <v>68</v>
      </c>
      <c r="AL96" t="s">
        <v>66</v>
      </c>
      <c r="AM96" t="s">
        <v>61</v>
      </c>
      <c r="AN96">
        <f t="shared" si="1"/>
        <v>5</v>
      </c>
    </row>
    <row r="97" spans="1:40">
      <c r="A97">
        <v>54</v>
      </c>
      <c r="B97" t="s">
        <v>51</v>
      </c>
      <c r="C97" t="s">
        <v>39</v>
      </c>
      <c r="D97">
        <v>1217</v>
      </c>
      <c r="E97" t="s">
        <v>53</v>
      </c>
      <c r="F97">
        <v>2</v>
      </c>
      <c r="G97">
        <v>4</v>
      </c>
      <c r="H97" t="s">
        <v>86</v>
      </c>
      <c r="I97">
        <v>126</v>
      </c>
      <c r="J97">
        <v>1</v>
      </c>
      <c r="K97" t="s">
        <v>42</v>
      </c>
      <c r="L97">
        <v>60</v>
      </c>
      <c r="M97">
        <v>3</v>
      </c>
      <c r="N97">
        <v>3</v>
      </c>
      <c r="O97" t="s">
        <v>83</v>
      </c>
      <c r="P97">
        <v>3</v>
      </c>
      <c r="Q97" t="s">
        <v>56</v>
      </c>
      <c r="R97">
        <v>13549</v>
      </c>
      <c r="S97">
        <v>24001</v>
      </c>
      <c r="T97">
        <v>9</v>
      </c>
      <c r="U97" t="s">
        <v>51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  <c r="AG97" t="s">
        <v>57</v>
      </c>
      <c r="AH97" t="s">
        <v>46</v>
      </c>
      <c r="AI97">
        <v>0</v>
      </c>
      <c r="AJ97" t="s">
        <v>47</v>
      </c>
      <c r="AK97" t="s">
        <v>68</v>
      </c>
      <c r="AL97" t="s">
        <v>66</v>
      </c>
      <c r="AM97" t="s">
        <v>50</v>
      </c>
      <c r="AN97">
        <f t="shared" si="1"/>
        <v>4</v>
      </c>
    </row>
    <row r="98" spans="1:40">
      <c r="A98">
        <v>24</v>
      </c>
      <c r="B98" t="s">
        <v>51</v>
      </c>
      <c r="C98" t="s">
        <v>39</v>
      </c>
      <c r="D98">
        <v>1353</v>
      </c>
      <c r="E98" t="s">
        <v>40</v>
      </c>
      <c r="F98">
        <v>3</v>
      </c>
      <c r="G98">
        <v>2</v>
      </c>
      <c r="H98" t="s">
        <v>62</v>
      </c>
      <c r="I98">
        <v>128</v>
      </c>
      <c r="J98">
        <v>1</v>
      </c>
      <c r="K98" t="s">
        <v>42</v>
      </c>
      <c r="L98">
        <v>33</v>
      </c>
      <c r="M98">
        <v>3</v>
      </c>
      <c r="N98">
        <v>2</v>
      </c>
      <c r="O98" t="s">
        <v>43</v>
      </c>
      <c r="P98">
        <v>3</v>
      </c>
      <c r="Q98" t="s">
        <v>56</v>
      </c>
      <c r="R98">
        <v>4999</v>
      </c>
      <c r="S98">
        <v>17519</v>
      </c>
      <c r="T98">
        <v>0</v>
      </c>
      <c r="U98" t="s">
        <v>51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  <c r="AG98" t="s">
        <v>78</v>
      </c>
      <c r="AH98" t="s">
        <v>46</v>
      </c>
      <c r="AI98">
        <v>0</v>
      </c>
      <c r="AJ98" t="s">
        <v>47</v>
      </c>
      <c r="AK98" t="s">
        <v>48</v>
      </c>
      <c r="AL98" t="s">
        <v>66</v>
      </c>
      <c r="AM98" t="s">
        <v>70</v>
      </c>
      <c r="AN98">
        <f t="shared" si="1"/>
        <v>2</v>
      </c>
    </row>
    <row r="99" spans="1:40">
      <c r="A99">
        <v>28</v>
      </c>
      <c r="B99" t="s">
        <v>51</v>
      </c>
      <c r="C99" t="s">
        <v>77</v>
      </c>
      <c r="D99">
        <v>120</v>
      </c>
      <c r="E99" t="s">
        <v>40</v>
      </c>
      <c r="F99">
        <v>4</v>
      </c>
      <c r="G99">
        <v>3</v>
      </c>
      <c r="H99" t="s">
        <v>69</v>
      </c>
      <c r="I99">
        <v>129</v>
      </c>
      <c r="J99">
        <v>2</v>
      </c>
      <c r="K99" t="s">
        <v>54</v>
      </c>
      <c r="L99">
        <v>43</v>
      </c>
      <c r="M99">
        <v>3</v>
      </c>
      <c r="N99">
        <v>2</v>
      </c>
      <c r="O99" t="s">
        <v>43</v>
      </c>
      <c r="P99">
        <v>3</v>
      </c>
      <c r="Q99" t="s">
        <v>56</v>
      </c>
      <c r="R99">
        <v>4221</v>
      </c>
      <c r="S99">
        <v>8863</v>
      </c>
      <c r="T99">
        <v>1</v>
      </c>
      <c r="U99" t="s">
        <v>51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  <c r="AG99" t="s">
        <v>67</v>
      </c>
      <c r="AH99" t="s">
        <v>71</v>
      </c>
      <c r="AI99">
        <v>0</v>
      </c>
      <c r="AJ99" t="s">
        <v>65</v>
      </c>
      <c r="AK99" t="s">
        <v>72</v>
      </c>
      <c r="AL99" t="s">
        <v>66</v>
      </c>
      <c r="AM99" t="s">
        <v>85</v>
      </c>
      <c r="AN99">
        <f t="shared" si="1"/>
        <v>-2</v>
      </c>
    </row>
    <row r="100" spans="1:40">
      <c r="A100">
        <v>58</v>
      </c>
      <c r="B100" t="s">
        <v>51</v>
      </c>
      <c r="C100" t="s">
        <v>39</v>
      </c>
      <c r="D100">
        <v>682</v>
      </c>
      <c r="E100" t="s">
        <v>40</v>
      </c>
      <c r="F100">
        <v>10</v>
      </c>
      <c r="G100">
        <v>4</v>
      </c>
      <c r="H100" t="s">
        <v>69</v>
      </c>
      <c r="I100">
        <v>131</v>
      </c>
      <c r="J100">
        <v>4</v>
      </c>
      <c r="K100" t="s">
        <v>54</v>
      </c>
      <c r="L100">
        <v>37</v>
      </c>
      <c r="M100">
        <v>3</v>
      </c>
      <c r="N100">
        <v>4</v>
      </c>
      <c r="O100" t="s">
        <v>43</v>
      </c>
      <c r="P100">
        <v>3</v>
      </c>
      <c r="Q100" t="s">
        <v>44</v>
      </c>
      <c r="R100">
        <v>13872</v>
      </c>
      <c r="S100">
        <v>24409</v>
      </c>
      <c r="T100">
        <v>0</v>
      </c>
      <c r="U100" t="s">
        <v>51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  <c r="AG100" t="s">
        <v>57</v>
      </c>
      <c r="AH100" t="s">
        <v>46</v>
      </c>
      <c r="AI100">
        <v>0</v>
      </c>
      <c r="AJ100" t="s">
        <v>47</v>
      </c>
      <c r="AK100" t="s">
        <v>68</v>
      </c>
      <c r="AL100" t="s">
        <v>66</v>
      </c>
      <c r="AM100" t="s">
        <v>70</v>
      </c>
      <c r="AN100">
        <f t="shared" si="1"/>
        <v>3</v>
      </c>
    </row>
    <row r="101" spans="1:40">
      <c r="A101">
        <v>44</v>
      </c>
      <c r="B101" t="s">
        <v>51</v>
      </c>
      <c r="C101" t="s">
        <v>77</v>
      </c>
      <c r="D101">
        <v>489</v>
      </c>
      <c r="E101" t="s">
        <v>53</v>
      </c>
      <c r="F101">
        <v>23</v>
      </c>
      <c r="G101">
        <v>3</v>
      </c>
      <c r="H101" t="s">
        <v>69</v>
      </c>
      <c r="I101">
        <v>132</v>
      </c>
      <c r="J101">
        <v>2</v>
      </c>
      <c r="K101" t="s">
        <v>54</v>
      </c>
      <c r="L101">
        <v>67</v>
      </c>
      <c r="M101">
        <v>3</v>
      </c>
      <c r="N101">
        <v>2</v>
      </c>
      <c r="O101" t="s">
        <v>63</v>
      </c>
      <c r="P101">
        <v>2</v>
      </c>
      <c r="Q101" t="s">
        <v>56</v>
      </c>
      <c r="R101">
        <v>2042</v>
      </c>
      <c r="S101">
        <v>25043</v>
      </c>
      <c r="T101">
        <v>4</v>
      </c>
      <c r="U101" t="s">
        <v>51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  <c r="AG101" t="s">
        <v>45</v>
      </c>
      <c r="AH101" t="s">
        <v>46</v>
      </c>
      <c r="AI101">
        <v>0</v>
      </c>
      <c r="AJ101" t="s">
        <v>65</v>
      </c>
      <c r="AK101" t="s">
        <v>72</v>
      </c>
      <c r="AL101" t="s">
        <v>60</v>
      </c>
      <c r="AM101" t="s">
        <v>85</v>
      </c>
      <c r="AN101">
        <f t="shared" si="1"/>
        <v>2</v>
      </c>
    </row>
    <row r="102" spans="1:40">
      <c r="A102">
        <v>37</v>
      </c>
      <c r="B102" t="s">
        <v>38</v>
      </c>
      <c r="C102" t="s">
        <v>39</v>
      </c>
      <c r="D102">
        <v>807</v>
      </c>
      <c r="E102" t="s">
        <v>88</v>
      </c>
      <c r="F102">
        <v>6</v>
      </c>
      <c r="G102">
        <v>4</v>
      </c>
      <c r="H102" t="s">
        <v>88</v>
      </c>
      <c r="I102">
        <v>133</v>
      </c>
      <c r="J102">
        <v>3</v>
      </c>
      <c r="K102" t="s">
        <v>54</v>
      </c>
      <c r="L102">
        <v>63</v>
      </c>
      <c r="M102">
        <v>3</v>
      </c>
      <c r="N102">
        <v>1</v>
      </c>
      <c r="O102" t="s">
        <v>88</v>
      </c>
      <c r="P102">
        <v>1</v>
      </c>
      <c r="Q102" t="s">
        <v>74</v>
      </c>
      <c r="R102">
        <v>2073</v>
      </c>
      <c r="S102">
        <v>23648</v>
      </c>
      <c r="T102">
        <v>4</v>
      </c>
      <c r="U102" t="s">
        <v>38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  <c r="AG102" t="s">
        <v>45</v>
      </c>
      <c r="AH102" t="s">
        <v>46</v>
      </c>
      <c r="AI102">
        <v>1</v>
      </c>
      <c r="AJ102" t="s">
        <v>65</v>
      </c>
      <c r="AK102" t="s">
        <v>68</v>
      </c>
      <c r="AL102" t="s">
        <v>73</v>
      </c>
      <c r="AM102" t="s">
        <v>61</v>
      </c>
      <c r="AN102">
        <f t="shared" si="1"/>
        <v>6</v>
      </c>
    </row>
    <row r="103" spans="1:40">
      <c r="A103">
        <v>32</v>
      </c>
      <c r="B103" t="s">
        <v>51</v>
      </c>
      <c r="C103" t="s">
        <v>39</v>
      </c>
      <c r="D103">
        <v>827</v>
      </c>
      <c r="E103" t="s">
        <v>53</v>
      </c>
      <c r="F103">
        <v>1</v>
      </c>
      <c r="G103">
        <v>1</v>
      </c>
      <c r="H103" t="s">
        <v>41</v>
      </c>
      <c r="I103">
        <v>134</v>
      </c>
      <c r="J103">
        <v>4</v>
      </c>
      <c r="K103" t="s">
        <v>54</v>
      </c>
      <c r="L103">
        <v>71</v>
      </c>
      <c r="M103">
        <v>3</v>
      </c>
      <c r="N103">
        <v>1</v>
      </c>
      <c r="O103" t="s">
        <v>55</v>
      </c>
      <c r="P103">
        <v>1</v>
      </c>
      <c r="Q103" t="s">
        <v>44</v>
      </c>
      <c r="R103">
        <v>2956</v>
      </c>
      <c r="S103">
        <v>15178</v>
      </c>
      <c r="T103">
        <v>1</v>
      </c>
      <c r="U103" t="s">
        <v>51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  <c r="AG103" t="s">
        <v>67</v>
      </c>
      <c r="AH103" t="s">
        <v>46</v>
      </c>
      <c r="AI103">
        <v>0</v>
      </c>
      <c r="AJ103" t="s">
        <v>65</v>
      </c>
      <c r="AK103" t="s">
        <v>59</v>
      </c>
      <c r="AL103" t="s">
        <v>73</v>
      </c>
      <c r="AM103" t="s">
        <v>61</v>
      </c>
      <c r="AN103">
        <f t="shared" si="1"/>
        <v>6</v>
      </c>
    </row>
    <row r="104" spans="1:40">
      <c r="A104">
        <v>20</v>
      </c>
      <c r="B104" t="s">
        <v>38</v>
      </c>
      <c r="C104" t="s">
        <v>52</v>
      </c>
      <c r="D104">
        <v>871</v>
      </c>
      <c r="E104" t="s">
        <v>53</v>
      </c>
      <c r="F104">
        <v>6</v>
      </c>
      <c r="G104">
        <v>3</v>
      </c>
      <c r="H104" t="s">
        <v>41</v>
      </c>
      <c r="I104">
        <v>137</v>
      </c>
      <c r="J104">
        <v>4</v>
      </c>
      <c r="K104" t="s">
        <v>42</v>
      </c>
      <c r="L104">
        <v>66</v>
      </c>
      <c r="M104">
        <v>2</v>
      </c>
      <c r="N104">
        <v>1</v>
      </c>
      <c r="O104" t="s">
        <v>63</v>
      </c>
      <c r="P104">
        <v>4</v>
      </c>
      <c r="Q104" t="s">
        <v>44</v>
      </c>
      <c r="R104">
        <v>2926</v>
      </c>
      <c r="S104">
        <v>19783</v>
      </c>
      <c r="T104">
        <v>1</v>
      </c>
      <c r="U104" t="s">
        <v>38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  <c r="AG104" t="s">
        <v>78</v>
      </c>
      <c r="AH104" t="s">
        <v>46</v>
      </c>
      <c r="AI104">
        <v>1</v>
      </c>
      <c r="AJ104" t="s">
        <v>65</v>
      </c>
      <c r="AK104" t="s">
        <v>72</v>
      </c>
      <c r="AL104" t="s">
        <v>49</v>
      </c>
      <c r="AM104" t="s">
        <v>61</v>
      </c>
      <c r="AN104">
        <f t="shared" si="1"/>
        <v>-2</v>
      </c>
    </row>
    <row r="105" spans="1:40">
      <c r="A105">
        <v>34</v>
      </c>
      <c r="B105" t="s">
        <v>51</v>
      </c>
      <c r="C105" t="s">
        <v>39</v>
      </c>
      <c r="D105">
        <v>665</v>
      </c>
      <c r="E105" t="s">
        <v>53</v>
      </c>
      <c r="F105">
        <v>6</v>
      </c>
      <c r="G105">
        <v>4</v>
      </c>
      <c r="H105" t="s">
        <v>62</v>
      </c>
      <c r="I105">
        <v>138</v>
      </c>
      <c r="J105">
        <v>1</v>
      </c>
      <c r="K105" t="s">
        <v>42</v>
      </c>
      <c r="L105">
        <v>41</v>
      </c>
      <c r="M105">
        <v>3</v>
      </c>
      <c r="N105">
        <v>2</v>
      </c>
      <c r="O105" t="s">
        <v>55</v>
      </c>
      <c r="P105">
        <v>3</v>
      </c>
      <c r="Q105" t="s">
        <v>44</v>
      </c>
      <c r="R105">
        <v>4809</v>
      </c>
      <c r="S105">
        <v>12482</v>
      </c>
      <c r="T105">
        <v>1</v>
      </c>
      <c r="U105" t="s">
        <v>51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  <c r="AG105" t="s">
        <v>67</v>
      </c>
      <c r="AH105" t="s">
        <v>46</v>
      </c>
      <c r="AI105">
        <v>0</v>
      </c>
      <c r="AJ105" t="s">
        <v>80</v>
      </c>
      <c r="AK105" t="s">
        <v>68</v>
      </c>
      <c r="AL105" t="s">
        <v>66</v>
      </c>
      <c r="AM105" t="s">
        <v>61</v>
      </c>
      <c r="AN105">
        <f t="shared" si="1"/>
        <v>2</v>
      </c>
    </row>
    <row r="106" spans="1:40">
      <c r="A106">
        <v>37</v>
      </c>
      <c r="B106" t="s">
        <v>51</v>
      </c>
      <c r="C106" t="s">
        <v>77</v>
      </c>
      <c r="D106">
        <v>1040</v>
      </c>
      <c r="E106" t="s">
        <v>53</v>
      </c>
      <c r="F106">
        <v>2</v>
      </c>
      <c r="G106">
        <v>2</v>
      </c>
      <c r="H106" t="s">
        <v>41</v>
      </c>
      <c r="I106">
        <v>139</v>
      </c>
      <c r="J106">
        <v>3</v>
      </c>
      <c r="K106" t="s">
        <v>54</v>
      </c>
      <c r="L106">
        <v>100</v>
      </c>
      <c r="M106">
        <v>2</v>
      </c>
      <c r="N106">
        <v>2</v>
      </c>
      <c r="O106" t="s">
        <v>76</v>
      </c>
      <c r="P106">
        <v>4</v>
      </c>
      <c r="Q106" t="s">
        <v>74</v>
      </c>
      <c r="R106">
        <v>5163</v>
      </c>
      <c r="S106">
        <v>15850</v>
      </c>
      <c r="T106">
        <v>5</v>
      </c>
      <c r="U106" t="s">
        <v>51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  <c r="AG106" t="s">
        <v>45</v>
      </c>
      <c r="AH106" t="s">
        <v>46</v>
      </c>
      <c r="AI106">
        <v>0</v>
      </c>
      <c r="AJ106" t="s">
        <v>65</v>
      </c>
      <c r="AK106" t="s">
        <v>48</v>
      </c>
      <c r="AL106" t="s">
        <v>49</v>
      </c>
      <c r="AM106" t="s">
        <v>85</v>
      </c>
      <c r="AN106">
        <f t="shared" si="1"/>
        <v>-5</v>
      </c>
    </row>
    <row r="107" spans="1:40">
      <c r="A107">
        <v>59</v>
      </c>
      <c r="B107" t="s">
        <v>51</v>
      </c>
      <c r="C107" t="s">
        <v>77</v>
      </c>
      <c r="D107">
        <v>1420</v>
      </c>
      <c r="E107" t="s">
        <v>88</v>
      </c>
      <c r="F107">
        <v>2</v>
      </c>
      <c r="G107">
        <v>4</v>
      </c>
      <c r="H107" t="s">
        <v>88</v>
      </c>
      <c r="I107">
        <v>140</v>
      </c>
      <c r="J107">
        <v>3</v>
      </c>
      <c r="K107" t="s">
        <v>42</v>
      </c>
      <c r="L107">
        <v>32</v>
      </c>
      <c r="M107">
        <v>2</v>
      </c>
      <c r="N107">
        <v>5</v>
      </c>
      <c r="O107" t="s">
        <v>79</v>
      </c>
      <c r="P107">
        <v>4</v>
      </c>
      <c r="Q107" t="s">
        <v>56</v>
      </c>
      <c r="R107">
        <v>18844</v>
      </c>
      <c r="S107">
        <v>21922</v>
      </c>
      <c r="T107">
        <v>9</v>
      </c>
      <c r="U107" t="s">
        <v>51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  <c r="AG107" t="s">
        <v>57</v>
      </c>
      <c r="AH107" t="s">
        <v>46</v>
      </c>
      <c r="AI107">
        <v>0</v>
      </c>
      <c r="AJ107" t="s">
        <v>65</v>
      </c>
      <c r="AK107" t="s">
        <v>68</v>
      </c>
      <c r="AL107" t="s">
        <v>49</v>
      </c>
      <c r="AM107" t="s">
        <v>61</v>
      </c>
      <c r="AN107">
        <f t="shared" si="1"/>
        <v>-1</v>
      </c>
    </row>
    <row r="108" spans="1:40">
      <c r="A108">
        <v>50</v>
      </c>
      <c r="B108" t="s">
        <v>51</v>
      </c>
      <c r="C108" t="s">
        <v>52</v>
      </c>
      <c r="D108">
        <v>1115</v>
      </c>
      <c r="E108" t="s">
        <v>53</v>
      </c>
      <c r="F108">
        <v>1</v>
      </c>
      <c r="G108">
        <v>3</v>
      </c>
      <c r="H108" t="s">
        <v>41</v>
      </c>
      <c r="I108">
        <v>141</v>
      </c>
      <c r="J108">
        <v>1</v>
      </c>
      <c r="K108" t="s">
        <v>42</v>
      </c>
      <c r="L108">
        <v>73</v>
      </c>
      <c r="M108">
        <v>3</v>
      </c>
      <c r="N108">
        <v>5</v>
      </c>
      <c r="O108" t="s">
        <v>83</v>
      </c>
      <c r="P108">
        <v>2</v>
      </c>
      <c r="Q108" t="s">
        <v>56</v>
      </c>
      <c r="R108">
        <v>18172</v>
      </c>
      <c r="S108">
        <v>9755</v>
      </c>
      <c r="T108">
        <v>3</v>
      </c>
      <c r="U108" t="s">
        <v>38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  <c r="AG108" t="s">
        <v>57</v>
      </c>
      <c r="AH108" t="s">
        <v>71</v>
      </c>
      <c r="AI108">
        <v>0</v>
      </c>
      <c r="AJ108" t="s">
        <v>47</v>
      </c>
      <c r="AK108" t="s">
        <v>72</v>
      </c>
      <c r="AL108" t="s">
        <v>60</v>
      </c>
      <c r="AM108" t="s">
        <v>70</v>
      </c>
      <c r="AN108">
        <f t="shared" si="1"/>
        <v>5</v>
      </c>
    </row>
    <row r="109" spans="1:40">
      <c r="A109">
        <v>25</v>
      </c>
      <c r="B109" t="s">
        <v>38</v>
      </c>
      <c r="C109" t="s">
        <v>39</v>
      </c>
      <c r="D109">
        <v>240</v>
      </c>
      <c r="E109" t="s">
        <v>40</v>
      </c>
      <c r="F109">
        <v>5</v>
      </c>
      <c r="G109">
        <v>3</v>
      </c>
      <c r="H109" t="s">
        <v>84</v>
      </c>
      <c r="I109">
        <v>142</v>
      </c>
      <c r="J109">
        <v>3</v>
      </c>
      <c r="K109" t="s">
        <v>54</v>
      </c>
      <c r="L109">
        <v>46</v>
      </c>
      <c r="M109">
        <v>2</v>
      </c>
      <c r="N109">
        <v>2</v>
      </c>
      <c r="O109" t="s">
        <v>43</v>
      </c>
      <c r="P109">
        <v>3</v>
      </c>
      <c r="Q109" t="s">
        <v>44</v>
      </c>
      <c r="R109">
        <v>5744</v>
      </c>
      <c r="S109">
        <v>26959</v>
      </c>
      <c r="T109">
        <v>1</v>
      </c>
      <c r="U109" t="s">
        <v>38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  <c r="AG109" t="s">
        <v>78</v>
      </c>
      <c r="AH109" t="s">
        <v>46</v>
      </c>
      <c r="AI109">
        <v>1</v>
      </c>
      <c r="AJ109" t="s">
        <v>58</v>
      </c>
      <c r="AK109" t="s">
        <v>72</v>
      </c>
      <c r="AL109" t="s">
        <v>66</v>
      </c>
      <c r="AM109" t="s">
        <v>61</v>
      </c>
      <c r="AN109">
        <f t="shared" si="1"/>
        <v>0</v>
      </c>
    </row>
    <row r="110" spans="1:40">
      <c r="A110">
        <v>25</v>
      </c>
      <c r="B110" t="s">
        <v>51</v>
      </c>
      <c r="C110" t="s">
        <v>39</v>
      </c>
      <c r="D110">
        <v>1280</v>
      </c>
      <c r="E110" t="s">
        <v>53</v>
      </c>
      <c r="F110">
        <v>7</v>
      </c>
      <c r="G110">
        <v>1</v>
      </c>
      <c r="H110" t="s">
        <v>69</v>
      </c>
      <c r="I110">
        <v>143</v>
      </c>
      <c r="J110">
        <v>4</v>
      </c>
      <c r="K110" t="s">
        <v>54</v>
      </c>
      <c r="L110">
        <v>64</v>
      </c>
      <c r="M110">
        <v>2</v>
      </c>
      <c r="N110">
        <v>1</v>
      </c>
      <c r="O110" t="s">
        <v>55</v>
      </c>
      <c r="P110">
        <v>4</v>
      </c>
      <c r="Q110" t="s">
        <v>56</v>
      </c>
      <c r="R110">
        <v>2889</v>
      </c>
      <c r="S110">
        <v>26897</v>
      </c>
      <c r="T110">
        <v>1</v>
      </c>
      <c r="U110" t="s">
        <v>51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  <c r="AG110" t="s">
        <v>78</v>
      </c>
      <c r="AH110" t="s">
        <v>46</v>
      </c>
      <c r="AI110">
        <v>0</v>
      </c>
      <c r="AJ110" t="s">
        <v>65</v>
      </c>
      <c r="AK110" t="s">
        <v>59</v>
      </c>
      <c r="AL110" t="s">
        <v>49</v>
      </c>
      <c r="AM110" t="s">
        <v>61</v>
      </c>
      <c r="AN110">
        <f t="shared" si="1"/>
        <v>-1</v>
      </c>
    </row>
    <row r="111" spans="1:40">
      <c r="A111">
        <v>22</v>
      </c>
      <c r="B111" t="s">
        <v>51</v>
      </c>
      <c r="C111" t="s">
        <v>39</v>
      </c>
      <c r="D111">
        <v>534</v>
      </c>
      <c r="E111" t="s">
        <v>53</v>
      </c>
      <c r="F111">
        <v>15</v>
      </c>
      <c r="G111">
        <v>3</v>
      </c>
      <c r="H111" t="s">
        <v>69</v>
      </c>
      <c r="I111">
        <v>144</v>
      </c>
      <c r="J111">
        <v>2</v>
      </c>
      <c r="K111" t="s">
        <v>42</v>
      </c>
      <c r="L111">
        <v>59</v>
      </c>
      <c r="M111">
        <v>3</v>
      </c>
      <c r="N111">
        <v>1</v>
      </c>
      <c r="O111" t="s">
        <v>63</v>
      </c>
      <c r="P111">
        <v>4</v>
      </c>
      <c r="Q111" t="s">
        <v>44</v>
      </c>
      <c r="R111">
        <v>2871</v>
      </c>
      <c r="S111">
        <v>23785</v>
      </c>
      <c r="T111">
        <v>1</v>
      </c>
      <c r="U111" t="s">
        <v>51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  <c r="AG111" t="s">
        <v>78</v>
      </c>
      <c r="AH111" t="s">
        <v>46</v>
      </c>
      <c r="AI111">
        <v>0</v>
      </c>
      <c r="AJ111" t="s">
        <v>65</v>
      </c>
      <c r="AK111" t="s">
        <v>72</v>
      </c>
      <c r="AL111" t="s">
        <v>49</v>
      </c>
      <c r="AM111" t="s">
        <v>61</v>
      </c>
      <c r="AN111">
        <f t="shared" si="1"/>
        <v>-3</v>
      </c>
    </row>
    <row r="112" spans="1:40">
      <c r="A112">
        <v>51</v>
      </c>
      <c r="B112" t="s">
        <v>51</v>
      </c>
      <c r="C112" t="s">
        <v>52</v>
      </c>
      <c r="D112">
        <v>1456</v>
      </c>
      <c r="E112" t="s">
        <v>53</v>
      </c>
      <c r="F112">
        <v>1</v>
      </c>
      <c r="G112">
        <v>4</v>
      </c>
      <c r="H112" t="s">
        <v>69</v>
      </c>
      <c r="I112">
        <v>145</v>
      </c>
      <c r="J112">
        <v>1</v>
      </c>
      <c r="K112" t="s">
        <v>42</v>
      </c>
      <c r="L112">
        <v>30</v>
      </c>
      <c r="M112">
        <v>2</v>
      </c>
      <c r="N112">
        <v>3</v>
      </c>
      <c r="O112" t="s">
        <v>76</v>
      </c>
      <c r="P112">
        <v>1</v>
      </c>
      <c r="Q112" t="s">
        <v>44</v>
      </c>
      <c r="R112">
        <v>7484</v>
      </c>
      <c r="S112">
        <v>25796</v>
      </c>
      <c r="T112">
        <v>3</v>
      </c>
      <c r="U112" t="s">
        <v>51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  <c r="AG112" t="s">
        <v>57</v>
      </c>
      <c r="AH112" t="s">
        <v>46</v>
      </c>
      <c r="AI112">
        <v>0</v>
      </c>
      <c r="AJ112" t="s">
        <v>47</v>
      </c>
      <c r="AK112" t="s">
        <v>68</v>
      </c>
      <c r="AL112" t="s">
        <v>73</v>
      </c>
      <c r="AM112" t="s">
        <v>70</v>
      </c>
      <c r="AN112">
        <f t="shared" si="1"/>
        <v>20</v>
      </c>
    </row>
    <row r="113" spans="1:40">
      <c r="A113">
        <v>34</v>
      </c>
      <c r="B113" t="s">
        <v>38</v>
      </c>
      <c r="C113" t="s">
        <v>52</v>
      </c>
      <c r="D113">
        <v>658</v>
      </c>
      <c r="E113" t="s">
        <v>53</v>
      </c>
      <c r="F113">
        <v>7</v>
      </c>
      <c r="G113">
        <v>3</v>
      </c>
      <c r="H113" t="s">
        <v>41</v>
      </c>
      <c r="I113">
        <v>147</v>
      </c>
      <c r="J113">
        <v>1</v>
      </c>
      <c r="K113" t="s">
        <v>54</v>
      </c>
      <c r="L113">
        <v>66</v>
      </c>
      <c r="M113">
        <v>1</v>
      </c>
      <c r="N113">
        <v>2</v>
      </c>
      <c r="O113" t="s">
        <v>63</v>
      </c>
      <c r="P113">
        <v>3</v>
      </c>
      <c r="Q113" t="s">
        <v>44</v>
      </c>
      <c r="R113">
        <v>6074</v>
      </c>
      <c r="S113">
        <v>22887</v>
      </c>
      <c r="T113">
        <v>1</v>
      </c>
      <c r="U113" t="s">
        <v>38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  <c r="AG113" t="s">
        <v>67</v>
      </c>
      <c r="AH113" t="s">
        <v>46</v>
      </c>
      <c r="AI113">
        <v>1</v>
      </c>
      <c r="AJ113" t="s">
        <v>58</v>
      </c>
      <c r="AK113" t="s">
        <v>72</v>
      </c>
      <c r="AL113" t="s">
        <v>66</v>
      </c>
      <c r="AM113" t="s">
        <v>61</v>
      </c>
      <c r="AN113">
        <f t="shared" si="1"/>
        <v>0</v>
      </c>
    </row>
    <row r="114" spans="1:40">
      <c r="A114">
        <v>54</v>
      </c>
      <c r="B114" t="s">
        <v>51</v>
      </c>
      <c r="C114" t="s">
        <v>77</v>
      </c>
      <c r="D114">
        <v>142</v>
      </c>
      <c r="E114" t="s">
        <v>88</v>
      </c>
      <c r="F114">
        <v>26</v>
      </c>
      <c r="G114">
        <v>3</v>
      </c>
      <c r="H114" t="s">
        <v>88</v>
      </c>
      <c r="I114">
        <v>148</v>
      </c>
      <c r="J114">
        <v>4</v>
      </c>
      <c r="K114" t="s">
        <v>42</v>
      </c>
      <c r="L114">
        <v>30</v>
      </c>
      <c r="M114">
        <v>4</v>
      </c>
      <c r="N114">
        <v>4</v>
      </c>
      <c r="O114" t="s">
        <v>79</v>
      </c>
      <c r="P114">
        <v>4</v>
      </c>
      <c r="Q114" t="s">
        <v>44</v>
      </c>
      <c r="R114">
        <v>17328</v>
      </c>
      <c r="S114">
        <v>13871</v>
      </c>
      <c r="T114">
        <v>2</v>
      </c>
      <c r="U114" t="s">
        <v>38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  <c r="AG114" t="s">
        <v>57</v>
      </c>
      <c r="AH114" t="s">
        <v>46</v>
      </c>
      <c r="AI114">
        <v>0</v>
      </c>
      <c r="AJ114" t="s">
        <v>65</v>
      </c>
      <c r="AK114" t="s">
        <v>72</v>
      </c>
      <c r="AL114" t="s">
        <v>49</v>
      </c>
      <c r="AM114" t="s">
        <v>61</v>
      </c>
      <c r="AN114">
        <f t="shared" si="1"/>
        <v>1</v>
      </c>
    </row>
    <row r="115" spans="1:40">
      <c r="A115">
        <v>24</v>
      </c>
      <c r="B115" t="s">
        <v>51</v>
      </c>
      <c r="C115" t="s">
        <v>39</v>
      </c>
      <c r="D115">
        <v>1127</v>
      </c>
      <c r="E115" t="s">
        <v>53</v>
      </c>
      <c r="F115">
        <v>18</v>
      </c>
      <c r="G115">
        <v>1</v>
      </c>
      <c r="H115" t="s">
        <v>41</v>
      </c>
      <c r="I115">
        <v>150</v>
      </c>
      <c r="J115">
        <v>2</v>
      </c>
      <c r="K115" t="s">
        <v>54</v>
      </c>
      <c r="L115">
        <v>52</v>
      </c>
      <c r="M115">
        <v>3</v>
      </c>
      <c r="N115">
        <v>1</v>
      </c>
      <c r="O115" t="s">
        <v>63</v>
      </c>
      <c r="P115">
        <v>3</v>
      </c>
      <c r="Q115" t="s">
        <v>56</v>
      </c>
      <c r="R115">
        <v>2774</v>
      </c>
      <c r="S115">
        <v>13257</v>
      </c>
      <c r="T115">
        <v>0</v>
      </c>
      <c r="U115" t="s">
        <v>51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  <c r="AG115" t="s">
        <v>78</v>
      </c>
      <c r="AH115" t="s">
        <v>46</v>
      </c>
      <c r="AI115">
        <v>0</v>
      </c>
      <c r="AJ115" t="s">
        <v>65</v>
      </c>
      <c r="AK115" t="s">
        <v>59</v>
      </c>
      <c r="AL115" t="s">
        <v>66</v>
      </c>
      <c r="AM115" t="s">
        <v>61</v>
      </c>
      <c r="AN115">
        <f t="shared" si="1"/>
        <v>1</v>
      </c>
    </row>
    <row r="116" spans="1:40">
      <c r="A116">
        <v>34</v>
      </c>
      <c r="B116" t="s">
        <v>51</v>
      </c>
      <c r="C116" t="s">
        <v>39</v>
      </c>
      <c r="D116">
        <v>1031</v>
      </c>
      <c r="E116" t="s">
        <v>53</v>
      </c>
      <c r="F116">
        <v>6</v>
      </c>
      <c r="G116">
        <v>4</v>
      </c>
      <c r="H116" t="s">
        <v>41</v>
      </c>
      <c r="I116">
        <v>151</v>
      </c>
      <c r="J116">
        <v>3</v>
      </c>
      <c r="K116" t="s">
        <v>42</v>
      </c>
      <c r="L116">
        <v>45</v>
      </c>
      <c r="M116">
        <v>2</v>
      </c>
      <c r="N116">
        <v>2</v>
      </c>
      <c r="O116" t="s">
        <v>55</v>
      </c>
      <c r="P116">
        <v>2</v>
      </c>
      <c r="Q116" t="s">
        <v>74</v>
      </c>
      <c r="R116">
        <v>4505</v>
      </c>
      <c r="S116">
        <v>15000</v>
      </c>
      <c r="T116">
        <v>6</v>
      </c>
      <c r="U116" t="s">
        <v>51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  <c r="AG116" t="s">
        <v>67</v>
      </c>
      <c r="AH116" t="s">
        <v>46</v>
      </c>
      <c r="AI116">
        <v>0</v>
      </c>
      <c r="AJ116" t="s">
        <v>65</v>
      </c>
      <c r="AK116" t="s">
        <v>68</v>
      </c>
      <c r="AL116" t="s">
        <v>60</v>
      </c>
      <c r="AM116" t="s">
        <v>61</v>
      </c>
      <c r="AN116">
        <f t="shared" si="1"/>
        <v>3</v>
      </c>
    </row>
    <row r="117" spans="1:40">
      <c r="A117">
        <v>37</v>
      </c>
      <c r="B117" t="s">
        <v>51</v>
      </c>
      <c r="C117" t="s">
        <v>39</v>
      </c>
      <c r="D117">
        <v>1189</v>
      </c>
      <c r="E117" t="s">
        <v>40</v>
      </c>
      <c r="F117">
        <v>3</v>
      </c>
      <c r="G117">
        <v>3</v>
      </c>
      <c r="H117" t="s">
        <v>41</v>
      </c>
      <c r="I117">
        <v>152</v>
      </c>
      <c r="J117">
        <v>3</v>
      </c>
      <c r="K117" t="s">
        <v>54</v>
      </c>
      <c r="L117">
        <v>87</v>
      </c>
      <c r="M117">
        <v>3</v>
      </c>
      <c r="N117">
        <v>3</v>
      </c>
      <c r="O117" t="s">
        <v>43</v>
      </c>
      <c r="P117">
        <v>4</v>
      </c>
      <c r="Q117" t="s">
        <v>44</v>
      </c>
      <c r="R117">
        <v>7428</v>
      </c>
      <c r="S117">
        <v>14506</v>
      </c>
      <c r="T117">
        <v>2</v>
      </c>
      <c r="U117" t="s">
        <v>51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  <c r="AG117" t="s">
        <v>45</v>
      </c>
      <c r="AH117" t="s">
        <v>46</v>
      </c>
      <c r="AI117">
        <v>0</v>
      </c>
      <c r="AJ117" t="s">
        <v>65</v>
      </c>
      <c r="AK117" t="s">
        <v>72</v>
      </c>
      <c r="AL117" t="s">
        <v>49</v>
      </c>
      <c r="AM117" t="s">
        <v>61</v>
      </c>
      <c r="AN117">
        <f t="shared" si="1"/>
        <v>-2</v>
      </c>
    </row>
    <row r="118" spans="1:40">
      <c r="A118">
        <v>34</v>
      </c>
      <c r="B118" t="s">
        <v>51</v>
      </c>
      <c r="C118" t="s">
        <v>39</v>
      </c>
      <c r="D118">
        <v>1354</v>
      </c>
      <c r="E118" t="s">
        <v>53</v>
      </c>
      <c r="F118">
        <v>5</v>
      </c>
      <c r="G118">
        <v>3</v>
      </c>
      <c r="H118" t="s">
        <v>69</v>
      </c>
      <c r="I118">
        <v>153</v>
      </c>
      <c r="J118">
        <v>3</v>
      </c>
      <c r="K118" t="s">
        <v>42</v>
      </c>
      <c r="L118">
        <v>45</v>
      </c>
      <c r="M118">
        <v>2</v>
      </c>
      <c r="N118">
        <v>3</v>
      </c>
      <c r="O118" t="s">
        <v>79</v>
      </c>
      <c r="P118">
        <v>1</v>
      </c>
      <c r="Q118" t="s">
        <v>44</v>
      </c>
      <c r="R118">
        <v>11631</v>
      </c>
      <c r="S118">
        <v>5615</v>
      </c>
      <c r="T118">
        <v>2</v>
      </c>
      <c r="U118" t="s">
        <v>51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  <c r="AG118" t="s">
        <v>67</v>
      </c>
      <c r="AH118" t="s">
        <v>81</v>
      </c>
      <c r="AI118">
        <v>0</v>
      </c>
      <c r="AJ118" t="s">
        <v>80</v>
      </c>
      <c r="AK118" t="s">
        <v>72</v>
      </c>
      <c r="AL118" t="s">
        <v>73</v>
      </c>
      <c r="AM118" t="s">
        <v>61</v>
      </c>
      <c r="AN118">
        <f t="shared" si="1"/>
        <v>11</v>
      </c>
    </row>
    <row r="119" spans="1:40">
      <c r="A119">
        <v>36</v>
      </c>
      <c r="B119" t="s">
        <v>51</v>
      </c>
      <c r="C119" t="s">
        <v>52</v>
      </c>
      <c r="D119">
        <v>1467</v>
      </c>
      <c r="E119" t="s">
        <v>40</v>
      </c>
      <c r="F119">
        <v>11</v>
      </c>
      <c r="G119">
        <v>2</v>
      </c>
      <c r="H119" t="s">
        <v>86</v>
      </c>
      <c r="I119">
        <v>154</v>
      </c>
      <c r="J119">
        <v>2</v>
      </c>
      <c r="K119" t="s">
        <v>42</v>
      </c>
      <c r="L119">
        <v>92</v>
      </c>
      <c r="M119">
        <v>3</v>
      </c>
      <c r="N119">
        <v>3</v>
      </c>
      <c r="O119" t="s">
        <v>43</v>
      </c>
      <c r="P119">
        <v>4</v>
      </c>
      <c r="Q119" t="s">
        <v>56</v>
      </c>
      <c r="R119">
        <v>9738</v>
      </c>
      <c r="S119">
        <v>22952</v>
      </c>
      <c r="T119">
        <v>0</v>
      </c>
      <c r="U119" t="s">
        <v>51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  <c r="AG119" t="s">
        <v>45</v>
      </c>
      <c r="AH119" t="s">
        <v>46</v>
      </c>
      <c r="AI119">
        <v>0</v>
      </c>
      <c r="AJ119" t="s">
        <v>58</v>
      </c>
      <c r="AK119" t="s">
        <v>48</v>
      </c>
      <c r="AL119" t="s">
        <v>49</v>
      </c>
      <c r="AM119" t="s">
        <v>61</v>
      </c>
      <c r="AN119">
        <f t="shared" si="1"/>
        <v>-1</v>
      </c>
    </row>
    <row r="120" spans="1:40">
      <c r="A120">
        <v>36</v>
      </c>
      <c r="B120" t="s">
        <v>51</v>
      </c>
      <c r="C120" t="s">
        <v>39</v>
      </c>
      <c r="D120">
        <v>922</v>
      </c>
      <c r="E120" t="s">
        <v>53</v>
      </c>
      <c r="F120">
        <v>3</v>
      </c>
      <c r="G120">
        <v>2</v>
      </c>
      <c r="H120" t="s">
        <v>41</v>
      </c>
      <c r="I120">
        <v>155</v>
      </c>
      <c r="J120">
        <v>1</v>
      </c>
      <c r="K120" t="s">
        <v>42</v>
      </c>
      <c r="L120">
        <v>39</v>
      </c>
      <c r="M120">
        <v>3</v>
      </c>
      <c r="N120">
        <v>1</v>
      </c>
      <c r="O120" t="s">
        <v>63</v>
      </c>
      <c r="P120">
        <v>4</v>
      </c>
      <c r="Q120" t="s">
        <v>74</v>
      </c>
      <c r="R120">
        <v>2835</v>
      </c>
      <c r="S120">
        <v>2561</v>
      </c>
      <c r="T120">
        <v>5</v>
      </c>
      <c r="U120" t="s">
        <v>51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  <c r="AG120" t="s">
        <v>45</v>
      </c>
      <c r="AH120" t="s">
        <v>64</v>
      </c>
      <c r="AI120">
        <v>0</v>
      </c>
      <c r="AJ120" t="s">
        <v>65</v>
      </c>
      <c r="AK120" t="s">
        <v>48</v>
      </c>
      <c r="AL120" t="s">
        <v>49</v>
      </c>
      <c r="AM120" t="s">
        <v>61</v>
      </c>
      <c r="AN120">
        <f t="shared" si="1"/>
        <v>-3</v>
      </c>
    </row>
    <row r="121" spans="1:40">
      <c r="A121">
        <v>43</v>
      </c>
      <c r="B121" t="s">
        <v>51</v>
      </c>
      <c r="C121" t="s">
        <v>52</v>
      </c>
      <c r="D121">
        <v>394</v>
      </c>
      <c r="E121" t="s">
        <v>40</v>
      </c>
      <c r="F121">
        <v>26</v>
      </c>
      <c r="G121">
        <v>2</v>
      </c>
      <c r="H121" t="s">
        <v>41</v>
      </c>
      <c r="I121">
        <v>158</v>
      </c>
      <c r="J121">
        <v>3</v>
      </c>
      <c r="K121" t="s">
        <v>54</v>
      </c>
      <c r="L121">
        <v>92</v>
      </c>
      <c r="M121">
        <v>3</v>
      </c>
      <c r="N121">
        <v>4</v>
      </c>
      <c r="O121" t="s">
        <v>79</v>
      </c>
      <c r="P121">
        <v>4</v>
      </c>
      <c r="Q121" t="s">
        <v>56</v>
      </c>
      <c r="R121">
        <v>16959</v>
      </c>
      <c r="S121">
        <v>19494</v>
      </c>
      <c r="T121">
        <v>1</v>
      </c>
      <c r="U121" t="s">
        <v>38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  <c r="AG121" t="s">
        <v>45</v>
      </c>
      <c r="AH121" t="s">
        <v>46</v>
      </c>
      <c r="AI121">
        <v>0</v>
      </c>
      <c r="AJ121" t="s">
        <v>80</v>
      </c>
      <c r="AK121" t="s">
        <v>48</v>
      </c>
      <c r="AL121" t="s">
        <v>49</v>
      </c>
      <c r="AM121" t="s">
        <v>85</v>
      </c>
      <c r="AN121">
        <f t="shared" si="1"/>
        <v>-1</v>
      </c>
    </row>
    <row r="122" spans="1:40">
      <c r="A122">
        <v>30</v>
      </c>
      <c r="B122" t="s">
        <v>51</v>
      </c>
      <c r="C122" t="s">
        <v>52</v>
      </c>
      <c r="D122">
        <v>1312</v>
      </c>
      <c r="E122" t="s">
        <v>53</v>
      </c>
      <c r="F122">
        <v>23</v>
      </c>
      <c r="G122">
        <v>3</v>
      </c>
      <c r="H122" t="s">
        <v>41</v>
      </c>
      <c r="I122">
        <v>159</v>
      </c>
      <c r="J122">
        <v>1</v>
      </c>
      <c r="K122" t="s">
        <v>54</v>
      </c>
      <c r="L122">
        <v>96</v>
      </c>
      <c r="M122">
        <v>1</v>
      </c>
      <c r="N122">
        <v>1</v>
      </c>
      <c r="O122" t="s">
        <v>55</v>
      </c>
      <c r="P122">
        <v>3</v>
      </c>
      <c r="Q122" t="s">
        <v>74</v>
      </c>
      <c r="R122">
        <v>2613</v>
      </c>
      <c r="S122">
        <v>22310</v>
      </c>
      <c r="T122">
        <v>1</v>
      </c>
      <c r="U122" t="s">
        <v>51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  <c r="AG122" t="s">
        <v>67</v>
      </c>
      <c r="AH122" t="s">
        <v>46</v>
      </c>
      <c r="AI122">
        <v>0</v>
      </c>
      <c r="AJ122" t="s">
        <v>47</v>
      </c>
      <c r="AK122" t="s">
        <v>72</v>
      </c>
      <c r="AL122" t="s">
        <v>66</v>
      </c>
      <c r="AM122" t="s">
        <v>70</v>
      </c>
      <c r="AN122">
        <f t="shared" si="1"/>
        <v>2</v>
      </c>
    </row>
    <row r="123" spans="1:40">
      <c r="A123">
        <v>33</v>
      </c>
      <c r="B123" t="s">
        <v>51</v>
      </c>
      <c r="C123" t="s">
        <v>77</v>
      </c>
      <c r="D123">
        <v>750</v>
      </c>
      <c r="E123" t="s">
        <v>40</v>
      </c>
      <c r="F123">
        <v>22</v>
      </c>
      <c r="G123">
        <v>2</v>
      </c>
      <c r="H123" t="s">
        <v>84</v>
      </c>
      <c r="I123">
        <v>160</v>
      </c>
      <c r="J123">
        <v>3</v>
      </c>
      <c r="K123" t="s">
        <v>54</v>
      </c>
      <c r="L123">
        <v>95</v>
      </c>
      <c r="M123">
        <v>3</v>
      </c>
      <c r="N123">
        <v>2</v>
      </c>
      <c r="O123" t="s">
        <v>43</v>
      </c>
      <c r="P123">
        <v>2</v>
      </c>
      <c r="Q123" t="s">
        <v>56</v>
      </c>
      <c r="R123">
        <v>6146</v>
      </c>
      <c r="S123">
        <v>15480</v>
      </c>
      <c r="T123">
        <v>0</v>
      </c>
      <c r="U123" t="s">
        <v>51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  <c r="AG123" t="s">
        <v>67</v>
      </c>
      <c r="AH123" t="s">
        <v>46</v>
      </c>
      <c r="AI123">
        <v>0</v>
      </c>
      <c r="AJ123" t="s">
        <v>58</v>
      </c>
      <c r="AK123" t="s">
        <v>48</v>
      </c>
      <c r="AL123" t="s">
        <v>60</v>
      </c>
      <c r="AM123" t="s">
        <v>85</v>
      </c>
      <c r="AN123">
        <f t="shared" si="1"/>
        <v>1</v>
      </c>
    </row>
    <row r="124" spans="1:40">
      <c r="A124">
        <v>56</v>
      </c>
      <c r="B124" t="s">
        <v>38</v>
      </c>
      <c r="C124" t="s">
        <v>39</v>
      </c>
      <c r="D124">
        <v>441</v>
      </c>
      <c r="E124" t="s">
        <v>53</v>
      </c>
      <c r="F124">
        <v>14</v>
      </c>
      <c r="G124">
        <v>4</v>
      </c>
      <c r="H124" t="s">
        <v>41</v>
      </c>
      <c r="I124">
        <v>161</v>
      </c>
      <c r="J124">
        <v>2</v>
      </c>
      <c r="K124" t="s">
        <v>42</v>
      </c>
      <c r="L124">
        <v>72</v>
      </c>
      <c r="M124">
        <v>3</v>
      </c>
      <c r="N124">
        <v>1</v>
      </c>
      <c r="O124" t="s">
        <v>55</v>
      </c>
      <c r="P124">
        <v>2</v>
      </c>
      <c r="Q124" t="s">
        <v>56</v>
      </c>
      <c r="R124">
        <v>4963</v>
      </c>
      <c r="S124">
        <v>4510</v>
      </c>
      <c r="T124">
        <v>9</v>
      </c>
      <c r="U124" t="s">
        <v>38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  <c r="AG124" t="s">
        <v>57</v>
      </c>
      <c r="AH124" t="s">
        <v>81</v>
      </c>
      <c r="AI124">
        <v>1</v>
      </c>
      <c r="AJ124" t="s">
        <v>65</v>
      </c>
      <c r="AK124" t="s">
        <v>68</v>
      </c>
      <c r="AL124" t="s">
        <v>60</v>
      </c>
      <c r="AM124" t="s">
        <v>61</v>
      </c>
      <c r="AN124">
        <f t="shared" si="1"/>
        <v>7</v>
      </c>
    </row>
    <row r="125" spans="1:40">
      <c r="A125">
        <v>51</v>
      </c>
      <c r="B125" t="s">
        <v>51</v>
      </c>
      <c r="C125" t="s">
        <v>39</v>
      </c>
      <c r="D125">
        <v>684</v>
      </c>
      <c r="E125" t="s">
        <v>53</v>
      </c>
      <c r="F125">
        <v>6</v>
      </c>
      <c r="G125">
        <v>3</v>
      </c>
      <c r="H125" t="s">
        <v>41</v>
      </c>
      <c r="I125">
        <v>162</v>
      </c>
      <c r="J125">
        <v>1</v>
      </c>
      <c r="K125" t="s">
        <v>54</v>
      </c>
      <c r="L125">
        <v>51</v>
      </c>
      <c r="M125">
        <v>3</v>
      </c>
      <c r="N125">
        <v>5</v>
      </c>
      <c r="O125" t="s">
        <v>83</v>
      </c>
      <c r="P125">
        <v>3</v>
      </c>
      <c r="Q125" t="s">
        <v>44</v>
      </c>
      <c r="R125">
        <v>19537</v>
      </c>
      <c r="S125">
        <v>6462</v>
      </c>
      <c r="T125">
        <v>7</v>
      </c>
      <c r="U125" t="s">
        <v>51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  <c r="AG125" t="s">
        <v>57</v>
      </c>
      <c r="AH125" t="s">
        <v>71</v>
      </c>
      <c r="AI125">
        <v>0</v>
      </c>
      <c r="AJ125" t="s">
        <v>80</v>
      </c>
      <c r="AK125" t="s">
        <v>72</v>
      </c>
      <c r="AL125" t="s">
        <v>66</v>
      </c>
      <c r="AM125" t="s">
        <v>61</v>
      </c>
      <c r="AN125">
        <f t="shared" si="1"/>
        <v>15</v>
      </c>
    </row>
    <row r="126" spans="1:40">
      <c r="A126">
        <v>31</v>
      </c>
      <c r="B126" t="s">
        <v>38</v>
      </c>
      <c r="C126" t="s">
        <v>39</v>
      </c>
      <c r="D126">
        <v>249</v>
      </c>
      <c r="E126" t="s">
        <v>40</v>
      </c>
      <c r="F126">
        <v>6</v>
      </c>
      <c r="G126">
        <v>4</v>
      </c>
      <c r="H126" t="s">
        <v>41</v>
      </c>
      <c r="I126">
        <v>163</v>
      </c>
      <c r="J126">
        <v>2</v>
      </c>
      <c r="K126" t="s">
        <v>54</v>
      </c>
      <c r="L126">
        <v>76</v>
      </c>
      <c r="M126">
        <v>1</v>
      </c>
      <c r="N126">
        <v>2</v>
      </c>
      <c r="O126" t="s">
        <v>43</v>
      </c>
      <c r="P126">
        <v>3</v>
      </c>
      <c r="Q126" t="s">
        <v>56</v>
      </c>
      <c r="R126">
        <v>6172</v>
      </c>
      <c r="S126">
        <v>20739</v>
      </c>
      <c r="T126">
        <v>4</v>
      </c>
      <c r="U126" t="s">
        <v>38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  <c r="AG126" t="s">
        <v>67</v>
      </c>
      <c r="AH126" t="s">
        <v>46</v>
      </c>
      <c r="AI126">
        <v>1</v>
      </c>
      <c r="AJ126" t="s">
        <v>47</v>
      </c>
      <c r="AK126" t="s">
        <v>68</v>
      </c>
      <c r="AL126" t="s">
        <v>66</v>
      </c>
      <c r="AM126" t="s">
        <v>70</v>
      </c>
      <c r="AN126">
        <f t="shared" si="1"/>
        <v>9</v>
      </c>
    </row>
    <row r="127" spans="1:40">
      <c r="A127">
        <v>26</v>
      </c>
      <c r="B127" t="s">
        <v>51</v>
      </c>
      <c r="C127" t="s">
        <v>39</v>
      </c>
      <c r="D127">
        <v>841</v>
      </c>
      <c r="E127" t="s">
        <v>53</v>
      </c>
      <c r="F127">
        <v>6</v>
      </c>
      <c r="G127">
        <v>3</v>
      </c>
      <c r="H127" t="s">
        <v>62</v>
      </c>
      <c r="I127">
        <v>164</v>
      </c>
      <c r="J127">
        <v>3</v>
      </c>
      <c r="K127" t="s">
        <v>42</v>
      </c>
      <c r="L127">
        <v>46</v>
      </c>
      <c r="M127">
        <v>2</v>
      </c>
      <c r="N127">
        <v>1</v>
      </c>
      <c r="O127" t="s">
        <v>55</v>
      </c>
      <c r="P127">
        <v>2</v>
      </c>
      <c r="Q127" t="s">
        <v>56</v>
      </c>
      <c r="R127">
        <v>2368</v>
      </c>
      <c r="S127">
        <v>23300</v>
      </c>
      <c r="T127">
        <v>1</v>
      </c>
      <c r="U127" t="s">
        <v>51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  <c r="AG127" t="s">
        <v>67</v>
      </c>
      <c r="AH127" t="s">
        <v>46</v>
      </c>
      <c r="AI127">
        <v>0</v>
      </c>
      <c r="AJ127" t="s">
        <v>47</v>
      </c>
      <c r="AK127" t="s">
        <v>72</v>
      </c>
      <c r="AL127" t="s">
        <v>60</v>
      </c>
      <c r="AM127" t="s">
        <v>70</v>
      </c>
      <c r="AN127">
        <f t="shared" si="1"/>
        <v>9</v>
      </c>
    </row>
    <row r="128" spans="1:40">
      <c r="A128">
        <v>58</v>
      </c>
      <c r="B128" t="s">
        <v>38</v>
      </c>
      <c r="C128" t="s">
        <v>39</v>
      </c>
      <c r="D128">
        <v>147</v>
      </c>
      <c r="E128" t="s">
        <v>53</v>
      </c>
      <c r="F128">
        <v>23</v>
      </c>
      <c r="G128">
        <v>4</v>
      </c>
      <c r="H128" t="s">
        <v>69</v>
      </c>
      <c r="I128">
        <v>165</v>
      </c>
      <c r="J128">
        <v>4</v>
      </c>
      <c r="K128" t="s">
        <v>42</v>
      </c>
      <c r="L128">
        <v>94</v>
      </c>
      <c r="M128">
        <v>3</v>
      </c>
      <c r="N128">
        <v>3</v>
      </c>
      <c r="O128" t="s">
        <v>76</v>
      </c>
      <c r="P128">
        <v>4</v>
      </c>
      <c r="Q128" t="s">
        <v>56</v>
      </c>
      <c r="R128">
        <v>10312</v>
      </c>
      <c r="S128">
        <v>3465</v>
      </c>
      <c r="T128">
        <v>1</v>
      </c>
      <c r="U128" t="s">
        <v>51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  <c r="AG128" t="s">
        <v>57</v>
      </c>
      <c r="AH128" t="s">
        <v>81</v>
      </c>
      <c r="AI128">
        <v>1</v>
      </c>
      <c r="AJ128" t="s">
        <v>47</v>
      </c>
      <c r="AK128" t="s">
        <v>68</v>
      </c>
      <c r="AL128" t="s">
        <v>49</v>
      </c>
      <c r="AM128" t="s">
        <v>70</v>
      </c>
      <c r="AN128">
        <f t="shared" si="1"/>
        <v>14</v>
      </c>
    </row>
    <row r="129" spans="1:40">
      <c r="A129">
        <v>19</v>
      </c>
      <c r="B129" t="s">
        <v>38</v>
      </c>
      <c r="C129" t="s">
        <v>39</v>
      </c>
      <c r="D129">
        <v>528</v>
      </c>
      <c r="E129" t="s">
        <v>40</v>
      </c>
      <c r="F129">
        <v>22</v>
      </c>
      <c r="G129">
        <v>1</v>
      </c>
      <c r="H129" t="s">
        <v>84</v>
      </c>
      <c r="I129">
        <v>167</v>
      </c>
      <c r="J129">
        <v>4</v>
      </c>
      <c r="K129" t="s">
        <v>54</v>
      </c>
      <c r="L129">
        <v>50</v>
      </c>
      <c r="M129">
        <v>3</v>
      </c>
      <c r="N129">
        <v>1</v>
      </c>
      <c r="O129" t="s">
        <v>82</v>
      </c>
      <c r="P129">
        <v>3</v>
      </c>
      <c r="Q129" t="s">
        <v>44</v>
      </c>
      <c r="R129">
        <v>1675</v>
      </c>
      <c r="S129">
        <v>26820</v>
      </c>
      <c r="T129">
        <v>1</v>
      </c>
      <c r="U129" t="s">
        <v>38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  <c r="AG129" t="s">
        <v>78</v>
      </c>
      <c r="AH129" t="s">
        <v>46</v>
      </c>
      <c r="AI129">
        <v>1</v>
      </c>
      <c r="AJ129" t="s">
        <v>47</v>
      </c>
      <c r="AK129" t="s">
        <v>59</v>
      </c>
      <c r="AL129" t="s">
        <v>66</v>
      </c>
      <c r="AM129" t="s">
        <v>70</v>
      </c>
      <c r="AN129">
        <f t="shared" si="1"/>
        <v>2</v>
      </c>
    </row>
    <row r="130" spans="1:40">
      <c r="A130">
        <v>22</v>
      </c>
      <c r="B130" t="s">
        <v>51</v>
      </c>
      <c r="C130" t="s">
        <v>39</v>
      </c>
      <c r="D130">
        <v>594</v>
      </c>
      <c r="E130" t="s">
        <v>53</v>
      </c>
      <c r="F130">
        <v>2</v>
      </c>
      <c r="G130">
        <v>1</v>
      </c>
      <c r="H130" t="s">
        <v>86</v>
      </c>
      <c r="I130">
        <v>169</v>
      </c>
      <c r="J130">
        <v>3</v>
      </c>
      <c r="K130" t="s">
        <v>54</v>
      </c>
      <c r="L130">
        <v>100</v>
      </c>
      <c r="M130">
        <v>3</v>
      </c>
      <c r="N130">
        <v>1</v>
      </c>
      <c r="O130" t="s">
        <v>63</v>
      </c>
      <c r="P130">
        <v>4</v>
      </c>
      <c r="Q130" t="s">
        <v>56</v>
      </c>
      <c r="R130">
        <v>2523</v>
      </c>
      <c r="S130">
        <v>19299</v>
      </c>
      <c r="T130">
        <v>0</v>
      </c>
      <c r="U130" t="s">
        <v>51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  <c r="AG130" t="s">
        <v>78</v>
      </c>
      <c r="AH130" t="s">
        <v>46</v>
      </c>
      <c r="AI130">
        <v>0</v>
      </c>
      <c r="AJ130" t="s">
        <v>65</v>
      </c>
      <c r="AK130" t="s">
        <v>59</v>
      </c>
      <c r="AL130" t="s">
        <v>49</v>
      </c>
      <c r="AM130" t="s">
        <v>61</v>
      </c>
      <c r="AN130">
        <f t="shared" si="1"/>
        <v>-1</v>
      </c>
    </row>
    <row r="131" spans="1:40">
      <c r="A131">
        <v>49</v>
      </c>
      <c r="B131" t="s">
        <v>51</v>
      </c>
      <c r="C131" t="s">
        <v>39</v>
      </c>
      <c r="D131">
        <v>470</v>
      </c>
      <c r="E131" t="s">
        <v>53</v>
      </c>
      <c r="F131">
        <v>20</v>
      </c>
      <c r="G131">
        <v>4</v>
      </c>
      <c r="H131" t="s">
        <v>69</v>
      </c>
      <c r="I131">
        <v>170</v>
      </c>
      <c r="J131">
        <v>3</v>
      </c>
      <c r="K131" t="s">
        <v>42</v>
      </c>
      <c r="L131">
        <v>96</v>
      </c>
      <c r="M131">
        <v>3</v>
      </c>
      <c r="N131">
        <v>2</v>
      </c>
      <c r="O131" t="s">
        <v>75</v>
      </c>
      <c r="P131">
        <v>1</v>
      </c>
      <c r="Q131" t="s">
        <v>56</v>
      </c>
      <c r="R131">
        <v>6567</v>
      </c>
      <c r="S131">
        <v>5549</v>
      </c>
      <c r="T131">
        <v>1</v>
      </c>
      <c r="U131" t="s">
        <v>51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  <c r="AG131" t="s">
        <v>57</v>
      </c>
      <c r="AH131" t="s">
        <v>81</v>
      </c>
      <c r="AI131">
        <v>0</v>
      </c>
      <c r="AJ131" t="s">
        <v>47</v>
      </c>
      <c r="AK131" t="s">
        <v>68</v>
      </c>
      <c r="AL131" t="s">
        <v>73</v>
      </c>
      <c r="AM131" t="s">
        <v>70</v>
      </c>
      <c r="AN131">
        <f t="shared" ref="AN131:AN194" si="2">((3-P131)*3+((3-AB131)*2+AE131))</f>
        <v>13</v>
      </c>
    </row>
    <row r="132" spans="1:40">
      <c r="A132">
        <v>43</v>
      </c>
      <c r="B132" t="s">
        <v>51</v>
      </c>
      <c r="C132" t="s">
        <v>52</v>
      </c>
      <c r="D132">
        <v>957</v>
      </c>
      <c r="E132" t="s">
        <v>53</v>
      </c>
      <c r="F132">
        <v>28</v>
      </c>
      <c r="G132">
        <v>3</v>
      </c>
      <c r="H132" t="s">
        <v>69</v>
      </c>
      <c r="I132">
        <v>171</v>
      </c>
      <c r="J132">
        <v>2</v>
      </c>
      <c r="K132" t="s">
        <v>42</v>
      </c>
      <c r="L132">
        <v>72</v>
      </c>
      <c r="M132">
        <v>4</v>
      </c>
      <c r="N132">
        <v>1</v>
      </c>
      <c r="O132" t="s">
        <v>55</v>
      </c>
      <c r="P132">
        <v>3</v>
      </c>
      <c r="Q132" t="s">
        <v>44</v>
      </c>
      <c r="R132">
        <v>4739</v>
      </c>
      <c r="S132">
        <v>16090</v>
      </c>
      <c r="T132">
        <v>4</v>
      </c>
      <c r="U132" t="s">
        <v>51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  <c r="AG132" t="s">
        <v>45</v>
      </c>
      <c r="AH132" t="s">
        <v>46</v>
      </c>
      <c r="AI132">
        <v>0</v>
      </c>
      <c r="AJ132" t="s">
        <v>65</v>
      </c>
      <c r="AK132" t="s">
        <v>72</v>
      </c>
      <c r="AL132" t="s">
        <v>66</v>
      </c>
      <c r="AM132" t="s">
        <v>61</v>
      </c>
      <c r="AN132">
        <f t="shared" si="2"/>
        <v>1</v>
      </c>
    </row>
    <row r="133" spans="1:40">
      <c r="A133">
        <v>50</v>
      </c>
      <c r="B133" t="s">
        <v>51</v>
      </c>
      <c r="C133" t="s">
        <v>52</v>
      </c>
      <c r="D133">
        <v>809</v>
      </c>
      <c r="E133" t="s">
        <v>40</v>
      </c>
      <c r="F133">
        <v>12</v>
      </c>
      <c r="G133">
        <v>3</v>
      </c>
      <c r="H133" t="s">
        <v>84</v>
      </c>
      <c r="I133">
        <v>174</v>
      </c>
      <c r="J133">
        <v>3</v>
      </c>
      <c r="K133" t="s">
        <v>42</v>
      </c>
      <c r="L133">
        <v>77</v>
      </c>
      <c r="M133">
        <v>3</v>
      </c>
      <c r="N133">
        <v>3</v>
      </c>
      <c r="O133" t="s">
        <v>43</v>
      </c>
      <c r="P133">
        <v>4</v>
      </c>
      <c r="Q133" t="s">
        <v>44</v>
      </c>
      <c r="R133">
        <v>9208</v>
      </c>
      <c r="S133">
        <v>6645</v>
      </c>
      <c r="T133">
        <v>4</v>
      </c>
      <c r="U133" t="s">
        <v>51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  <c r="AG133" t="s">
        <v>57</v>
      </c>
      <c r="AH133" t="s">
        <v>71</v>
      </c>
      <c r="AI133">
        <v>0</v>
      </c>
      <c r="AJ133" t="s">
        <v>65</v>
      </c>
      <c r="AK133" t="s">
        <v>72</v>
      </c>
      <c r="AL133" t="s">
        <v>49</v>
      </c>
      <c r="AM133" t="s">
        <v>61</v>
      </c>
      <c r="AN133">
        <f t="shared" si="2"/>
        <v>-1</v>
      </c>
    </row>
    <row r="134" spans="1:40">
      <c r="A134">
        <v>31</v>
      </c>
      <c r="B134" t="s">
        <v>38</v>
      </c>
      <c r="C134" t="s">
        <v>39</v>
      </c>
      <c r="D134">
        <v>542</v>
      </c>
      <c r="E134" t="s">
        <v>40</v>
      </c>
      <c r="F134">
        <v>20</v>
      </c>
      <c r="G134">
        <v>3</v>
      </c>
      <c r="H134" t="s">
        <v>41</v>
      </c>
      <c r="I134">
        <v>175</v>
      </c>
      <c r="J134">
        <v>2</v>
      </c>
      <c r="K134" t="s">
        <v>42</v>
      </c>
      <c r="L134">
        <v>71</v>
      </c>
      <c r="M134">
        <v>1</v>
      </c>
      <c r="N134">
        <v>2</v>
      </c>
      <c r="O134" t="s">
        <v>43</v>
      </c>
      <c r="P134">
        <v>3</v>
      </c>
      <c r="Q134" t="s">
        <v>56</v>
      </c>
      <c r="R134">
        <v>4559</v>
      </c>
      <c r="S134">
        <v>24788</v>
      </c>
      <c r="T134">
        <v>3</v>
      </c>
      <c r="U134" t="s">
        <v>38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  <c r="AG134" t="s">
        <v>67</v>
      </c>
      <c r="AH134" t="s">
        <v>46</v>
      </c>
      <c r="AI134">
        <v>1</v>
      </c>
      <c r="AJ134" t="s">
        <v>65</v>
      </c>
      <c r="AK134" t="s">
        <v>72</v>
      </c>
      <c r="AL134" t="s">
        <v>66</v>
      </c>
      <c r="AM134" t="s">
        <v>61</v>
      </c>
      <c r="AN134">
        <f t="shared" si="2"/>
        <v>2</v>
      </c>
    </row>
    <row r="135" spans="1:40">
      <c r="A135">
        <v>41</v>
      </c>
      <c r="B135" t="s">
        <v>51</v>
      </c>
      <c r="C135" t="s">
        <v>39</v>
      </c>
      <c r="D135">
        <v>802</v>
      </c>
      <c r="E135" t="s">
        <v>40</v>
      </c>
      <c r="F135">
        <v>9</v>
      </c>
      <c r="G135">
        <v>1</v>
      </c>
      <c r="H135" t="s">
        <v>41</v>
      </c>
      <c r="I135">
        <v>176</v>
      </c>
      <c r="J135">
        <v>3</v>
      </c>
      <c r="K135" t="s">
        <v>54</v>
      </c>
      <c r="L135">
        <v>96</v>
      </c>
      <c r="M135">
        <v>3</v>
      </c>
      <c r="N135">
        <v>3</v>
      </c>
      <c r="O135" t="s">
        <v>43</v>
      </c>
      <c r="P135">
        <v>3</v>
      </c>
      <c r="Q135" t="s">
        <v>74</v>
      </c>
      <c r="R135">
        <v>8189</v>
      </c>
      <c r="S135">
        <v>21196</v>
      </c>
      <c r="T135">
        <v>3</v>
      </c>
      <c r="U135" t="s">
        <v>38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  <c r="AG135" t="s">
        <v>45</v>
      </c>
      <c r="AH135" t="s">
        <v>46</v>
      </c>
      <c r="AI135">
        <v>0</v>
      </c>
      <c r="AJ135" t="s">
        <v>58</v>
      </c>
      <c r="AK135" t="s">
        <v>59</v>
      </c>
      <c r="AL135" t="s">
        <v>66</v>
      </c>
      <c r="AM135" t="s">
        <v>61</v>
      </c>
      <c r="AN135">
        <f t="shared" si="2"/>
        <v>0</v>
      </c>
    </row>
    <row r="136" spans="1:40">
      <c r="A136">
        <v>26</v>
      </c>
      <c r="B136" t="s">
        <v>51</v>
      </c>
      <c r="C136" t="s">
        <v>39</v>
      </c>
      <c r="D136">
        <v>1355</v>
      </c>
      <c r="E136" t="s">
        <v>88</v>
      </c>
      <c r="F136">
        <v>25</v>
      </c>
      <c r="G136">
        <v>1</v>
      </c>
      <c r="H136" t="s">
        <v>41</v>
      </c>
      <c r="I136">
        <v>177</v>
      </c>
      <c r="J136">
        <v>3</v>
      </c>
      <c r="K136" t="s">
        <v>42</v>
      </c>
      <c r="L136">
        <v>61</v>
      </c>
      <c r="M136">
        <v>3</v>
      </c>
      <c r="N136">
        <v>1</v>
      </c>
      <c r="O136" t="s">
        <v>88</v>
      </c>
      <c r="P136">
        <v>3</v>
      </c>
      <c r="Q136" t="s">
        <v>56</v>
      </c>
      <c r="R136">
        <v>2942</v>
      </c>
      <c r="S136">
        <v>8916</v>
      </c>
      <c r="T136">
        <v>1</v>
      </c>
      <c r="U136" t="s">
        <v>51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  <c r="AG136" t="s">
        <v>67</v>
      </c>
      <c r="AH136" t="s">
        <v>71</v>
      </c>
      <c r="AI136">
        <v>0</v>
      </c>
      <c r="AJ136" t="s">
        <v>58</v>
      </c>
      <c r="AK136" t="s">
        <v>59</v>
      </c>
      <c r="AL136" t="s">
        <v>66</v>
      </c>
      <c r="AM136" t="s">
        <v>61</v>
      </c>
      <c r="AN136">
        <f t="shared" si="2"/>
        <v>5</v>
      </c>
    </row>
    <row r="137" spans="1:40">
      <c r="A137">
        <v>36</v>
      </c>
      <c r="B137" t="s">
        <v>51</v>
      </c>
      <c r="C137" t="s">
        <v>39</v>
      </c>
      <c r="D137">
        <v>216</v>
      </c>
      <c r="E137" t="s">
        <v>53</v>
      </c>
      <c r="F137">
        <v>6</v>
      </c>
      <c r="G137">
        <v>2</v>
      </c>
      <c r="H137" t="s">
        <v>69</v>
      </c>
      <c r="I137">
        <v>178</v>
      </c>
      <c r="J137">
        <v>2</v>
      </c>
      <c r="K137" t="s">
        <v>54</v>
      </c>
      <c r="L137">
        <v>84</v>
      </c>
      <c r="M137">
        <v>3</v>
      </c>
      <c r="N137">
        <v>2</v>
      </c>
      <c r="O137" t="s">
        <v>75</v>
      </c>
      <c r="P137">
        <v>2</v>
      </c>
      <c r="Q137" t="s">
        <v>74</v>
      </c>
      <c r="R137">
        <v>4941</v>
      </c>
      <c r="S137">
        <v>2819</v>
      </c>
      <c r="T137">
        <v>6</v>
      </c>
      <c r="U137" t="s">
        <v>51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  <c r="AG137" t="s">
        <v>45</v>
      </c>
      <c r="AH137" t="s">
        <v>64</v>
      </c>
      <c r="AI137">
        <v>0</v>
      </c>
      <c r="AJ137" t="s">
        <v>65</v>
      </c>
      <c r="AK137" t="s">
        <v>48</v>
      </c>
      <c r="AL137" t="s">
        <v>60</v>
      </c>
      <c r="AM137" t="s">
        <v>61</v>
      </c>
      <c r="AN137">
        <f t="shared" si="2"/>
        <v>3</v>
      </c>
    </row>
    <row r="138" spans="1:40">
      <c r="A138">
        <v>51</v>
      </c>
      <c r="B138" t="s">
        <v>38</v>
      </c>
      <c r="C138" t="s">
        <v>52</v>
      </c>
      <c r="D138">
        <v>1150</v>
      </c>
      <c r="E138" t="s">
        <v>53</v>
      </c>
      <c r="F138">
        <v>8</v>
      </c>
      <c r="G138">
        <v>4</v>
      </c>
      <c r="H138" t="s">
        <v>41</v>
      </c>
      <c r="I138">
        <v>179</v>
      </c>
      <c r="J138">
        <v>1</v>
      </c>
      <c r="K138" t="s">
        <v>54</v>
      </c>
      <c r="L138">
        <v>53</v>
      </c>
      <c r="M138">
        <v>1</v>
      </c>
      <c r="N138">
        <v>3</v>
      </c>
      <c r="O138" t="s">
        <v>75</v>
      </c>
      <c r="P138">
        <v>4</v>
      </c>
      <c r="Q138" t="s">
        <v>44</v>
      </c>
      <c r="R138">
        <v>10650</v>
      </c>
      <c r="S138">
        <v>25150</v>
      </c>
      <c r="T138">
        <v>2</v>
      </c>
      <c r="U138" t="s">
        <v>51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  <c r="AG138" t="s">
        <v>57</v>
      </c>
      <c r="AH138" t="s">
        <v>46</v>
      </c>
      <c r="AI138">
        <v>1</v>
      </c>
      <c r="AJ138" t="s">
        <v>65</v>
      </c>
      <c r="AK138" t="s">
        <v>68</v>
      </c>
      <c r="AL138" t="s">
        <v>49</v>
      </c>
      <c r="AM138" t="s">
        <v>61</v>
      </c>
      <c r="AN138">
        <f t="shared" si="2"/>
        <v>-3</v>
      </c>
    </row>
    <row r="139" spans="1:40">
      <c r="A139">
        <v>39</v>
      </c>
      <c r="B139" t="s">
        <v>51</v>
      </c>
      <c r="C139" t="s">
        <v>39</v>
      </c>
      <c r="D139">
        <v>1329</v>
      </c>
      <c r="E139" t="s">
        <v>40</v>
      </c>
      <c r="F139">
        <v>4</v>
      </c>
      <c r="G139">
        <v>4</v>
      </c>
      <c r="H139" t="s">
        <v>41</v>
      </c>
      <c r="I139">
        <v>182</v>
      </c>
      <c r="J139">
        <v>4</v>
      </c>
      <c r="K139" t="s">
        <v>42</v>
      </c>
      <c r="L139">
        <v>47</v>
      </c>
      <c r="M139">
        <v>2</v>
      </c>
      <c r="N139">
        <v>2</v>
      </c>
      <c r="O139" t="s">
        <v>43</v>
      </c>
      <c r="P139">
        <v>3</v>
      </c>
      <c r="Q139" t="s">
        <v>56</v>
      </c>
      <c r="R139">
        <v>5902</v>
      </c>
      <c r="S139">
        <v>14590</v>
      </c>
      <c r="T139">
        <v>4</v>
      </c>
      <c r="U139" t="s">
        <v>51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  <c r="AG139" t="s">
        <v>45</v>
      </c>
      <c r="AH139" t="s">
        <v>46</v>
      </c>
      <c r="AI139">
        <v>0</v>
      </c>
      <c r="AJ139" t="s">
        <v>80</v>
      </c>
      <c r="AK139" t="s">
        <v>68</v>
      </c>
      <c r="AL139" t="s">
        <v>66</v>
      </c>
      <c r="AM139" t="s">
        <v>85</v>
      </c>
      <c r="AN139">
        <f t="shared" si="2"/>
        <v>3</v>
      </c>
    </row>
    <row r="140" spans="1:40">
      <c r="A140">
        <v>25</v>
      </c>
      <c r="B140" t="s">
        <v>51</v>
      </c>
      <c r="C140" t="s">
        <v>39</v>
      </c>
      <c r="D140">
        <v>959</v>
      </c>
      <c r="E140" t="s">
        <v>40</v>
      </c>
      <c r="F140">
        <v>28</v>
      </c>
      <c r="G140">
        <v>3</v>
      </c>
      <c r="H140" t="s">
        <v>41</v>
      </c>
      <c r="I140">
        <v>183</v>
      </c>
      <c r="J140">
        <v>1</v>
      </c>
      <c r="K140" t="s">
        <v>54</v>
      </c>
      <c r="L140">
        <v>41</v>
      </c>
      <c r="M140">
        <v>2</v>
      </c>
      <c r="N140">
        <v>2</v>
      </c>
      <c r="O140" t="s">
        <v>43</v>
      </c>
      <c r="P140">
        <v>3</v>
      </c>
      <c r="Q140" t="s">
        <v>56</v>
      </c>
      <c r="R140">
        <v>8639</v>
      </c>
      <c r="S140">
        <v>24835</v>
      </c>
      <c r="T140">
        <v>2</v>
      </c>
      <c r="U140" t="s">
        <v>51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  <c r="AG140" t="s">
        <v>78</v>
      </c>
      <c r="AH140" t="s">
        <v>46</v>
      </c>
      <c r="AI140">
        <v>0</v>
      </c>
      <c r="AJ140" t="s">
        <v>65</v>
      </c>
      <c r="AK140" t="s">
        <v>72</v>
      </c>
      <c r="AL140" t="s">
        <v>66</v>
      </c>
      <c r="AM140" t="s">
        <v>61</v>
      </c>
      <c r="AN140">
        <f t="shared" si="2"/>
        <v>2</v>
      </c>
    </row>
    <row r="141" spans="1:40">
      <c r="A141">
        <v>30</v>
      </c>
      <c r="B141" t="s">
        <v>51</v>
      </c>
      <c r="C141" t="s">
        <v>39</v>
      </c>
      <c r="D141">
        <v>1240</v>
      </c>
      <c r="E141" t="s">
        <v>88</v>
      </c>
      <c r="F141">
        <v>9</v>
      </c>
      <c r="G141">
        <v>3</v>
      </c>
      <c r="H141" t="s">
        <v>88</v>
      </c>
      <c r="I141">
        <v>184</v>
      </c>
      <c r="J141">
        <v>3</v>
      </c>
      <c r="K141" t="s">
        <v>54</v>
      </c>
      <c r="L141">
        <v>48</v>
      </c>
      <c r="M141">
        <v>3</v>
      </c>
      <c r="N141">
        <v>2</v>
      </c>
      <c r="O141" t="s">
        <v>88</v>
      </c>
      <c r="P141">
        <v>4</v>
      </c>
      <c r="Q141" t="s">
        <v>56</v>
      </c>
      <c r="R141">
        <v>6347</v>
      </c>
      <c r="S141">
        <v>13982</v>
      </c>
      <c r="T141">
        <v>0</v>
      </c>
      <c r="U141" t="s">
        <v>38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  <c r="AG141" t="s">
        <v>67</v>
      </c>
      <c r="AH141" t="s">
        <v>46</v>
      </c>
      <c r="AI141">
        <v>0</v>
      </c>
      <c r="AJ141" t="s">
        <v>47</v>
      </c>
      <c r="AK141" t="s">
        <v>72</v>
      </c>
      <c r="AL141" t="s">
        <v>49</v>
      </c>
      <c r="AM141" t="s">
        <v>50</v>
      </c>
      <c r="AN141">
        <f t="shared" si="2"/>
        <v>5</v>
      </c>
    </row>
    <row r="142" spans="1:40">
      <c r="A142">
        <v>32</v>
      </c>
      <c r="B142" t="s">
        <v>38</v>
      </c>
      <c r="C142" t="s">
        <v>39</v>
      </c>
      <c r="D142">
        <v>1033</v>
      </c>
      <c r="E142" t="s">
        <v>53</v>
      </c>
      <c r="F142">
        <v>9</v>
      </c>
      <c r="G142">
        <v>3</v>
      </c>
      <c r="H142" t="s">
        <v>69</v>
      </c>
      <c r="I142">
        <v>190</v>
      </c>
      <c r="J142">
        <v>1</v>
      </c>
      <c r="K142" t="s">
        <v>42</v>
      </c>
      <c r="L142">
        <v>41</v>
      </c>
      <c r="M142">
        <v>3</v>
      </c>
      <c r="N142">
        <v>1</v>
      </c>
      <c r="O142" t="s">
        <v>63</v>
      </c>
      <c r="P142">
        <v>1</v>
      </c>
      <c r="Q142" t="s">
        <v>44</v>
      </c>
      <c r="R142">
        <v>4200</v>
      </c>
      <c r="S142">
        <v>10224</v>
      </c>
      <c r="T142">
        <v>7</v>
      </c>
      <c r="U142" t="s">
        <v>51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  <c r="AG142" t="s">
        <v>67</v>
      </c>
      <c r="AH142" t="s">
        <v>46</v>
      </c>
      <c r="AI142">
        <v>1</v>
      </c>
      <c r="AJ142" t="s">
        <v>65</v>
      </c>
      <c r="AK142" t="s">
        <v>72</v>
      </c>
      <c r="AL142" t="s">
        <v>73</v>
      </c>
      <c r="AM142" t="s">
        <v>85</v>
      </c>
      <c r="AN142">
        <f t="shared" si="2"/>
        <v>4</v>
      </c>
    </row>
    <row r="143" spans="1:40">
      <c r="A143">
        <v>45</v>
      </c>
      <c r="B143" t="s">
        <v>51</v>
      </c>
      <c r="C143" t="s">
        <v>39</v>
      </c>
      <c r="D143">
        <v>1316</v>
      </c>
      <c r="E143" t="s">
        <v>53</v>
      </c>
      <c r="F143">
        <v>29</v>
      </c>
      <c r="G143">
        <v>3</v>
      </c>
      <c r="H143" t="s">
        <v>69</v>
      </c>
      <c r="I143">
        <v>192</v>
      </c>
      <c r="J143">
        <v>3</v>
      </c>
      <c r="K143" t="s">
        <v>54</v>
      </c>
      <c r="L143">
        <v>83</v>
      </c>
      <c r="M143">
        <v>3</v>
      </c>
      <c r="N143">
        <v>1</v>
      </c>
      <c r="O143" t="s">
        <v>55</v>
      </c>
      <c r="P143">
        <v>4</v>
      </c>
      <c r="Q143" t="s">
        <v>44</v>
      </c>
      <c r="R143">
        <v>3452</v>
      </c>
      <c r="S143">
        <v>9752</v>
      </c>
      <c r="T143">
        <v>5</v>
      </c>
      <c r="U143" t="s">
        <v>51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  <c r="AG143" t="s">
        <v>45</v>
      </c>
      <c r="AH143" t="s">
        <v>71</v>
      </c>
      <c r="AI143">
        <v>0</v>
      </c>
      <c r="AJ143" t="s">
        <v>47</v>
      </c>
      <c r="AK143" t="s">
        <v>72</v>
      </c>
      <c r="AL143" t="s">
        <v>49</v>
      </c>
      <c r="AM143" t="s">
        <v>70</v>
      </c>
      <c r="AN143">
        <f t="shared" si="2"/>
        <v>-1</v>
      </c>
    </row>
    <row r="144" spans="1:40">
      <c r="A144">
        <v>38</v>
      </c>
      <c r="B144" t="s">
        <v>51</v>
      </c>
      <c r="C144" t="s">
        <v>39</v>
      </c>
      <c r="D144">
        <v>364</v>
      </c>
      <c r="E144" t="s">
        <v>53</v>
      </c>
      <c r="F144">
        <v>3</v>
      </c>
      <c r="G144">
        <v>5</v>
      </c>
      <c r="H144" t="s">
        <v>86</v>
      </c>
      <c r="I144">
        <v>193</v>
      </c>
      <c r="J144">
        <v>4</v>
      </c>
      <c r="K144" t="s">
        <v>42</v>
      </c>
      <c r="L144">
        <v>32</v>
      </c>
      <c r="M144">
        <v>3</v>
      </c>
      <c r="N144">
        <v>2</v>
      </c>
      <c r="O144" t="s">
        <v>55</v>
      </c>
      <c r="P144">
        <v>3</v>
      </c>
      <c r="Q144" t="s">
        <v>44</v>
      </c>
      <c r="R144">
        <v>4317</v>
      </c>
      <c r="S144">
        <v>2302</v>
      </c>
      <c r="T144">
        <v>3</v>
      </c>
      <c r="U144" t="s">
        <v>38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  <c r="AG144" t="s">
        <v>45</v>
      </c>
      <c r="AH144" t="s">
        <v>64</v>
      </c>
      <c r="AI144">
        <v>0</v>
      </c>
      <c r="AJ144" t="s">
        <v>65</v>
      </c>
      <c r="AK144" t="s">
        <v>87</v>
      </c>
      <c r="AL144" t="s">
        <v>66</v>
      </c>
      <c r="AM144" t="s">
        <v>61</v>
      </c>
      <c r="AN144">
        <f t="shared" si="2"/>
        <v>2</v>
      </c>
    </row>
    <row r="145" spans="1:40">
      <c r="A145">
        <v>30</v>
      </c>
      <c r="B145" t="s">
        <v>51</v>
      </c>
      <c r="C145" t="s">
        <v>39</v>
      </c>
      <c r="D145">
        <v>438</v>
      </c>
      <c r="E145" t="s">
        <v>53</v>
      </c>
      <c r="F145">
        <v>18</v>
      </c>
      <c r="G145">
        <v>3</v>
      </c>
      <c r="H145" t="s">
        <v>41</v>
      </c>
      <c r="I145">
        <v>194</v>
      </c>
      <c r="J145">
        <v>1</v>
      </c>
      <c r="K145" t="s">
        <v>42</v>
      </c>
      <c r="L145">
        <v>75</v>
      </c>
      <c r="M145">
        <v>3</v>
      </c>
      <c r="N145">
        <v>1</v>
      </c>
      <c r="O145" t="s">
        <v>55</v>
      </c>
      <c r="P145">
        <v>3</v>
      </c>
      <c r="Q145" t="s">
        <v>44</v>
      </c>
      <c r="R145">
        <v>2632</v>
      </c>
      <c r="S145">
        <v>23910</v>
      </c>
      <c r="T145">
        <v>1</v>
      </c>
      <c r="U145" t="s">
        <v>51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  <c r="AG145" t="s">
        <v>67</v>
      </c>
      <c r="AH145" t="s">
        <v>46</v>
      </c>
      <c r="AI145">
        <v>0</v>
      </c>
      <c r="AJ145" t="s">
        <v>47</v>
      </c>
      <c r="AK145" t="s">
        <v>72</v>
      </c>
      <c r="AL145" t="s">
        <v>66</v>
      </c>
      <c r="AM145" t="s">
        <v>70</v>
      </c>
      <c r="AN145">
        <f t="shared" si="2"/>
        <v>2</v>
      </c>
    </row>
    <row r="146" spans="1:40">
      <c r="A146">
        <v>32</v>
      </c>
      <c r="B146" t="s">
        <v>51</v>
      </c>
      <c r="C146" t="s">
        <v>52</v>
      </c>
      <c r="D146">
        <v>689</v>
      </c>
      <c r="E146" t="s">
        <v>40</v>
      </c>
      <c r="F146">
        <v>9</v>
      </c>
      <c r="G146">
        <v>2</v>
      </c>
      <c r="H146" t="s">
        <v>69</v>
      </c>
      <c r="I146">
        <v>195</v>
      </c>
      <c r="J146">
        <v>4</v>
      </c>
      <c r="K146" t="s">
        <v>54</v>
      </c>
      <c r="L146">
        <v>35</v>
      </c>
      <c r="M146">
        <v>1</v>
      </c>
      <c r="N146">
        <v>2</v>
      </c>
      <c r="O146" t="s">
        <v>43</v>
      </c>
      <c r="P146">
        <v>4</v>
      </c>
      <c r="Q146" t="s">
        <v>74</v>
      </c>
      <c r="R146">
        <v>4668</v>
      </c>
      <c r="S146">
        <v>22812</v>
      </c>
      <c r="T146">
        <v>0</v>
      </c>
      <c r="U146" t="s">
        <v>51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  <c r="AG146" t="s">
        <v>67</v>
      </c>
      <c r="AH146" t="s">
        <v>46</v>
      </c>
      <c r="AI146">
        <v>0</v>
      </c>
      <c r="AJ146" t="s">
        <v>58</v>
      </c>
      <c r="AK146" t="s">
        <v>48</v>
      </c>
      <c r="AL146" t="s">
        <v>49</v>
      </c>
      <c r="AM146" t="s">
        <v>85</v>
      </c>
      <c r="AN146">
        <f t="shared" si="2"/>
        <v>-5</v>
      </c>
    </row>
    <row r="147" spans="1:40">
      <c r="A147">
        <v>30</v>
      </c>
      <c r="B147" t="s">
        <v>51</v>
      </c>
      <c r="C147" t="s">
        <v>39</v>
      </c>
      <c r="D147">
        <v>201</v>
      </c>
      <c r="E147" t="s">
        <v>53</v>
      </c>
      <c r="F147">
        <v>5</v>
      </c>
      <c r="G147">
        <v>3</v>
      </c>
      <c r="H147" t="s">
        <v>86</v>
      </c>
      <c r="I147">
        <v>197</v>
      </c>
      <c r="J147">
        <v>4</v>
      </c>
      <c r="K147" t="s">
        <v>42</v>
      </c>
      <c r="L147">
        <v>84</v>
      </c>
      <c r="M147">
        <v>3</v>
      </c>
      <c r="N147">
        <v>1</v>
      </c>
      <c r="O147" t="s">
        <v>55</v>
      </c>
      <c r="P147">
        <v>1</v>
      </c>
      <c r="Q147" t="s">
        <v>74</v>
      </c>
      <c r="R147">
        <v>3204</v>
      </c>
      <c r="S147">
        <v>10415</v>
      </c>
      <c r="T147">
        <v>5</v>
      </c>
      <c r="U147" t="s">
        <v>51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  <c r="AG147" t="s">
        <v>67</v>
      </c>
      <c r="AH147" t="s">
        <v>46</v>
      </c>
      <c r="AI147">
        <v>0</v>
      </c>
      <c r="AJ147" t="s">
        <v>65</v>
      </c>
      <c r="AK147" t="s">
        <v>72</v>
      </c>
      <c r="AL147" t="s">
        <v>73</v>
      </c>
      <c r="AM147" t="s">
        <v>61</v>
      </c>
      <c r="AN147">
        <f t="shared" si="2"/>
        <v>8</v>
      </c>
    </row>
    <row r="148" spans="1:40">
      <c r="A148">
        <v>30</v>
      </c>
      <c r="B148" t="s">
        <v>51</v>
      </c>
      <c r="C148" t="s">
        <v>39</v>
      </c>
      <c r="D148">
        <v>1427</v>
      </c>
      <c r="E148" t="s">
        <v>53</v>
      </c>
      <c r="F148">
        <v>2</v>
      </c>
      <c r="G148">
        <v>1</v>
      </c>
      <c r="H148" t="s">
        <v>69</v>
      </c>
      <c r="I148">
        <v>198</v>
      </c>
      <c r="J148">
        <v>2</v>
      </c>
      <c r="K148" t="s">
        <v>54</v>
      </c>
      <c r="L148">
        <v>35</v>
      </c>
      <c r="M148">
        <v>2</v>
      </c>
      <c r="N148">
        <v>1</v>
      </c>
      <c r="O148" t="s">
        <v>63</v>
      </c>
      <c r="P148">
        <v>4</v>
      </c>
      <c r="Q148" t="s">
        <v>44</v>
      </c>
      <c r="R148">
        <v>2720</v>
      </c>
      <c r="S148">
        <v>11162</v>
      </c>
      <c r="T148">
        <v>0</v>
      </c>
      <c r="U148" t="s">
        <v>51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  <c r="AG148" t="s">
        <v>67</v>
      </c>
      <c r="AH148" t="s">
        <v>46</v>
      </c>
      <c r="AI148">
        <v>0</v>
      </c>
      <c r="AJ148" t="s">
        <v>65</v>
      </c>
      <c r="AK148" t="s">
        <v>59</v>
      </c>
      <c r="AL148" t="s">
        <v>49</v>
      </c>
      <c r="AM148" t="s">
        <v>61</v>
      </c>
      <c r="AN148">
        <f t="shared" si="2"/>
        <v>-2</v>
      </c>
    </row>
    <row r="149" spans="1:40">
      <c r="A149">
        <v>41</v>
      </c>
      <c r="B149" t="s">
        <v>51</v>
      </c>
      <c r="C149" t="s">
        <v>52</v>
      </c>
      <c r="D149">
        <v>857</v>
      </c>
      <c r="E149" t="s">
        <v>53</v>
      </c>
      <c r="F149">
        <v>10</v>
      </c>
      <c r="G149">
        <v>3</v>
      </c>
      <c r="H149" t="s">
        <v>41</v>
      </c>
      <c r="I149">
        <v>199</v>
      </c>
      <c r="J149">
        <v>4</v>
      </c>
      <c r="K149" t="s">
        <v>54</v>
      </c>
      <c r="L149">
        <v>91</v>
      </c>
      <c r="M149">
        <v>2</v>
      </c>
      <c r="N149">
        <v>4</v>
      </c>
      <c r="O149" t="s">
        <v>79</v>
      </c>
      <c r="P149">
        <v>1</v>
      </c>
      <c r="Q149" t="s">
        <v>74</v>
      </c>
      <c r="R149">
        <v>17181</v>
      </c>
      <c r="S149">
        <v>12888</v>
      </c>
      <c r="T149">
        <v>4</v>
      </c>
      <c r="U149" t="s">
        <v>51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  <c r="AG149" t="s">
        <v>45</v>
      </c>
      <c r="AH149" t="s">
        <v>46</v>
      </c>
      <c r="AI149">
        <v>0</v>
      </c>
      <c r="AJ149" t="s">
        <v>47</v>
      </c>
      <c r="AK149" t="s">
        <v>72</v>
      </c>
      <c r="AL149" t="s">
        <v>73</v>
      </c>
      <c r="AM149" t="s">
        <v>70</v>
      </c>
      <c r="AN149">
        <f t="shared" si="2"/>
        <v>15</v>
      </c>
    </row>
    <row r="150" spans="1:40">
      <c r="A150">
        <v>41</v>
      </c>
      <c r="B150" t="s">
        <v>51</v>
      </c>
      <c r="C150" t="s">
        <v>39</v>
      </c>
      <c r="D150">
        <v>933</v>
      </c>
      <c r="E150" t="s">
        <v>53</v>
      </c>
      <c r="F150">
        <v>9</v>
      </c>
      <c r="G150">
        <v>4</v>
      </c>
      <c r="H150" t="s">
        <v>41</v>
      </c>
      <c r="I150">
        <v>200</v>
      </c>
      <c r="J150">
        <v>3</v>
      </c>
      <c r="K150" t="s">
        <v>54</v>
      </c>
      <c r="L150">
        <v>94</v>
      </c>
      <c r="M150">
        <v>3</v>
      </c>
      <c r="N150">
        <v>1</v>
      </c>
      <c r="O150" t="s">
        <v>63</v>
      </c>
      <c r="P150">
        <v>1</v>
      </c>
      <c r="Q150" t="s">
        <v>56</v>
      </c>
      <c r="R150">
        <v>2238</v>
      </c>
      <c r="S150">
        <v>6961</v>
      </c>
      <c r="T150">
        <v>2</v>
      </c>
      <c r="U150" t="s">
        <v>51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  <c r="AG150" t="s">
        <v>45</v>
      </c>
      <c r="AH150" t="s">
        <v>71</v>
      </c>
      <c r="AI150">
        <v>0</v>
      </c>
      <c r="AJ150" t="s">
        <v>65</v>
      </c>
      <c r="AK150" t="s">
        <v>68</v>
      </c>
      <c r="AL150" t="s">
        <v>73</v>
      </c>
      <c r="AM150" t="s">
        <v>61</v>
      </c>
      <c r="AN150">
        <f t="shared" si="2"/>
        <v>7</v>
      </c>
    </row>
    <row r="151" spans="1:40">
      <c r="A151">
        <v>19</v>
      </c>
      <c r="B151" t="s">
        <v>51</v>
      </c>
      <c r="C151" t="s">
        <v>39</v>
      </c>
      <c r="D151">
        <v>1181</v>
      </c>
      <c r="E151" t="s">
        <v>53</v>
      </c>
      <c r="F151">
        <v>3</v>
      </c>
      <c r="G151">
        <v>1</v>
      </c>
      <c r="H151" t="s">
        <v>69</v>
      </c>
      <c r="I151">
        <v>201</v>
      </c>
      <c r="J151">
        <v>2</v>
      </c>
      <c r="K151" t="s">
        <v>42</v>
      </c>
      <c r="L151">
        <v>79</v>
      </c>
      <c r="M151">
        <v>3</v>
      </c>
      <c r="N151">
        <v>1</v>
      </c>
      <c r="O151" t="s">
        <v>63</v>
      </c>
      <c r="P151">
        <v>2</v>
      </c>
      <c r="Q151" t="s">
        <v>44</v>
      </c>
      <c r="R151">
        <v>1483</v>
      </c>
      <c r="S151">
        <v>16102</v>
      </c>
      <c r="T151">
        <v>1</v>
      </c>
      <c r="U151" t="s">
        <v>51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  <c r="AG151" t="s">
        <v>78</v>
      </c>
      <c r="AH151" t="s">
        <v>46</v>
      </c>
      <c r="AI151">
        <v>0</v>
      </c>
      <c r="AJ151" t="s">
        <v>65</v>
      </c>
      <c r="AK151" t="s">
        <v>59</v>
      </c>
      <c r="AL151" t="s">
        <v>60</v>
      </c>
      <c r="AM151" t="s">
        <v>61</v>
      </c>
      <c r="AN151">
        <f t="shared" si="2"/>
        <v>3</v>
      </c>
    </row>
    <row r="152" spans="1:40">
      <c r="A152">
        <v>40</v>
      </c>
      <c r="B152" t="s">
        <v>51</v>
      </c>
      <c r="C152" t="s">
        <v>52</v>
      </c>
      <c r="D152">
        <v>1395</v>
      </c>
      <c r="E152" t="s">
        <v>53</v>
      </c>
      <c r="F152">
        <v>26</v>
      </c>
      <c r="G152">
        <v>3</v>
      </c>
      <c r="H152" t="s">
        <v>69</v>
      </c>
      <c r="I152">
        <v>202</v>
      </c>
      <c r="J152">
        <v>2</v>
      </c>
      <c r="K152" t="s">
        <v>42</v>
      </c>
      <c r="L152">
        <v>54</v>
      </c>
      <c r="M152">
        <v>3</v>
      </c>
      <c r="N152">
        <v>2</v>
      </c>
      <c r="O152" t="s">
        <v>55</v>
      </c>
      <c r="P152">
        <v>2</v>
      </c>
      <c r="Q152" t="s">
        <v>74</v>
      </c>
      <c r="R152">
        <v>5605</v>
      </c>
      <c r="S152">
        <v>8504</v>
      </c>
      <c r="T152">
        <v>1</v>
      </c>
      <c r="U152" t="s">
        <v>51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  <c r="AG152" t="s">
        <v>45</v>
      </c>
      <c r="AH152" t="s">
        <v>71</v>
      </c>
      <c r="AI152">
        <v>0</v>
      </c>
      <c r="AJ152" t="s">
        <v>80</v>
      </c>
      <c r="AK152" t="s">
        <v>72</v>
      </c>
      <c r="AL152" t="s">
        <v>60</v>
      </c>
      <c r="AM152" t="s">
        <v>61</v>
      </c>
      <c r="AN152">
        <f t="shared" si="2"/>
        <v>5</v>
      </c>
    </row>
    <row r="153" spans="1:40">
      <c r="A153">
        <v>35</v>
      </c>
      <c r="B153" t="s">
        <v>51</v>
      </c>
      <c r="C153" t="s">
        <v>39</v>
      </c>
      <c r="D153">
        <v>662</v>
      </c>
      <c r="E153" t="s">
        <v>40</v>
      </c>
      <c r="F153">
        <v>1</v>
      </c>
      <c r="G153">
        <v>5</v>
      </c>
      <c r="H153" t="s">
        <v>84</v>
      </c>
      <c r="I153">
        <v>204</v>
      </c>
      <c r="J153">
        <v>3</v>
      </c>
      <c r="K153" t="s">
        <v>54</v>
      </c>
      <c r="L153">
        <v>94</v>
      </c>
      <c r="M153">
        <v>3</v>
      </c>
      <c r="N153">
        <v>3</v>
      </c>
      <c r="O153" t="s">
        <v>43</v>
      </c>
      <c r="P153">
        <v>2</v>
      </c>
      <c r="Q153" t="s">
        <v>56</v>
      </c>
      <c r="R153">
        <v>7295</v>
      </c>
      <c r="S153">
        <v>11439</v>
      </c>
      <c r="T153">
        <v>1</v>
      </c>
      <c r="U153" t="s">
        <v>51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  <c r="AG153" t="s">
        <v>67</v>
      </c>
      <c r="AH153" t="s">
        <v>46</v>
      </c>
      <c r="AI153">
        <v>0</v>
      </c>
      <c r="AJ153" t="s">
        <v>58</v>
      </c>
      <c r="AK153" t="s">
        <v>87</v>
      </c>
      <c r="AL153" t="s">
        <v>60</v>
      </c>
      <c r="AM153" t="s">
        <v>61</v>
      </c>
      <c r="AN153">
        <f t="shared" si="2"/>
        <v>3</v>
      </c>
    </row>
    <row r="154" spans="1:40">
      <c r="A154">
        <v>53</v>
      </c>
      <c r="B154" t="s">
        <v>51</v>
      </c>
      <c r="C154" t="s">
        <v>39</v>
      </c>
      <c r="D154">
        <v>1436</v>
      </c>
      <c r="E154" t="s">
        <v>40</v>
      </c>
      <c r="F154">
        <v>6</v>
      </c>
      <c r="G154">
        <v>2</v>
      </c>
      <c r="H154" t="s">
        <v>84</v>
      </c>
      <c r="I154">
        <v>205</v>
      </c>
      <c r="J154">
        <v>2</v>
      </c>
      <c r="K154" t="s">
        <v>54</v>
      </c>
      <c r="L154">
        <v>34</v>
      </c>
      <c r="M154">
        <v>3</v>
      </c>
      <c r="N154">
        <v>2</v>
      </c>
      <c r="O154" t="s">
        <v>82</v>
      </c>
      <c r="P154">
        <v>3</v>
      </c>
      <c r="Q154" t="s">
        <v>56</v>
      </c>
      <c r="R154">
        <v>2306</v>
      </c>
      <c r="S154">
        <v>16047</v>
      </c>
      <c r="T154">
        <v>2</v>
      </c>
      <c r="U154" t="s">
        <v>38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  <c r="AG154" t="s">
        <v>57</v>
      </c>
      <c r="AH154" t="s">
        <v>46</v>
      </c>
      <c r="AI154">
        <v>0</v>
      </c>
      <c r="AJ154" t="s">
        <v>47</v>
      </c>
      <c r="AK154" t="s">
        <v>48</v>
      </c>
      <c r="AL154" t="s">
        <v>66</v>
      </c>
      <c r="AM154" t="s">
        <v>50</v>
      </c>
      <c r="AN154">
        <f t="shared" si="2"/>
        <v>8</v>
      </c>
    </row>
    <row r="155" spans="1:40">
      <c r="A155">
        <v>45</v>
      </c>
      <c r="B155" t="s">
        <v>51</v>
      </c>
      <c r="C155" t="s">
        <v>39</v>
      </c>
      <c r="D155">
        <v>194</v>
      </c>
      <c r="E155" t="s">
        <v>53</v>
      </c>
      <c r="F155">
        <v>9</v>
      </c>
      <c r="G155">
        <v>3</v>
      </c>
      <c r="H155" t="s">
        <v>41</v>
      </c>
      <c r="I155">
        <v>206</v>
      </c>
      <c r="J155">
        <v>2</v>
      </c>
      <c r="K155" t="s">
        <v>54</v>
      </c>
      <c r="L155">
        <v>60</v>
      </c>
      <c r="M155">
        <v>3</v>
      </c>
      <c r="N155">
        <v>2</v>
      </c>
      <c r="O155" t="s">
        <v>63</v>
      </c>
      <c r="P155">
        <v>2</v>
      </c>
      <c r="Q155" t="s">
        <v>74</v>
      </c>
      <c r="R155">
        <v>2348</v>
      </c>
      <c r="S155">
        <v>10901</v>
      </c>
      <c r="T155">
        <v>8</v>
      </c>
      <c r="U155" t="s">
        <v>51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  <c r="AG155" t="s">
        <v>45</v>
      </c>
      <c r="AH155" t="s">
        <v>46</v>
      </c>
      <c r="AI155">
        <v>0</v>
      </c>
      <c r="AJ155" t="s">
        <v>47</v>
      </c>
      <c r="AK155" t="s">
        <v>72</v>
      </c>
      <c r="AL155" t="s">
        <v>60</v>
      </c>
      <c r="AM155" t="s">
        <v>50</v>
      </c>
      <c r="AN155">
        <f t="shared" si="2"/>
        <v>7</v>
      </c>
    </row>
    <row r="156" spans="1:40">
      <c r="A156">
        <v>32</v>
      </c>
      <c r="B156" t="s">
        <v>51</v>
      </c>
      <c r="C156" t="s">
        <v>52</v>
      </c>
      <c r="D156">
        <v>967</v>
      </c>
      <c r="E156" t="s">
        <v>40</v>
      </c>
      <c r="F156">
        <v>8</v>
      </c>
      <c r="G156">
        <v>3</v>
      </c>
      <c r="H156" t="s">
        <v>84</v>
      </c>
      <c r="I156">
        <v>207</v>
      </c>
      <c r="J156">
        <v>2</v>
      </c>
      <c r="K156" t="s">
        <v>42</v>
      </c>
      <c r="L156">
        <v>43</v>
      </c>
      <c r="M156">
        <v>3</v>
      </c>
      <c r="N156">
        <v>3</v>
      </c>
      <c r="O156" t="s">
        <v>43</v>
      </c>
      <c r="P156">
        <v>4</v>
      </c>
      <c r="Q156" t="s">
        <v>44</v>
      </c>
      <c r="R156">
        <v>8998</v>
      </c>
      <c r="S156">
        <v>15589</v>
      </c>
      <c r="T156">
        <v>1</v>
      </c>
      <c r="U156" t="s">
        <v>51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  <c r="AG156" t="s">
        <v>67</v>
      </c>
      <c r="AH156" t="s">
        <v>46</v>
      </c>
      <c r="AI156">
        <v>0</v>
      </c>
      <c r="AJ156" t="s">
        <v>58</v>
      </c>
      <c r="AK156" t="s">
        <v>72</v>
      </c>
      <c r="AL156" t="s">
        <v>49</v>
      </c>
      <c r="AM156" t="s">
        <v>61</v>
      </c>
      <c r="AN156">
        <f t="shared" si="2"/>
        <v>0</v>
      </c>
    </row>
    <row r="157" spans="1:40">
      <c r="A157">
        <v>29</v>
      </c>
      <c r="B157" t="s">
        <v>51</v>
      </c>
      <c r="C157" t="s">
        <v>77</v>
      </c>
      <c r="D157">
        <v>1496</v>
      </c>
      <c r="E157" t="s">
        <v>53</v>
      </c>
      <c r="F157">
        <v>1</v>
      </c>
      <c r="G157">
        <v>1</v>
      </c>
      <c r="H157" t="s">
        <v>86</v>
      </c>
      <c r="I157">
        <v>208</v>
      </c>
      <c r="J157">
        <v>4</v>
      </c>
      <c r="K157" t="s">
        <v>54</v>
      </c>
      <c r="L157">
        <v>41</v>
      </c>
      <c r="M157">
        <v>3</v>
      </c>
      <c r="N157">
        <v>2</v>
      </c>
      <c r="O157" t="s">
        <v>75</v>
      </c>
      <c r="P157">
        <v>3</v>
      </c>
      <c r="Q157" t="s">
        <v>56</v>
      </c>
      <c r="R157">
        <v>4319</v>
      </c>
      <c r="S157">
        <v>26283</v>
      </c>
      <c r="T157">
        <v>1</v>
      </c>
      <c r="U157" t="s">
        <v>51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  <c r="AG157" t="s">
        <v>67</v>
      </c>
      <c r="AH157" t="s">
        <v>46</v>
      </c>
      <c r="AI157">
        <v>0</v>
      </c>
      <c r="AJ157" t="s">
        <v>58</v>
      </c>
      <c r="AK157" t="s">
        <v>59</v>
      </c>
      <c r="AL157" t="s">
        <v>66</v>
      </c>
      <c r="AM157" t="s">
        <v>61</v>
      </c>
      <c r="AN157">
        <f t="shared" si="2"/>
        <v>0</v>
      </c>
    </row>
    <row r="158" spans="1:40">
      <c r="A158">
        <v>51</v>
      </c>
      <c r="B158" t="s">
        <v>51</v>
      </c>
      <c r="C158" t="s">
        <v>39</v>
      </c>
      <c r="D158">
        <v>1169</v>
      </c>
      <c r="E158" t="s">
        <v>53</v>
      </c>
      <c r="F158">
        <v>7</v>
      </c>
      <c r="G158">
        <v>4</v>
      </c>
      <c r="H158" t="s">
        <v>69</v>
      </c>
      <c r="I158">
        <v>211</v>
      </c>
      <c r="J158">
        <v>2</v>
      </c>
      <c r="K158" t="s">
        <v>54</v>
      </c>
      <c r="L158">
        <v>34</v>
      </c>
      <c r="M158">
        <v>2</v>
      </c>
      <c r="N158">
        <v>2</v>
      </c>
      <c r="O158" t="s">
        <v>75</v>
      </c>
      <c r="P158">
        <v>3</v>
      </c>
      <c r="Q158" t="s">
        <v>56</v>
      </c>
      <c r="R158">
        <v>6132</v>
      </c>
      <c r="S158">
        <v>13983</v>
      </c>
      <c r="T158">
        <v>2</v>
      </c>
      <c r="U158" t="s">
        <v>51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  <c r="AG158" t="s">
        <v>57</v>
      </c>
      <c r="AH158" t="s">
        <v>46</v>
      </c>
      <c r="AI158">
        <v>0</v>
      </c>
      <c r="AJ158" t="s">
        <v>65</v>
      </c>
      <c r="AK158" t="s">
        <v>68</v>
      </c>
      <c r="AL158" t="s">
        <v>66</v>
      </c>
      <c r="AM158" t="s">
        <v>61</v>
      </c>
      <c r="AN158">
        <f t="shared" si="2"/>
        <v>0</v>
      </c>
    </row>
    <row r="159" spans="1:40">
      <c r="A159">
        <v>58</v>
      </c>
      <c r="B159" t="s">
        <v>51</v>
      </c>
      <c r="C159" t="s">
        <v>39</v>
      </c>
      <c r="D159">
        <v>1145</v>
      </c>
      <c r="E159" t="s">
        <v>53</v>
      </c>
      <c r="F159">
        <v>9</v>
      </c>
      <c r="G159">
        <v>3</v>
      </c>
      <c r="H159" t="s">
        <v>69</v>
      </c>
      <c r="I159">
        <v>214</v>
      </c>
      <c r="J159">
        <v>2</v>
      </c>
      <c r="K159" t="s">
        <v>42</v>
      </c>
      <c r="L159">
        <v>75</v>
      </c>
      <c r="M159">
        <v>2</v>
      </c>
      <c r="N159">
        <v>1</v>
      </c>
      <c r="O159" t="s">
        <v>55</v>
      </c>
      <c r="P159">
        <v>2</v>
      </c>
      <c r="Q159" t="s">
        <v>56</v>
      </c>
      <c r="R159">
        <v>3346</v>
      </c>
      <c r="S159">
        <v>11873</v>
      </c>
      <c r="T159">
        <v>4</v>
      </c>
      <c r="U159" t="s">
        <v>38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  <c r="AG159" t="s">
        <v>57</v>
      </c>
      <c r="AH159" t="s">
        <v>46</v>
      </c>
      <c r="AI159">
        <v>0</v>
      </c>
      <c r="AJ159" t="s">
        <v>47</v>
      </c>
      <c r="AK159" t="s">
        <v>72</v>
      </c>
      <c r="AL159" t="s">
        <v>60</v>
      </c>
      <c r="AM159" t="s">
        <v>70</v>
      </c>
      <c r="AN159">
        <f t="shared" si="2"/>
        <v>5</v>
      </c>
    </row>
    <row r="160" spans="1:40">
      <c r="A160">
        <v>40</v>
      </c>
      <c r="B160" t="s">
        <v>51</v>
      </c>
      <c r="C160" t="s">
        <v>39</v>
      </c>
      <c r="D160">
        <v>630</v>
      </c>
      <c r="E160" t="s">
        <v>40</v>
      </c>
      <c r="F160">
        <v>4</v>
      </c>
      <c r="G160">
        <v>4</v>
      </c>
      <c r="H160" t="s">
        <v>84</v>
      </c>
      <c r="I160">
        <v>215</v>
      </c>
      <c r="J160">
        <v>3</v>
      </c>
      <c r="K160" t="s">
        <v>54</v>
      </c>
      <c r="L160">
        <v>67</v>
      </c>
      <c r="M160">
        <v>2</v>
      </c>
      <c r="N160">
        <v>3</v>
      </c>
      <c r="O160" t="s">
        <v>43</v>
      </c>
      <c r="P160">
        <v>4</v>
      </c>
      <c r="Q160" t="s">
        <v>56</v>
      </c>
      <c r="R160">
        <v>10855</v>
      </c>
      <c r="S160">
        <v>8552</v>
      </c>
      <c r="T160">
        <v>7</v>
      </c>
      <c r="U160" t="s">
        <v>51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  <c r="AG160" t="s">
        <v>45</v>
      </c>
      <c r="AH160" t="s">
        <v>71</v>
      </c>
      <c r="AI160">
        <v>0</v>
      </c>
      <c r="AJ160" t="s">
        <v>47</v>
      </c>
      <c r="AK160" t="s">
        <v>68</v>
      </c>
      <c r="AL160" t="s">
        <v>49</v>
      </c>
      <c r="AM160" t="s">
        <v>70</v>
      </c>
      <c r="AN160">
        <f t="shared" si="2"/>
        <v>1</v>
      </c>
    </row>
    <row r="161" spans="1:40">
      <c r="A161">
        <v>34</v>
      </c>
      <c r="B161" t="s">
        <v>51</v>
      </c>
      <c r="C161" t="s">
        <v>52</v>
      </c>
      <c r="D161">
        <v>303</v>
      </c>
      <c r="E161" t="s">
        <v>40</v>
      </c>
      <c r="F161">
        <v>2</v>
      </c>
      <c r="G161">
        <v>4</v>
      </c>
      <c r="H161" t="s">
        <v>84</v>
      </c>
      <c r="I161">
        <v>216</v>
      </c>
      <c r="J161">
        <v>3</v>
      </c>
      <c r="K161" t="s">
        <v>42</v>
      </c>
      <c r="L161">
        <v>75</v>
      </c>
      <c r="M161">
        <v>3</v>
      </c>
      <c r="N161">
        <v>1</v>
      </c>
      <c r="O161" t="s">
        <v>82</v>
      </c>
      <c r="P161">
        <v>3</v>
      </c>
      <c r="Q161" t="s">
        <v>56</v>
      </c>
      <c r="R161">
        <v>2231</v>
      </c>
      <c r="S161">
        <v>11314</v>
      </c>
      <c r="T161">
        <v>6</v>
      </c>
      <c r="U161" t="s">
        <v>51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  <c r="AG161" t="s">
        <v>67</v>
      </c>
      <c r="AH161" t="s">
        <v>46</v>
      </c>
      <c r="AI161">
        <v>0</v>
      </c>
      <c r="AJ161" t="s">
        <v>65</v>
      </c>
      <c r="AK161" t="s">
        <v>68</v>
      </c>
      <c r="AL161" t="s">
        <v>66</v>
      </c>
      <c r="AM161" t="s">
        <v>61</v>
      </c>
      <c r="AN161">
        <f t="shared" si="2"/>
        <v>1</v>
      </c>
    </row>
    <row r="162" spans="1:40">
      <c r="A162">
        <v>22</v>
      </c>
      <c r="B162" t="s">
        <v>51</v>
      </c>
      <c r="C162" t="s">
        <v>39</v>
      </c>
      <c r="D162">
        <v>1256</v>
      </c>
      <c r="E162" t="s">
        <v>53</v>
      </c>
      <c r="F162">
        <v>19</v>
      </c>
      <c r="G162">
        <v>1</v>
      </c>
      <c r="H162" t="s">
        <v>69</v>
      </c>
      <c r="I162">
        <v>217</v>
      </c>
      <c r="J162">
        <v>3</v>
      </c>
      <c r="K162" t="s">
        <v>54</v>
      </c>
      <c r="L162">
        <v>80</v>
      </c>
      <c r="M162">
        <v>3</v>
      </c>
      <c r="N162">
        <v>1</v>
      </c>
      <c r="O162" t="s">
        <v>55</v>
      </c>
      <c r="P162">
        <v>4</v>
      </c>
      <c r="Q162" t="s">
        <v>56</v>
      </c>
      <c r="R162">
        <v>2323</v>
      </c>
      <c r="S162">
        <v>11992</v>
      </c>
      <c r="T162">
        <v>1</v>
      </c>
      <c r="U162" t="s">
        <v>51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  <c r="AG162" t="s">
        <v>78</v>
      </c>
      <c r="AH162" t="s">
        <v>46</v>
      </c>
      <c r="AI162">
        <v>0</v>
      </c>
      <c r="AJ162" t="s">
        <v>65</v>
      </c>
      <c r="AK162" t="s">
        <v>59</v>
      </c>
      <c r="AL162" t="s">
        <v>49</v>
      </c>
      <c r="AM162" t="s">
        <v>61</v>
      </c>
      <c r="AN162">
        <f t="shared" si="2"/>
        <v>-1</v>
      </c>
    </row>
    <row r="163" spans="1:40">
      <c r="A163">
        <v>27</v>
      </c>
      <c r="B163" t="s">
        <v>51</v>
      </c>
      <c r="C163" t="s">
        <v>77</v>
      </c>
      <c r="D163">
        <v>691</v>
      </c>
      <c r="E163" t="s">
        <v>53</v>
      </c>
      <c r="F163">
        <v>9</v>
      </c>
      <c r="G163">
        <v>3</v>
      </c>
      <c r="H163" t="s">
        <v>69</v>
      </c>
      <c r="I163">
        <v>218</v>
      </c>
      <c r="J163">
        <v>4</v>
      </c>
      <c r="K163" t="s">
        <v>54</v>
      </c>
      <c r="L163">
        <v>57</v>
      </c>
      <c r="M163">
        <v>3</v>
      </c>
      <c r="N163">
        <v>1</v>
      </c>
      <c r="O163" t="s">
        <v>55</v>
      </c>
      <c r="P163">
        <v>2</v>
      </c>
      <c r="Q163" t="s">
        <v>74</v>
      </c>
      <c r="R163">
        <v>2024</v>
      </c>
      <c r="S163">
        <v>5970</v>
      </c>
      <c r="T163">
        <v>6</v>
      </c>
      <c r="U163" t="s">
        <v>51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  <c r="AG163" t="s">
        <v>67</v>
      </c>
      <c r="AH163" t="s">
        <v>81</v>
      </c>
      <c r="AI163">
        <v>0</v>
      </c>
      <c r="AJ163" t="s">
        <v>47</v>
      </c>
      <c r="AK163" t="s">
        <v>72</v>
      </c>
      <c r="AL163" t="s">
        <v>60</v>
      </c>
      <c r="AM163" t="s">
        <v>50</v>
      </c>
      <c r="AN163">
        <f t="shared" si="2"/>
        <v>9</v>
      </c>
    </row>
    <row r="164" spans="1:40">
      <c r="A164">
        <v>28</v>
      </c>
      <c r="B164" t="s">
        <v>51</v>
      </c>
      <c r="C164" t="s">
        <v>39</v>
      </c>
      <c r="D164">
        <v>440</v>
      </c>
      <c r="E164" t="s">
        <v>53</v>
      </c>
      <c r="F164">
        <v>21</v>
      </c>
      <c r="G164">
        <v>3</v>
      </c>
      <c r="H164" t="s">
        <v>69</v>
      </c>
      <c r="I164">
        <v>221</v>
      </c>
      <c r="J164">
        <v>3</v>
      </c>
      <c r="K164" t="s">
        <v>54</v>
      </c>
      <c r="L164">
        <v>42</v>
      </c>
      <c r="M164">
        <v>3</v>
      </c>
      <c r="N164">
        <v>1</v>
      </c>
      <c r="O164" t="s">
        <v>55</v>
      </c>
      <c r="P164">
        <v>4</v>
      </c>
      <c r="Q164" t="s">
        <v>56</v>
      </c>
      <c r="R164">
        <v>2713</v>
      </c>
      <c r="S164">
        <v>6672</v>
      </c>
      <c r="T164">
        <v>1</v>
      </c>
      <c r="U164" t="s">
        <v>51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  <c r="AG164" t="s">
        <v>67</v>
      </c>
      <c r="AH164" t="s">
        <v>71</v>
      </c>
      <c r="AI164">
        <v>0</v>
      </c>
      <c r="AJ164" t="s">
        <v>47</v>
      </c>
      <c r="AK164" t="s">
        <v>72</v>
      </c>
      <c r="AL164" t="s">
        <v>49</v>
      </c>
      <c r="AM164" t="s">
        <v>50</v>
      </c>
      <c r="AN164">
        <f t="shared" si="2"/>
        <v>1</v>
      </c>
    </row>
    <row r="165" spans="1:40">
      <c r="A165">
        <v>57</v>
      </c>
      <c r="B165" t="s">
        <v>51</v>
      </c>
      <c r="C165" t="s">
        <v>39</v>
      </c>
      <c r="D165">
        <v>334</v>
      </c>
      <c r="E165" t="s">
        <v>53</v>
      </c>
      <c r="F165">
        <v>24</v>
      </c>
      <c r="G165">
        <v>2</v>
      </c>
      <c r="H165" t="s">
        <v>41</v>
      </c>
      <c r="I165">
        <v>223</v>
      </c>
      <c r="J165">
        <v>3</v>
      </c>
      <c r="K165" t="s">
        <v>54</v>
      </c>
      <c r="L165">
        <v>83</v>
      </c>
      <c r="M165">
        <v>4</v>
      </c>
      <c r="N165">
        <v>3</v>
      </c>
      <c r="O165" t="s">
        <v>76</v>
      </c>
      <c r="P165">
        <v>4</v>
      </c>
      <c r="Q165" t="s">
        <v>74</v>
      </c>
      <c r="R165">
        <v>9439</v>
      </c>
      <c r="S165">
        <v>23402</v>
      </c>
      <c r="T165">
        <v>3</v>
      </c>
      <c r="U165" t="s">
        <v>38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  <c r="AG165" t="s">
        <v>57</v>
      </c>
      <c r="AH165" t="s">
        <v>46</v>
      </c>
      <c r="AI165">
        <v>0</v>
      </c>
      <c r="AJ165" t="s">
        <v>47</v>
      </c>
      <c r="AK165" t="s">
        <v>48</v>
      </c>
      <c r="AL165" t="s">
        <v>49</v>
      </c>
      <c r="AM165" t="s">
        <v>50</v>
      </c>
      <c r="AN165">
        <f t="shared" si="2"/>
        <v>2</v>
      </c>
    </row>
    <row r="166" spans="1:40">
      <c r="A166">
        <v>27</v>
      </c>
      <c r="B166" t="s">
        <v>51</v>
      </c>
      <c r="C166" t="s">
        <v>77</v>
      </c>
      <c r="D166">
        <v>1450</v>
      </c>
      <c r="E166" t="s">
        <v>53</v>
      </c>
      <c r="F166">
        <v>3</v>
      </c>
      <c r="G166">
        <v>3</v>
      </c>
      <c r="H166" t="s">
        <v>69</v>
      </c>
      <c r="I166">
        <v>224</v>
      </c>
      <c r="J166">
        <v>3</v>
      </c>
      <c r="K166" t="s">
        <v>54</v>
      </c>
      <c r="L166">
        <v>79</v>
      </c>
      <c r="M166">
        <v>2</v>
      </c>
      <c r="N166">
        <v>1</v>
      </c>
      <c r="O166" t="s">
        <v>55</v>
      </c>
      <c r="P166">
        <v>3</v>
      </c>
      <c r="Q166" t="s">
        <v>74</v>
      </c>
      <c r="R166">
        <v>2566</v>
      </c>
      <c r="S166">
        <v>25326</v>
      </c>
      <c r="T166">
        <v>1</v>
      </c>
      <c r="U166" t="s">
        <v>38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  <c r="AG166" t="s">
        <v>67</v>
      </c>
      <c r="AH166" t="s">
        <v>46</v>
      </c>
      <c r="AI166">
        <v>0</v>
      </c>
      <c r="AJ166" t="s">
        <v>47</v>
      </c>
      <c r="AK166" t="s">
        <v>72</v>
      </c>
      <c r="AL166" t="s">
        <v>66</v>
      </c>
      <c r="AM166" t="s">
        <v>70</v>
      </c>
      <c r="AN166">
        <f t="shared" si="2"/>
        <v>2</v>
      </c>
    </row>
    <row r="167" spans="1:40">
      <c r="A167">
        <v>50</v>
      </c>
      <c r="B167" t="s">
        <v>51</v>
      </c>
      <c r="C167" t="s">
        <v>39</v>
      </c>
      <c r="D167">
        <v>1452</v>
      </c>
      <c r="E167" t="s">
        <v>53</v>
      </c>
      <c r="F167">
        <v>11</v>
      </c>
      <c r="G167">
        <v>3</v>
      </c>
      <c r="H167" t="s">
        <v>41</v>
      </c>
      <c r="I167">
        <v>226</v>
      </c>
      <c r="J167">
        <v>3</v>
      </c>
      <c r="K167" t="s">
        <v>42</v>
      </c>
      <c r="L167">
        <v>53</v>
      </c>
      <c r="M167">
        <v>3</v>
      </c>
      <c r="N167">
        <v>5</v>
      </c>
      <c r="O167" t="s">
        <v>79</v>
      </c>
      <c r="P167">
        <v>2</v>
      </c>
      <c r="Q167" t="s">
        <v>44</v>
      </c>
      <c r="R167">
        <v>19926</v>
      </c>
      <c r="S167">
        <v>17053</v>
      </c>
      <c r="T167">
        <v>3</v>
      </c>
      <c r="U167" t="s">
        <v>51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  <c r="AG167" t="s">
        <v>57</v>
      </c>
      <c r="AH167" t="s">
        <v>46</v>
      </c>
      <c r="AI167">
        <v>0</v>
      </c>
      <c r="AJ167" t="s">
        <v>65</v>
      </c>
      <c r="AK167" t="s">
        <v>72</v>
      </c>
      <c r="AL167" t="s">
        <v>60</v>
      </c>
      <c r="AM167" t="s">
        <v>61</v>
      </c>
      <c r="AN167">
        <f t="shared" si="2"/>
        <v>7</v>
      </c>
    </row>
    <row r="168" spans="1:40">
      <c r="A168">
        <v>41</v>
      </c>
      <c r="B168" t="s">
        <v>51</v>
      </c>
      <c r="C168" t="s">
        <v>39</v>
      </c>
      <c r="D168">
        <v>465</v>
      </c>
      <c r="E168" t="s">
        <v>53</v>
      </c>
      <c r="F168">
        <v>14</v>
      </c>
      <c r="G168">
        <v>3</v>
      </c>
      <c r="H168" t="s">
        <v>41</v>
      </c>
      <c r="I168">
        <v>227</v>
      </c>
      <c r="J168">
        <v>1</v>
      </c>
      <c r="K168" t="s">
        <v>54</v>
      </c>
      <c r="L168">
        <v>56</v>
      </c>
      <c r="M168">
        <v>3</v>
      </c>
      <c r="N168">
        <v>1</v>
      </c>
      <c r="O168" t="s">
        <v>55</v>
      </c>
      <c r="P168">
        <v>3</v>
      </c>
      <c r="Q168" t="s">
        <v>74</v>
      </c>
      <c r="R168">
        <v>2451</v>
      </c>
      <c r="S168">
        <v>4609</v>
      </c>
      <c r="T168">
        <v>4</v>
      </c>
      <c r="U168" t="s">
        <v>51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  <c r="AG168" t="s">
        <v>45</v>
      </c>
      <c r="AH168" t="s">
        <v>81</v>
      </c>
      <c r="AI168">
        <v>0</v>
      </c>
      <c r="AJ168" t="s">
        <v>58</v>
      </c>
      <c r="AK168" t="s">
        <v>72</v>
      </c>
      <c r="AL168" t="s">
        <v>66</v>
      </c>
      <c r="AM168" t="s">
        <v>61</v>
      </c>
      <c r="AN168">
        <f t="shared" si="2"/>
        <v>1</v>
      </c>
    </row>
    <row r="169" spans="1:40">
      <c r="A169">
        <v>30</v>
      </c>
      <c r="B169" t="s">
        <v>51</v>
      </c>
      <c r="C169" t="s">
        <v>39</v>
      </c>
      <c r="D169">
        <v>1339</v>
      </c>
      <c r="E169" t="s">
        <v>40</v>
      </c>
      <c r="F169">
        <v>5</v>
      </c>
      <c r="G169">
        <v>3</v>
      </c>
      <c r="H169" t="s">
        <v>41</v>
      </c>
      <c r="I169">
        <v>228</v>
      </c>
      <c r="J169">
        <v>2</v>
      </c>
      <c r="K169" t="s">
        <v>42</v>
      </c>
      <c r="L169">
        <v>41</v>
      </c>
      <c r="M169">
        <v>3</v>
      </c>
      <c r="N169">
        <v>3</v>
      </c>
      <c r="O169" t="s">
        <v>43</v>
      </c>
      <c r="P169">
        <v>4</v>
      </c>
      <c r="Q169" t="s">
        <v>56</v>
      </c>
      <c r="R169">
        <v>9419</v>
      </c>
      <c r="S169">
        <v>8053</v>
      </c>
      <c r="T169">
        <v>2</v>
      </c>
      <c r="U169" t="s">
        <v>51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  <c r="AG169" t="s">
        <v>67</v>
      </c>
      <c r="AH169" t="s">
        <v>71</v>
      </c>
      <c r="AI169">
        <v>0</v>
      </c>
      <c r="AJ169" t="s">
        <v>58</v>
      </c>
      <c r="AK169" t="s">
        <v>72</v>
      </c>
      <c r="AL169" t="s">
        <v>49</v>
      </c>
      <c r="AM169" t="s">
        <v>61</v>
      </c>
      <c r="AN169">
        <f t="shared" si="2"/>
        <v>4</v>
      </c>
    </row>
    <row r="170" spans="1:40">
      <c r="A170">
        <v>38</v>
      </c>
      <c r="B170" t="s">
        <v>51</v>
      </c>
      <c r="C170" t="s">
        <v>39</v>
      </c>
      <c r="D170">
        <v>702</v>
      </c>
      <c r="E170" t="s">
        <v>40</v>
      </c>
      <c r="F170">
        <v>1</v>
      </c>
      <c r="G170">
        <v>4</v>
      </c>
      <c r="H170" t="s">
        <v>41</v>
      </c>
      <c r="I170">
        <v>230</v>
      </c>
      <c r="J170">
        <v>1</v>
      </c>
      <c r="K170" t="s">
        <v>42</v>
      </c>
      <c r="L170">
        <v>59</v>
      </c>
      <c r="M170">
        <v>2</v>
      </c>
      <c r="N170">
        <v>2</v>
      </c>
      <c r="O170" t="s">
        <v>43</v>
      </c>
      <c r="P170">
        <v>4</v>
      </c>
      <c r="Q170" t="s">
        <v>44</v>
      </c>
      <c r="R170">
        <v>8686</v>
      </c>
      <c r="S170">
        <v>12930</v>
      </c>
      <c r="T170">
        <v>4</v>
      </c>
      <c r="U170" t="s">
        <v>51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  <c r="AG170" t="s">
        <v>45</v>
      </c>
      <c r="AH170" t="s">
        <v>46</v>
      </c>
      <c r="AI170">
        <v>0</v>
      </c>
      <c r="AJ170" t="s">
        <v>58</v>
      </c>
      <c r="AK170" t="s">
        <v>68</v>
      </c>
      <c r="AL170" t="s">
        <v>49</v>
      </c>
      <c r="AM170" t="s">
        <v>85</v>
      </c>
      <c r="AN170">
        <f t="shared" si="2"/>
        <v>-5</v>
      </c>
    </row>
    <row r="171" spans="1:40">
      <c r="A171">
        <v>32</v>
      </c>
      <c r="B171" t="s">
        <v>51</v>
      </c>
      <c r="C171" t="s">
        <v>39</v>
      </c>
      <c r="D171">
        <v>120</v>
      </c>
      <c r="E171" t="s">
        <v>53</v>
      </c>
      <c r="F171">
        <v>6</v>
      </c>
      <c r="G171">
        <v>5</v>
      </c>
      <c r="H171" t="s">
        <v>41</v>
      </c>
      <c r="I171">
        <v>231</v>
      </c>
      <c r="J171">
        <v>3</v>
      </c>
      <c r="K171" t="s">
        <v>54</v>
      </c>
      <c r="L171">
        <v>43</v>
      </c>
      <c r="M171">
        <v>3</v>
      </c>
      <c r="N171">
        <v>1</v>
      </c>
      <c r="O171" t="s">
        <v>55</v>
      </c>
      <c r="P171">
        <v>3</v>
      </c>
      <c r="Q171" t="s">
        <v>44</v>
      </c>
      <c r="R171">
        <v>3038</v>
      </c>
      <c r="S171">
        <v>12430</v>
      </c>
      <c r="T171">
        <v>3</v>
      </c>
      <c r="U171" t="s">
        <v>51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  <c r="AG171" t="s">
        <v>67</v>
      </c>
      <c r="AH171" t="s">
        <v>46</v>
      </c>
      <c r="AI171">
        <v>0</v>
      </c>
      <c r="AJ171" t="s">
        <v>65</v>
      </c>
      <c r="AK171" t="s">
        <v>87</v>
      </c>
      <c r="AL171" t="s">
        <v>66</v>
      </c>
      <c r="AM171" t="s">
        <v>61</v>
      </c>
      <c r="AN171">
        <f t="shared" si="2"/>
        <v>1</v>
      </c>
    </row>
    <row r="172" spans="1:40">
      <c r="A172">
        <v>27</v>
      </c>
      <c r="B172" t="s">
        <v>51</v>
      </c>
      <c r="C172" t="s">
        <v>39</v>
      </c>
      <c r="D172">
        <v>1157</v>
      </c>
      <c r="E172" t="s">
        <v>53</v>
      </c>
      <c r="F172">
        <v>17</v>
      </c>
      <c r="G172">
        <v>3</v>
      </c>
      <c r="H172" t="s">
        <v>86</v>
      </c>
      <c r="I172">
        <v>233</v>
      </c>
      <c r="J172">
        <v>3</v>
      </c>
      <c r="K172" t="s">
        <v>54</v>
      </c>
      <c r="L172">
        <v>51</v>
      </c>
      <c r="M172">
        <v>3</v>
      </c>
      <c r="N172">
        <v>1</v>
      </c>
      <c r="O172" t="s">
        <v>55</v>
      </c>
      <c r="P172">
        <v>2</v>
      </c>
      <c r="Q172" t="s">
        <v>56</v>
      </c>
      <c r="R172">
        <v>3058</v>
      </c>
      <c r="S172">
        <v>13364</v>
      </c>
      <c r="T172">
        <v>0</v>
      </c>
      <c r="U172" t="s">
        <v>38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  <c r="AG172" t="s">
        <v>67</v>
      </c>
      <c r="AH172" t="s">
        <v>46</v>
      </c>
      <c r="AI172">
        <v>0</v>
      </c>
      <c r="AJ172" t="s">
        <v>47</v>
      </c>
      <c r="AK172" t="s">
        <v>72</v>
      </c>
      <c r="AL172" t="s">
        <v>60</v>
      </c>
      <c r="AM172" t="s">
        <v>70</v>
      </c>
      <c r="AN172">
        <f t="shared" si="2"/>
        <v>6</v>
      </c>
    </row>
    <row r="173" spans="1:40">
      <c r="A173">
        <v>19</v>
      </c>
      <c r="B173" t="s">
        <v>38</v>
      </c>
      <c r="C173" t="s">
        <v>52</v>
      </c>
      <c r="D173">
        <v>602</v>
      </c>
      <c r="E173" t="s">
        <v>40</v>
      </c>
      <c r="F173">
        <v>1</v>
      </c>
      <c r="G173">
        <v>1</v>
      </c>
      <c r="H173" t="s">
        <v>86</v>
      </c>
      <c r="I173">
        <v>235</v>
      </c>
      <c r="J173">
        <v>3</v>
      </c>
      <c r="K173" t="s">
        <v>42</v>
      </c>
      <c r="L173">
        <v>100</v>
      </c>
      <c r="M173">
        <v>1</v>
      </c>
      <c r="N173">
        <v>1</v>
      </c>
      <c r="O173" t="s">
        <v>82</v>
      </c>
      <c r="P173">
        <v>1</v>
      </c>
      <c r="Q173" t="s">
        <v>44</v>
      </c>
      <c r="R173">
        <v>2325</v>
      </c>
      <c r="S173">
        <v>20989</v>
      </c>
      <c r="T173">
        <v>0</v>
      </c>
      <c r="U173" t="s">
        <v>51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  <c r="AG173" t="s">
        <v>78</v>
      </c>
      <c r="AH173" t="s">
        <v>46</v>
      </c>
      <c r="AI173">
        <v>1</v>
      </c>
      <c r="AJ173" t="s">
        <v>65</v>
      </c>
      <c r="AK173" t="s">
        <v>59</v>
      </c>
      <c r="AL173" t="s">
        <v>73</v>
      </c>
      <c r="AM173" t="s">
        <v>85</v>
      </c>
      <c r="AN173">
        <f t="shared" si="2"/>
        <v>4</v>
      </c>
    </row>
    <row r="174" spans="1:40">
      <c r="A174">
        <v>36</v>
      </c>
      <c r="B174" t="s">
        <v>51</v>
      </c>
      <c r="C174" t="s">
        <v>52</v>
      </c>
      <c r="D174">
        <v>1480</v>
      </c>
      <c r="E174" t="s">
        <v>53</v>
      </c>
      <c r="F174">
        <v>3</v>
      </c>
      <c r="G174">
        <v>2</v>
      </c>
      <c r="H174" t="s">
        <v>69</v>
      </c>
      <c r="I174">
        <v>238</v>
      </c>
      <c r="J174">
        <v>4</v>
      </c>
      <c r="K174" t="s">
        <v>54</v>
      </c>
      <c r="L174">
        <v>30</v>
      </c>
      <c r="M174">
        <v>3</v>
      </c>
      <c r="N174">
        <v>1</v>
      </c>
      <c r="O174" t="s">
        <v>63</v>
      </c>
      <c r="P174">
        <v>2</v>
      </c>
      <c r="Q174" t="s">
        <v>44</v>
      </c>
      <c r="R174">
        <v>2088</v>
      </c>
      <c r="S174">
        <v>15062</v>
      </c>
      <c r="T174">
        <v>4</v>
      </c>
      <c r="U174" t="s">
        <v>51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  <c r="AG174" t="s">
        <v>45</v>
      </c>
      <c r="AH174" t="s">
        <v>46</v>
      </c>
      <c r="AI174">
        <v>0</v>
      </c>
      <c r="AJ174" t="s">
        <v>47</v>
      </c>
      <c r="AK174" t="s">
        <v>48</v>
      </c>
      <c r="AL174" t="s">
        <v>60</v>
      </c>
      <c r="AM174" t="s">
        <v>70</v>
      </c>
      <c r="AN174">
        <f t="shared" si="2"/>
        <v>12</v>
      </c>
    </row>
    <row r="175" spans="1:40">
      <c r="A175">
        <v>30</v>
      </c>
      <c r="B175" t="s">
        <v>51</v>
      </c>
      <c r="C175" t="s">
        <v>77</v>
      </c>
      <c r="D175">
        <v>111</v>
      </c>
      <c r="E175" t="s">
        <v>53</v>
      </c>
      <c r="F175">
        <v>9</v>
      </c>
      <c r="G175">
        <v>3</v>
      </c>
      <c r="H175" t="s">
        <v>69</v>
      </c>
      <c r="I175">
        <v>239</v>
      </c>
      <c r="J175">
        <v>3</v>
      </c>
      <c r="K175" t="s">
        <v>54</v>
      </c>
      <c r="L175">
        <v>66</v>
      </c>
      <c r="M175">
        <v>3</v>
      </c>
      <c r="N175">
        <v>2</v>
      </c>
      <c r="O175" t="s">
        <v>63</v>
      </c>
      <c r="P175">
        <v>1</v>
      </c>
      <c r="Q175" t="s">
        <v>74</v>
      </c>
      <c r="R175">
        <v>3072</v>
      </c>
      <c r="S175">
        <v>11012</v>
      </c>
      <c r="T175">
        <v>1</v>
      </c>
      <c r="U175" t="s">
        <v>51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  <c r="AG175" t="s">
        <v>67</v>
      </c>
      <c r="AH175" t="s">
        <v>46</v>
      </c>
      <c r="AI175">
        <v>0</v>
      </c>
      <c r="AJ175" t="s">
        <v>80</v>
      </c>
      <c r="AK175" t="s">
        <v>72</v>
      </c>
      <c r="AL175" t="s">
        <v>73</v>
      </c>
      <c r="AM175" t="s">
        <v>61</v>
      </c>
      <c r="AN175">
        <f t="shared" si="2"/>
        <v>12</v>
      </c>
    </row>
    <row r="176" spans="1:40">
      <c r="A176">
        <v>45</v>
      </c>
      <c r="B176" t="s">
        <v>51</v>
      </c>
      <c r="C176" t="s">
        <v>39</v>
      </c>
      <c r="D176">
        <v>1268</v>
      </c>
      <c r="E176" t="s">
        <v>40</v>
      </c>
      <c r="F176">
        <v>4</v>
      </c>
      <c r="G176">
        <v>2</v>
      </c>
      <c r="H176" t="s">
        <v>41</v>
      </c>
      <c r="I176">
        <v>240</v>
      </c>
      <c r="J176">
        <v>3</v>
      </c>
      <c r="K176" t="s">
        <v>42</v>
      </c>
      <c r="L176">
        <v>30</v>
      </c>
      <c r="M176">
        <v>3</v>
      </c>
      <c r="N176">
        <v>2</v>
      </c>
      <c r="O176" t="s">
        <v>43</v>
      </c>
      <c r="P176">
        <v>1</v>
      </c>
      <c r="Q176" t="s">
        <v>74</v>
      </c>
      <c r="R176">
        <v>5006</v>
      </c>
      <c r="S176">
        <v>6319</v>
      </c>
      <c r="T176">
        <v>4</v>
      </c>
      <c r="U176" t="s">
        <v>38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  <c r="AG176" t="s">
        <v>45</v>
      </c>
      <c r="AH176" t="s">
        <v>71</v>
      </c>
      <c r="AI176">
        <v>0</v>
      </c>
      <c r="AJ176" t="s">
        <v>65</v>
      </c>
      <c r="AK176" t="s">
        <v>48</v>
      </c>
      <c r="AL176" t="s">
        <v>73</v>
      </c>
      <c r="AM176" t="s">
        <v>85</v>
      </c>
      <c r="AN176">
        <f t="shared" si="2"/>
        <v>4</v>
      </c>
    </row>
    <row r="177" spans="1:40">
      <c r="A177">
        <v>56</v>
      </c>
      <c r="B177" t="s">
        <v>51</v>
      </c>
      <c r="C177" t="s">
        <v>39</v>
      </c>
      <c r="D177">
        <v>713</v>
      </c>
      <c r="E177" t="s">
        <v>53</v>
      </c>
      <c r="F177">
        <v>8</v>
      </c>
      <c r="G177">
        <v>3</v>
      </c>
      <c r="H177" t="s">
        <v>41</v>
      </c>
      <c r="I177">
        <v>241</v>
      </c>
      <c r="J177">
        <v>3</v>
      </c>
      <c r="K177" t="s">
        <v>42</v>
      </c>
      <c r="L177">
        <v>67</v>
      </c>
      <c r="M177">
        <v>3</v>
      </c>
      <c r="N177">
        <v>1</v>
      </c>
      <c r="O177" t="s">
        <v>55</v>
      </c>
      <c r="P177">
        <v>1</v>
      </c>
      <c r="Q177" t="s">
        <v>74</v>
      </c>
      <c r="R177">
        <v>4257</v>
      </c>
      <c r="S177">
        <v>13939</v>
      </c>
      <c r="T177">
        <v>4</v>
      </c>
      <c r="U177" t="s">
        <v>38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  <c r="AG177" t="s">
        <v>57</v>
      </c>
      <c r="AH177" t="s">
        <v>46</v>
      </c>
      <c r="AI177">
        <v>0</v>
      </c>
      <c r="AJ177" t="s">
        <v>65</v>
      </c>
      <c r="AK177" t="s">
        <v>72</v>
      </c>
      <c r="AL177" t="s">
        <v>73</v>
      </c>
      <c r="AM177" t="s">
        <v>61</v>
      </c>
      <c r="AN177">
        <f t="shared" si="2"/>
        <v>8</v>
      </c>
    </row>
    <row r="178" spans="1:40">
      <c r="A178">
        <v>33</v>
      </c>
      <c r="B178" t="s">
        <v>51</v>
      </c>
      <c r="C178" t="s">
        <v>39</v>
      </c>
      <c r="D178">
        <v>134</v>
      </c>
      <c r="E178" t="s">
        <v>53</v>
      </c>
      <c r="F178">
        <v>2</v>
      </c>
      <c r="G178">
        <v>3</v>
      </c>
      <c r="H178" t="s">
        <v>41</v>
      </c>
      <c r="I178">
        <v>242</v>
      </c>
      <c r="J178">
        <v>3</v>
      </c>
      <c r="K178" t="s">
        <v>54</v>
      </c>
      <c r="L178">
        <v>90</v>
      </c>
      <c r="M178">
        <v>3</v>
      </c>
      <c r="N178">
        <v>1</v>
      </c>
      <c r="O178" t="s">
        <v>55</v>
      </c>
      <c r="P178">
        <v>4</v>
      </c>
      <c r="Q178" t="s">
        <v>44</v>
      </c>
      <c r="R178">
        <v>2500</v>
      </c>
      <c r="S178">
        <v>10515</v>
      </c>
      <c r="T178">
        <v>0</v>
      </c>
      <c r="U178" t="s">
        <v>51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  <c r="AG178" t="s">
        <v>67</v>
      </c>
      <c r="AH178" t="s">
        <v>46</v>
      </c>
      <c r="AI178">
        <v>0</v>
      </c>
      <c r="AJ178" t="s">
        <v>65</v>
      </c>
      <c r="AK178" t="s">
        <v>72</v>
      </c>
      <c r="AL178" t="s">
        <v>49</v>
      </c>
      <c r="AM178" t="s">
        <v>85</v>
      </c>
      <c r="AN178">
        <f t="shared" si="2"/>
        <v>-5</v>
      </c>
    </row>
    <row r="179" spans="1:40">
      <c r="A179">
        <v>19</v>
      </c>
      <c r="B179" t="s">
        <v>38</v>
      </c>
      <c r="C179" t="s">
        <v>39</v>
      </c>
      <c r="D179">
        <v>303</v>
      </c>
      <c r="E179" t="s">
        <v>53</v>
      </c>
      <c r="F179">
        <v>2</v>
      </c>
      <c r="G179">
        <v>3</v>
      </c>
      <c r="H179" t="s">
        <v>41</v>
      </c>
      <c r="I179">
        <v>243</v>
      </c>
      <c r="J179">
        <v>2</v>
      </c>
      <c r="K179" t="s">
        <v>54</v>
      </c>
      <c r="L179">
        <v>47</v>
      </c>
      <c r="M179">
        <v>2</v>
      </c>
      <c r="N179">
        <v>1</v>
      </c>
      <c r="O179" t="s">
        <v>63</v>
      </c>
      <c r="P179">
        <v>4</v>
      </c>
      <c r="Q179" t="s">
        <v>44</v>
      </c>
      <c r="R179">
        <v>1102</v>
      </c>
      <c r="S179">
        <v>9241</v>
      </c>
      <c r="T179">
        <v>1</v>
      </c>
      <c r="U179" t="s">
        <v>51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  <c r="AG179" t="s">
        <v>78</v>
      </c>
      <c r="AH179" t="s">
        <v>71</v>
      </c>
      <c r="AI179">
        <v>1</v>
      </c>
      <c r="AJ179" t="s">
        <v>47</v>
      </c>
      <c r="AK179" t="s">
        <v>72</v>
      </c>
      <c r="AL179" t="s">
        <v>49</v>
      </c>
      <c r="AM179" t="s">
        <v>70</v>
      </c>
      <c r="AN179">
        <f t="shared" si="2"/>
        <v>0</v>
      </c>
    </row>
    <row r="180" spans="1:40">
      <c r="A180">
        <v>46</v>
      </c>
      <c r="B180" t="s">
        <v>51</v>
      </c>
      <c r="C180" t="s">
        <v>39</v>
      </c>
      <c r="D180">
        <v>526</v>
      </c>
      <c r="E180" t="s">
        <v>40</v>
      </c>
      <c r="F180">
        <v>1</v>
      </c>
      <c r="G180">
        <v>2</v>
      </c>
      <c r="H180" t="s">
        <v>84</v>
      </c>
      <c r="I180">
        <v>244</v>
      </c>
      <c r="J180">
        <v>2</v>
      </c>
      <c r="K180" t="s">
        <v>42</v>
      </c>
      <c r="L180">
        <v>92</v>
      </c>
      <c r="M180">
        <v>3</v>
      </c>
      <c r="N180">
        <v>3</v>
      </c>
      <c r="O180" t="s">
        <v>43</v>
      </c>
      <c r="P180">
        <v>1</v>
      </c>
      <c r="Q180" t="s">
        <v>74</v>
      </c>
      <c r="R180">
        <v>10453</v>
      </c>
      <c r="S180">
        <v>2137</v>
      </c>
      <c r="T180">
        <v>1</v>
      </c>
      <c r="U180" t="s">
        <v>51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  <c r="AG180" t="s">
        <v>57</v>
      </c>
      <c r="AH180" t="s">
        <v>64</v>
      </c>
      <c r="AI180">
        <v>0</v>
      </c>
      <c r="AJ180" t="s">
        <v>80</v>
      </c>
      <c r="AK180" t="s">
        <v>48</v>
      </c>
      <c r="AL180" t="s">
        <v>73</v>
      </c>
      <c r="AM180" t="s">
        <v>61</v>
      </c>
      <c r="AN180">
        <f t="shared" si="2"/>
        <v>21</v>
      </c>
    </row>
    <row r="181" spans="1:40">
      <c r="A181">
        <v>38</v>
      </c>
      <c r="B181" t="s">
        <v>51</v>
      </c>
      <c r="C181" t="s">
        <v>39</v>
      </c>
      <c r="D181">
        <v>1380</v>
      </c>
      <c r="E181" t="s">
        <v>53</v>
      </c>
      <c r="F181">
        <v>9</v>
      </c>
      <c r="G181">
        <v>2</v>
      </c>
      <c r="H181" t="s">
        <v>41</v>
      </c>
      <c r="I181">
        <v>245</v>
      </c>
      <c r="J181">
        <v>3</v>
      </c>
      <c r="K181" t="s">
        <v>42</v>
      </c>
      <c r="L181">
        <v>75</v>
      </c>
      <c r="M181">
        <v>3</v>
      </c>
      <c r="N181">
        <v>1</v>
      </c>
      <c r="O181" t="s">
        <v>63</v>
      </c>
      <c r="P181">
        <v>4</v>
      </c>
      <c r="Q181" t="s">
        <v>44</v>
      </c>
      <c r="R181">
        <v>2288</v>
      </c>
      <c r="S181">
        <v>6319</v>
      </c>
      <c r="T181">
        <v>1</v>
      </c>
      <c r="U181" t="s">
        <v>51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  <c r="AG181" t="s">
        <v>45</v>
      </c>
      <c r="AH181" t="s">
        <v>71</v>
      </c>
      <c r="AI181">
        <v>0</v>
      </c>
      <c r="AJ181" t="s">
        <v>65</v>
      </c>
      <c r="AK181" t="s">
        <v>48</v>
      </c>
      <c r="AL181" t="s">
        <v>49</v>
      </c>
      <c r="AM181" t="s">
        <v>61</v>
      </c>
      <c r="AN181">
        <f t="shared" si="2"/>
        <v>-1</v>
      </c>
    </row>
    <row r="182" spans="1:40">
      <c r="A182">
        <v>31</v>
      </c>
      <c r="B182" t="s">
        <v>51</v>
      </c>
      <c r="C182" t="s">
        <v>39</v>
      </c>
      <c r="D182">
        <v>140</v>
      </c>
      <c r="E182" t="s">
        <v>53</v>
      </c>
      <c r="F182">
        <v>12</v>
      </c>
      <c r="G182">
        <v>1</v>
      </c>
      <c r="H182" t="s">
        <v>69</v>
      </c>
      <c r="I182">
        <v>246</v>
      </c>
      <c r="J182">
        <v>3</v>
      </c>
      <c r="K182" t="s">
        <v>42</v>
      </c>
      <c r="L182">
        <v>95</v>
      </c>
      <c r="M182">
        <v>3</v>
      </c>
      <c r="N182">
        <v>1</v>
      </c>
      <c r="O182" t="s">
        <v>55</v>
      </c>
      <c r="P182">
        <v>4</v>
      </c>
      <c r="Q182" t="s">
        <v>56</v>
      </c>
      <c r="R182">
        <v>3929</v>
      </c>
      <c r="S182">
        <v>6984</v>
      </c>
      <c r="T182">
        <v>8</v>
      </c>
      <c r="U182" t="s">
        <v>38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  <c r="AG182" t="s">
        <v>67</v>
      </c>
      <c r="AH182" t="s">
        <v>71</v>
      </c>
      <c r="AI182">
        <v>0</v>
      </c>
      <c r="AJ182" t="s">
        <v>65</v>
      </c>
      <c r="AK182" t="s">
        <v>59</v>
      </c>
      <c r="AL182" t="s">
        <v>49</v>
      </c>
      <c r="AM182" t="s">
        <v>61</v>
      </c>
      <c r="AN182">
        <f t="shared" si="2"/>
        <v>-3</v>
      </c>
    </row>
    <row r="183" spans="1:40">
      <c r="A183">
        <v>34</v>
      </c>
      <c r="B183" t="s">
        <v>51</v>
      </c>
      <c r="C183" t="s">
        <v>39</v>
      </c>
      <c r="D183">
        <v>629</v>
      </c>
      <c r="E183" t="s">
        <v>53</v>
      </c>
      <c r="F183">
        <v>27</v>
      </c>
      <c r="G183">
        <v>2</v>
      </c>
      <c r="H183" t="s">
        <v>69</v>
      </c>
      <c r="I183">
        <v>247</v>
      </c>
      <c r="J183">
        <v>4</v>
      </c>
      <c r="K183" t="s">
        <v>42</v>
      </c>
      <c r="L183">
        <v>95</v>
      </c>
      <c r="M183">
        <v>3</v>
      </c>
      <c r="N183">
        <v>1</v>
      </c>
      <c r="O183" t="s">
        <v>55</v>
      </c>
      <c r="P183">
        <v>2</v>
      </c>
      <c r="Q183" t="s">
        <v>44</v>
      </c>
      <c r="R183">
        <v>2311</v>
      </c>
      <c r="S183">
        <v>5711</v>
      </c>
      <c r="T183">
        <v>2</v>
      </c>
      <c r="U183" t="s">
        <v>51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  <c r="AG183" t="s">
        <v>67</v>
      </c>
      <c r="AH183" t="s">
        <v>81</v>
      </c>
      <c r="AI183">
        <v>0</v>
      </c>
      <c r="AJ183" t="s">
        <v>65</v>
      </c>
      <c r="AK183" t="s">
        <v>48</v>
      </c>
      <c r="AL183" t="s">
        <v>60</v>
      </c>
      <c r="AM183" t="s">
        <v>61</v>
      </c>
      <c r="AN183">
        <f t="shared" si="2"/>
        <v>4</v>
      </c>
    </row>
    <row r="184" spans="1:40">
      <c r="A184">
        <v>41</v>
      </c>
      <c r="B184" t="s">
        <v>38</v>
      </c>
      <c r="C184" t="s">
        <v>39</v>
      </c>
      <c r="D184">
        <v>1356</v>
      </c>
      <c r="E184" t="s">
        <v>40</v>
      </c>
      <c r="F184">
        <v>20</v>
      </c>
      <c r="G184">
        <v>2</v>
      </c>
      <c r="H184" t="s">
        <v>84</v>
      </c>
      <c r="I184">
        <v>248</v>
      </c>
      <c r="J184">
        <v>2</v>
      </c>
      <c r="K184" t="s">
        <v>42</v>
      </c>
      <c r="L184">
        <v>70</v>
      </c>
      <c r="M184">
        <v>3</v>
      </c>
      <c r="N184">
        <v>1</v>
      </c>
      <c r="O184" t="s">
        <v>82</v>
      </c>
      <c r="P184">
        <v>2</v>
      </c>
      <c r="Q184" t="s">
        <v>44</v>
      </c>
      <c r="R184">
        <v>3140</v>
      </c>
      <c r="S184">
        <v>21728</v>
      </c>
      <c r="T184">
        <v>1</v>
      </c>
      <c r="U184" t="s">
        <v>38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  <c r="AG184" t="s">
        <v>45</v>
      </c>
      <c r="AH184" t="s">
        <v>46</v>
      </c>
      <c r="AI184">
        <v>1</v>
      </c>
      <c r="AJ184" t="s">
        <v>47</v>
      </c>
      <c r="AK184" t="s">
        <v>48</v>
      </c>
      <c r="AL184" t="s">
        <v>60</v>
      </c>
      <c r="AM184" t="s">
        <v>70</v>
      </c>
      <c r="AN184">
        <f t="shared" si="2"/>
        <v>5</v>
      </c>
    </row>
    <row r="185" spans="1:40">
      <c r="A185">
        <v>50</v>
      </c>
      <c r="B185" t="s">
        <v>51</v>
      </c>
      <c r="C185" t="s">
        <v>39</v>
      </c>
      <c r="D185">
        <v>328</v>
      </c>
      <c r="E185" t="s">
        <v>53</v>
      </c>
      <c r="F185">
        <v>1</v>
      </c>
      <c r="G185">
        <v>3</v>
      </c>
      <c r="H185" t="s">
        <v>69</v>
      </c>
      <c r="I185">
        <v>249</v>
      </c>
      <c r="J185">
        <v>3</v>
      </c>
      <c r="K185" t="s">
        <v>54</v>
      </c>
      <c r="L185">
        <v>86</v>
      </c>
      <c r="M185">
        <v>2</v>
      </c>
      <c r="N185">
        <v>1</v>
      </c>
      <c r="O185" t="s">
        <v>63</v>
      </c>
      <c r="P185">
        <v>3</v>
      </c>
      <c r="Q185" t="s">
        <v>56</v>
      </c>
      <c r="R185">
        <v>3690</v>
      </c>
      <c r="S185">
        <v>3425</v>
      </c>
      <c r="T185">
        <v>2</v>
      </c>
      <c r="U185" t="s">
        <v>51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  <c r="AG185" t="s">
        <v>57</v>
      </c>
      <c r="AH185" t="s">
        <v>81</v>
      </c>
      <c r="AI185">
        <v>0</v>
      </c>
      <c r="AJ185" t="s">
        <v>47</v>
      </c>
      <c r="AK185" t="s">
        <v>72</v>
      </c>
      <c r="AL185" t="s">
        <v>66</v>
      </c>
      <c r="AM185" t="s">
        <v>70</v>
      </c>
      <c r="AN185">
        <f t="shared" si="2"/>
        <v>2</v>
      </c>
    </row>
    <row r="186" spans="1:40">
      <c r="A186">
        <v>53</v>
      </c>
      <c r="B186" t="s">
        <v>51</v>
      </c>
      <c r="C186" t="s">
        <v>39</v>
      </c>
      <c r="D186">
        <v>1084</v>
      </c>
      <c r="E186" t="s">
        <v>53</v>
      </c>
      <c r="F186">
        <v>13</v>
      </c>
      <c r="G186">
        <v>2</v>
      </c>
      <c r="H186" t="s">
        <v>69</v>
      </c>
      <c r="I186">
        <v>250</v>
      </c>
      <c r="J186">
        <v>4</v>
      </c>
      <c r="K186" t="s">
        <v>42</v>
      </c>
      <c r="L186">
        <v>57</v>
      </c>
      <c r="M186">
        <v>4</v>
      </c>
      <c r="N186">
        <v>2</v>
      </c>
      <c r="O186" t="s">
        <v>75</v>
      </c>
      <c r="P186">
        <v>1</v>
      </c>
      <c r="Q186" t="s">
        <v>74</v>
      </c>
      <c r="R186">
        <v>4450</v>
      </c>
      <c r="S186">
        <v>26250</v>
      </c>
      <c r="T186">
        <v>1</v>
      </c>
      <c r="U186" t="s">
        <v>51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  <c r="AG186" t="s">
        <v>57</v>
      </c>
      <c r="AH186" t="s">
        <v>46</v>
      </c>
      <c r="AI186">
        <v>0</v>
      </c>
      <c r="AJ186" t="s">
        <v>65</v>
      </c>
      <c r="AK186" t="s">
        <v>48</v>
      </c>
      <c r="AL186" t="s">
        <v>73</v>
      </c>
      <c r="AM186" t="s">
        <v>61</v>
      </c>
      <c r="AN186">
        <f t="shared" si="2"/>
        <v>7</v>
      </c>
    </row>
    <row r="187" spans="1:40">
      <c r="A187">
        <v>33</v>
      </c>
      <c r="B187" t="s">
        <v>51</v>
      </c>
      <c r="C187" t="s">
        <v>39</v>
      </c>
      <c r="D187">
        <v>931</v>
      </c>
      <c r="E187" t="s">
        <v>53</v>
      </c>
      <c r="F187">
        <v>14</v>
      </c>
      <c r="G187">
        <v>3</v>
      </c>
      <c r="H187" t="s">
        <v>69</v>
      </c>
      <c r="I187">
        <v>252</v>
      </c>
      <c r="J187">
        <v>4</v>
      </c>
      <c r="K187" t="s">
        <v>42</v>
      </c>
      <c r="L187">
        <v>72</v>
      </c>
      <c r="M187">
        <v>3</v>
      </c>
      <c r="N187">
        <v>1</v>
      </c>
      <c r="O187" t="s">
        <v>55</v>
      </c>
      <c r="P187">
        <v>2</v>
      </c>
      <c r="Q187" t="s">
        <v>56</v>
      </c>
      <c r="R187">
        <v>2756</v>
      </c>
      <c r="S187">
        <v>4673</v>
      </c>
      <c r="T187">
        <v>1</v>
      </c>
      <c r="U187" t="s">
        <v>51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  <c r="AG187" t="s">
        <v>67</v>
      </c>
      <c r="AH187" t="s">
        <v>81</v>
      </c>
      <c r="AI187">
        <v>0</v>
      </c>
      <c r="AJ187" t="s">
        <v>58</v>
      </c>
      <c r="AK187" t="s">
        <v>72</v>
      </c>
      <c r="AL187" t="s">
        <v>60</v>
      </c>
      <c r="AM187" t="s">
        <v>61</v>
      </c>
      <c r="AN187">
        <f t="shared" si="2"/>
        <v>4</v>
      </c>
    </row>
    <row r="188" spans="1:40">
      <c r="A188">
        <v>40</v>
      </c>
      <c r="B188" t="s">
        <v>51</v>
      </c>
      <c r="C188" t="s">
        <v>39</v>
      </c>
      <c r="D188">
        <v>989</v>
      </c>
      <c r="E188" t="s">
        <v>53</v>
      </c>
      <c r="F188">
        <v>4</v>
      </c>
      <c r="G188">
        <v>1</v>
      </c>
      <c r="H188" t="s">
        <v>69</v>
      </c>
      <c r="I188">
        <v>253</v>
      </c>
      <c r="J188">
        <v>4</v>
      </c>
      <c r="K188" t="s">
        <v>42</v>
      </c>
      <c r="L188">
        <v>46</v>
      </c>
      <c r="M188">
        <v>3</v>
      </c>
      <c r="N188">
        <v>5</v>
      </c>
      <c r="O188" t="s">
        <v>79</v>
      </c>
      <c r="P188">
        <v>3</v>
      </c>
      <c r="Q188" t="s">
        <v>56</v>
      </c>
      <c r="R188">
        <v>19033</v>
      </c>
      <c r="S188">
        <v>6499</v>
      </c>
      <c r="T188">
        <v>1</v>
      </c>
      <c r="U188" t="s">
        <v>51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  <c r="AG188" t="s">
        <v>45</v>
      </c>
      <c r="AH188" t="s">
        <v>71</v>
      </c>
      <c r="AI188">
        <v>0</v>
      </c>
      <c r="AJ188" t="s">
        <v>80</v>
      </c>
      <c r="AK188" t="s">
        <v>59</v>
      </c>
      <c r="AL188" t="s">
        <v>66</v>
      </c>
      <c r="AM188" t="s">
        <v>61</v>
      </c>
      <c r="AN188">
        <f t="shared" si="2"/>
        <v>9</v>
      </c>
    </row>
    <row r="189" spans="1:40">
      <c r="A189">
        <v>55</v>
      </c>
      <c r="B189" t="s">
        <v>51</v>
      </c>
      <c r="C189" t="s">
        <v>39</v>
      </c>
      <c r="D189">
        <v>692</v>
      </c>
      <c r="E189" t="s">
        <v>53</v>
      </c>
      <c r="F189">
        <v>14</v>
      </c>
      <c r="G189">
        <v>4</v>
      </c>
      <c r="H189" t="s">
        <v>69</v>
      </c>
      <c r="I189">
        <v>254</v>
      </c>
      <c r="J189">
        <v>3</v>
      </c>
      <c r="K189" t="s">
        <v>54</v>
      </c>
      <c r="L189">
        <v>61</v>
      </c>
      <c r="M189">
        <v>4</v>
      </c>
      <c r="N189">
        <v>5</v>
      </c>
      <c r="O189" t="s">
        <v>83</v>
      </c>
      <c r="P189">
        <v>2</v>
      </c>
      <c r="Q189" t="s">
        <v>44</v>
      </c>
      <c r="R189">
        <v>18722</v>
      </c>
      <c r="S189">
        <v>13339</v>
      </c>
      <c r="T189">
        <v>8</v>
      </c>
      <c r="U189" t="s">
        <v>51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  <c r="AG189" t="s">
        <v>57</v>
      </c>
      <c r="AH189" t="s">
        <v>46</v>
      </c>
      <c r="AI189">
        <v>0</v>
      </c>
      <c r="AJ189" t="s">
        <v>80</v>
      </c>
      <c r="AK189" t="s">
        <v>68</v>
      </c>
      <c r="AL189" t="s">
        <v>60</v>
      </c>
      <c r="AM189" t="s">
        <v>61</v>
      </c>
      <c r="AN189">
        <f t="shared" si="2"/>
        <v>5</v>
      </c>
    </row>
    <row r="190" spans="1:40">
      <c r="A190">
        <v>34</v>
      </c>
      <c r="B190" t="s">
        <v>51</v>
      </c>
      <c r="C190" t="s">
        <v>52</v>
      </c>
      <c r="D190">
        <v>1069</v>
      </c>
      <c r="E190" t="s">
        <v>53</v>
      </c>
      <c r="F190">
        <v>2</v>
      </c>
      <c r="G190">
        <v>1</v>
      </c>
      <c r="H190" t="s">
        <v>41</v>
      </c>
      <c r="I190">
        <v>256</v>
      </c>
      <c r="J190">
        <v>4</v>
      </c>
      <c r="K190" t="s">
        <v>54</v>
      </c>
      <c r="L190">
        <v>45</v>
      </c>
      <c r="M190">
        <v>2</v>
      </c>
      <c r="N190">
        <v>2</v>
      </c>
      <c r="O190" t="s">
        <v>75</v>
      </c>
      <c r="P190">
        <v>3</v>
      </c>
      <c r="Q190" t="s">
        <v>56</v>
      </c>
      <c r="R190">
        <v>9547</v>
      </c>
      <c r="S190">
        <v>14074</v>
      </c>
      <c r="T190">
        <v>1</v>
      </c>
      <c r="U190" t="s">
        <v>51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  <c r="AG190" t="s">
        <v>67</v>
      </c>
      <c r="AH190" t="s">
        <v>46</v>
      </c>
      <c r="AI190">
        <v>0</v>
      </c>
      <c r="AJ190" t="s">
        <v>47</v>
      </c>
      <c r="AK190" t="s">
        <v>59</v>
      </c>
      <c r="AL190" t="s">
        <v>66</v>
      </c>
      <c r="AM190" t="s">
        <v>70</v>
      </c>
      <c r="AN190">
        <f t="shared" si="2"/>
        <v>3</v>
      </c>
    </row>
    <row r="191" spans="1:40">
      <c r="A191">
        <v>51</v>
      </c>
      <c r="B191" t="s">
        <v>51</v>
      </c>
      <c r="C191" t="s">
        <v>39</v>
      </c>
      <c r="D191">
        <v>313</v>
      </c>
      <c r="E191" t="s">
        <v>53</v>
      </c>
      <c r="F191">
        <v>3</v>
      </c>
      <c r="G191">
        <v>3</v>
      </c>
      <c r="H191" t="s">
        <v>69</v>
      </c>
      <c r="I191">
        <v>258</v>
      </c>
      <c r="J191">
        <v>4</v>
      </c>
      <c r="K191" t="s">
        <v>42</v>
      </c>
      <c r="L191">
        <v>98</v>
      </c>
      <c r="M191">
        <v>3</v>
      </c>
      <c r="N191">
        <v>4</v>
      </c>
      <c r="O191" t="s">
        <v>76</v>
      </c>
      <c r="P191">
        <v>2</v>
      </c>
      <c r="Q191" t="s">
        <v>44</v>
      </c>
      <c r="R191">
        <v>13734</v>
      </c>
      <c r="S191">
        <v>7192</v>
      </c>
      <c r="T191">
        <v>3</v>
      </c>
      <c r="U191" t="s">
        <v>51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  <c r="AG191" t="s">
        <v>57</v>
      </c>
      <c r="AH191" t="s">
        <v>71</v>
      </c>
      <c r="AI191">
        <v>0</v>
      </c>
      <c r="AJ191" t="s">
        <v>58</v>
      </c>
      <c r="AK191" t="s">
        <v>72</v>
      </c>
      <c r="AL191" t="s">
        <v>60</v>
      </c>
      <c r="AM191" t="s">
        <v>61</v>
      </c>
      <c r="AN191">
        <f t="shared" si="2"/>
        <v>4</v>
      </c>
    </row>
    <row r="192" spans="1:40">
      <c r="A192">
        <v>52</v>
      </c>
      <c r="B192" t="s">
        <v>51</v>
      </c>
      <c r="C192" t="s">
        <v>39</v>
      </c>
      <c r="D192">
        <v>699</v>
      </c>
      <c r="E192" t="s">
        <v>53</v>
      </c>
      <c r="F192">
        <v>1</v>
      </c>
      <c r="G192">
        <v>4</v>
      </c>
      <c r="H192" t="s">
        <v>41</v>
      </c>
      <c r="I192">
        <v>259</v>
      </c>
      <c r="J192">
        <v>3</v>
      </c>
      <c r="K192" t="s">
        <v>54</v>
      </c>
      <c r="L192">
        <v>65</v>
      </c>
      <c r="M192">
        <v>2</v>
      </c>
      <c r="N192">
        <v>5</v>
      </c>
      <c r="O192" t="s">
        <v>79</v>
      </c>
      <c r="P192">
        <v>3</v>
      </c>
      <c r="Q192" t="s">
        <v>56</v>
      </c>
      <c r="R192">
        <v>19999</v>
      </c>
      <c r="S192">
        <v>5678</v>
      </c>
      <c r="T192">
        <v>0</v>
      </c>
      <c r="U192" t="s">
        <v>51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  <c r="AG192" t="s">
        <v>57</v>
      </c>
      <c r="AH192" t="s">
        <v>81</v>
      </c>
      <c r="AI192">
        <v>0</v>
      </c>
      <c r="AJ192" t="s">
        <v>80</v>
      </c>
      <c r="AK192" t="s">
        <v>68</v>
      </c>
      <c r="AL192" t="s">
        <v>66</v>
      </c>
      <c r="AM192" t="s">
        <v>61</v>
      </c>
      <c r="AN192">
        <f t="shared" si="2"/>
        <v>11</v>
      </c>
    </row>
    <row r="193" spans="1:40">
      <c r="A193">
        <v>27</v>
      </c>
      <c r="B193" t="s">
        <v>51</v>
      </c>
      <c r="C193" t="s">
        <v>39</v>
      </c>
      <c r="D193">
        <v>894</v>
      </c>
      <c r="E193" t="s">
        <v>53</v>
      </c>
      <c r="F193">
        <v>9</v>
      </c>
      <c r="G193">
        <v>3</v>
      </c>
      <c r="H193" t="s">
        <v>69</v>
      </c>
      <c r="I193">
        <v>260</v>
      </c>
      <c r="J193">
        <v>4</v>
      </c>
      <c r="K193" t="s">
        <v>42</v>
      </c>
      <c r="L193">
        <v>99</v>
      </c>
      <c r="M193">
        <v>3</v>
      </c>
      <c r="N193">
        <v>1</v>
      </c>
      <c r="O193" t="s">
        <v>55</v>
      </c>
      <c r="P193">
        <v>2</v>
      </c>
      <c r="Q193" t="s">
        <v>44</v>
      </c>
      <c r="R193">
        <v>2279</v>
      </c>
      <c r="S193">
        <v>11781</v>
      </c>
      <c r="T193">
        <v>1</v>
      </c>
      <c r="U193" t="s">
        <v>51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  <c r="AG193" t="s">
        <v>67</v>
      </c>
      <c r="AH193" t="s">
        <v>46</v>
      </c>
      <c r="AI193">
        <v>0</v>
      </c>
      <c r="AJ193" t="s">
        <v>47</v>
      </c>
      <c r="AK193" t="s">
        <v>72</v>
      </c>
      <c r="AL193" t="s">
        <v>60</v>
      </c>
      <c r="AM193" t="s">
        <v>70</v>
      </c>
      <c r="AN193">
        <f t="shared" si="2"/>
        <v>5</v>
      </c>
    </row>
    <row r="194" spans="1:40">
      <c r="A194">
        <v>35</v>
      </c>
      <c r="B194" t="s">
        <v>38</v>
      </c>
      <c r="C194" t="s">
        <v>39</v>
      </c>
      <c r="D194">
        <v>556</v>
      </c>
      <c r="E194" t="s">
        <v>53</v>
      </c>
      <c r="F194">
        <v>23</v>
      </c>
      <c r="G194">
        <v>2</v>
      </c>
      <c r="H194" t="s">
        <v>41</v>
      </c>
      <c r="I194">
        <v>261</v>
      </c>
      <c r="J194">
        <v>2</v>
      </c>
      <c r="K194" t="s">
        <v>54</v>
      </c>
      <c r="L194">
        <v>50</v>
      </c>
      <c r="M194">
        <v>2</v>
      </c>
      <c r="N194">
        <v>2</v>
      </c>
      <c r="O194" t="s">
        <v>75</v>
      </c>
      <c r="P194">
        <v>3</v>
      </c>
      <c r="Q194" t="s">
        <v>56</v>
      </c>
      <c r="R194">
        <v>5916</v>
      </c>
      <c r="S194">
        <v>15497</v>
      </c>
      <c r="T194">
        <v>3</v>
      </c>
      <c r="U194" t="s">
        <v>38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  <c r="AG194" t="s">
        <v>67</v>
      </c>
      <c r="AH194" t="s">
        <v>46</v>
      </c>
      <c r="AI194">
        <v>1</v>
      </c>
      <c r="AJ194" t="s">
        <v>65</v>
      </c>
      <c r="AK194" t="s">
        <v>48</v>
      </c>
      <c r="AL194" t="s">
        <v>66</v>
      </c>
      <c r="AM194" t="s">
        <v>61</v>
      </c>
      <c r="AN194">
        <f t="shared" si="2"/>
        <v>0</v>
      </c>
    </row>
    <row r="195" spans="1:40">
      <c r="A195">
        <v>43</v>
      </c>
      <c r="B195" t="s">
        <v>51</v>
      </c>
      <c r="C195" t="s">
        <v>77</v>
      </c>
      <c r="D195">
        <v>1344</v>
      </c>
      <c r="E195" t="s">
        <v>53</v>
      </c>
      <c r="F195">
        <v>7</v>
      </c>
      <c r="G195">
        <v>3</v>
      </c>
      <c r="H195" t="s">
        <v>69</v>
      </c>
      <c r="I195">
        <v>262</v>
      </c>
      <c r="J195">
        <v>4</v>
      </c>
      <c r="K195" t="s">
        <v>54</v>
      </c>
      <c r="L195">
        <v>37</v>
      </c>
      <c r="M195">
        <v>4</v>
      </c>
      <c r="N195">
        <v>1</v>
      </c>
      <c r="O195" t="s">
        <v>55</v>
      </c>
      <c r="P195">
        <v>4</v>
      </c>
      <c r="Q195" t="s">
        <v>74</v>
      </c>
      <c r="R195">
        <v>2089</v>
      </c>
      <c r="S195">
        <v>5228</v>
      </c>
      <c r="T195">
        <v>4</v>
      </c>
      <c r="U195" t="s">
        <v>51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  <c r="AG195" t="s">
        <v>45</v>
      </c>
      <c r="AH195" t="s">
        <v>81</v>
      </c>
      <c r="AI195">
        <v>0</v>
      </c>
      <c r="AJ195" t="s">
        <v>65</v>
      </c>
      <c r="AK195" t="s">
        <v>72</v>
      </c>
      <c r="AL195" t="s">
        <v>49</v>
      </c>
      <c r="AM195" t="s">
        <v>85</v>
      </c>
      <c r="AN195">
        <f t="shared" ref="AN195:AN258" si="3">((3-P195)*3+((3-AB195)*2+AE195))</f>
        <v>-3</v>
      </c>
    </row>
    <row r="196" spans="1:40">
      <c r="A196">
        <v>45</v>
      </c>
      <c r="B196" t="s">
        <v>51</v>
      </c>
      <c r="C196" t="s">
        <v>77</v>
      </c>
      <c r="D196">
        <v>1195</v>
      </c>
      <c r="E196" t="s">
        <v>53</v>
      </c>
      <c r="F196">
        <v>2</v>
      </c>
      <c r="G196">
        <v>2</v>
      </c>
      <c r="H196" t="s">
        <v>69</v>
      </c>
      <c r="I196">
        <v>264</v>
      </c>
      <c r="J196">
        <v>1</v>
      </c>
      <c r="K196" t="s">
        <v>54</v>
      </c>
      <c r="L196">
        <v>65</v>
      </c>
      <c r="M196">
        <v>2</v>
      </c>
      <c r="N196">
        <v>4</v>
      </c>
      <c r="O196" t="s">
        <v>79</v>
      </c>
      <c r="P196">
        <v>4</v>
      </c>
      <c r="Q196" t="s">
        <v>56</v>
      </c>
      <c r="R196">
        <v>16792</v>
      </c>
      <c r="S196">
        <v>20462</v>
      </c>
      <c r="T196">
        <v>9</v>
      </c>
      <c r="U196" t="s">
        <v>51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  <c r="AG196" t="s">
        <v>45</v>
      </c>
      <c r="AH196" t="s">
        <v>46</v>
      </c>
      <c r="AI196">
        <v>0</v>
      </c>
      <c r="AJ196" t="s">
        <v>80</v>
      </c>
      <c r="AK196" t="s">
        <v>48</v>
      </c>
      <c r="AL196" t="s">
        <v>49</v>
      </c>
      <c r="AM196" t="s">
        <v>61</v>
      </c>
      <c r="AN196">
        <f t="shared" si="3"/>
        <v>8</v>
      </c>
    </row>
    <row r="197" spans="1:40">
      <c r="A197">
        <v>37</v>
      </c>
      <c r="B197" t="s">
        <v>51</v>
      </c>
      <c r="C197" t="s">
        <v>39</v>
      </c>
      <c r="D197">
        <v>290</v>
      </c>
      <c r="E197" t="s">
        <v>53</v>
      </c>
      <c r="F197">
        <v>21</v>
      </c>
      <c r="G197">
        <v>3</v>
      </c>
      <c r="H197" t="s">
        <v>41</v>
      </c>
      <c r="I197">
        <v>267</v>
      </c>
      <c r="J197">
        <v>2</v>
      </c>
      <c r="K197" t="s">
        <v>54</v>
      </c>
      <c r="L197">
        <v>65</v>
      </c>
      <c r="M197">
        <v>4</v>
      </c>
      <c r="N197">
        <v>1</v>
      </c>
      <c r="O197" t="s">
        <v>55</v>
      </c>
      <c r="P197">
        <v>1</v>
      </c>
      <c r="Q197" t="s">
        <v>56</v>
      </c>
      <c r="R197">
        <v>3564</v>
      </c>
      <c r="S197">
        <v>22977</v>
      </c>
      <c r="T197">
        <v>1</v>
      </c>
      <c r="U197" t="s">
        <v>38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  <c r="AG197" t="s">
        <v>45</v>
      </c>
      <c r="AH197" t="s">
        <v>46</v>
      </c>
      <c r="AI197">
        <v>0</v>
      </c>
      <c r="AJ197" t="s">
        <v>47</v>
      </c>
      <c r="AK197" t="s">
        <v>72</v>
      </c>
      <c r="AL197" t="s">
        <v>73</v>
      </c>
      <c r="AM197" t="s">
        <v>70</v>
      </c>
      <c r="AN197">
        <f t="shared" si="3"/>
        <v>9</v>
      </c>
    </row>
    <row r="198" spans="1:40">
      <c r="A198">
        <v>35</v>
      </c>
      <c r="B198" t="s">
        <v>51</v>
      </c>
      <c r="C198" t="s">
        <v>52</v>
      </c>
      <c r="D198">
        <v>138</v>
      </c>
      <c r="E198" t="s">
        <v>53</v>
      </c>
      <c r="F198">
        <v>2</v>
      </c>
      <c r="G198">
        <v>3</v>
      </c>
      <c r="H198" t="s">
        <v>69</v>
      </c>
      <c r="I198">
        <v>269</v>
      </c>
      <c r="J198">
        <v>2</v>
      </c>
      <c r="K198" t="s">
        <v>42</v>
      </c>
      <c r="L198">
        <v>37</v>
      </c>
      <c r="M198">
        <v>3</v>
      </c>
      <c r="N198">
        <v>2</v>
      </c>
      <c r="O198" t="s">
        <v>63</v>
      </c>
      <c r="P198">
        <v>2</v>
      </c>
      <c r="Q198" t="s">
        <v>44</v>
      </c>
      <c r="R198">
        <v>4425</v>
      </c>
      <c r="S198">
        <v>15986</v>
      </c>
      <c r="T198">
        <v>5</v>
      </c>
      <c r="U198" t="s">
        <v>51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  <c r="AG198" t="s">
        <v>67</v>
      </c>
      <c r="AH198" t="s">
        <v>46</v>
      </c>
      <c r="AI198">
        <v>0</v>
      </c>
      <c r="AJ198" t="s">
        <v>58</v>
      </c>
      <c r="AK198" t="s">
        <v>72</v>
      </c>
      <c r="AL198" t="s">
        <v>60</v>
      </c>
      <c r="AM198" t="s">
        <v>61</v>
      </c>
      <c r="AN198">
        <f t="shared" si="3"/>
        <v>4</v>
      </c>
    </row>
    <row r="199" spans="1:40">
      <c r="A199">
        <v>42</v>
      </c>
      <c r="B199" t="s">
        <v>51</v>
      </c>
      <c r="C199" t="s">
        <v>77</v>
      </c>
      <c r="D199">
        <v>926</v>
      </c>
      <c r="E199" t="s">
        <v>53</v>
      </c>
      <c r="F199">
        <v>21</v>
      </c>
      <c r="G199">
        <v>2</v>
      </c>
      <c r="H199" t="s">
        <v>69</v>
      </c>
      <c r="I199">
        <v>270</v>
      </c>
      <c r="J199">
        <v>3</v>
      </c>
      <c r="K199" t="s">
        <v>42</v>
      </c>
      <c r="L199">
        <v>36</v>
      </c>
      <c r="M199">
        <v>3</v>
      </c>
      <c r="N199">
        <v>2</v>
      </c>
      <c r="O199" t="s">
        <v>75</v>
      </c>
      <c r="P199">
        <v>3</v>
      </c>
      <c r="Q199" t="s">
        <v>74</v>
      </c>
      <c r="R199">
        <v>5265</v>
      </c>
      <c r="S199">
        <v>16439</v>
      </c>
      <c r="T199">
        <v>2</v>
      </c>
      <c r="U199" t="s">
        <v>51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  <c r="AG199" t="s">
        <v>45</v>
      </c>
      <c r="AH199" t="s">
        <v>46</v>
      </c>
      <c r="AI199">
        <v>0</v>
      </c>
      <c r="AJ199" t="s">
        <v>65</v>
      </c>
      <c r="AK199" t="s">
        <v>48</v>
      </c>
      <c r="AL199" t="s">
        <v>66</v>
      </c>
      <c r="AM199" t="s">
        <v>61</v>
      </c>
      <c r="AN199">
        <f t="shared" si="3"/>
        <v>0</v>
      </c>
    </row>
    <row r="200" spans="1:40">
      <c r="A200">
        <v>38</v>
      </c>
      <c r="B200" t="s">
        <v>51</v>
      </c>
      <c r="C200" t="s">
        <v>39</v>
      </c>
      <c r="D200">
        <v>1261</v>
      </c>
      <c r="E200" t="s">
        <v>53</v>
      </c>
      <c r="F200">
        <v>2</v>
      </c>
      <c r="G200">
        <v>4</v>
      </c>
      <c r="H200" t="s">
        <v>41</v>
      </c>
      <c r="I200">
        <v>271</v>
      </c>
      <c r="J200">
        <v>4</v>
      </c>
      <c r="K200" t="s">
        <v>54</v>
      </c>
      <c r="L200">
        <v>88</v>
      </c>
      <c r="M200">
        <v>3</v>
      </c>
      <c r="N200">
        <v>2</v>
      </c>
      <c r="O200" t="s">
        <v>75</v>
      </c>
      <c r="P200">
        <v>3</v>
      </c>
      <c r="Q200" t="s">
        <v>56</v>
      </c>
      <c r="R200">
        <v>6553</v>
      </c>
      <c r="S200">
        <v>7259</v>
      </c>
      <c r="T200">
        <v>9</v>
      </c>
      <c r="U200" t="s">
        <v>51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  <c r="AG200" t="s">
        <v>45</v>
      </c>
      <c r="AH200" t="s">
        <v>71</v>
      </c>
      <c r="AI200">
        <v>0</v>
      </c>
      <c r="AJ200" t="s">
        <v>65</v>
      </c>
      <c r="AK200" t="s">
        <v>68</v>
      </c>
      <c r="AL200" t="s">
        <v>66</v>
      </c>
      <c r="AM200" t="s">
        <v>61</v>
      </c>
      <c r="AN200">
        <f t="shared" si="3"/>
        <v>0</v>
      </c>
    </row>
    <row r="201" spans="1:40">
      <c r="A201">
        <v>38</v>
      </c>
      <c r="B201" t="s">
        <v>51</v>
      </c>
      <c r="C201" t="s">
        <v>39</v>
      </c>
      <c r="D201">
        <v>1084</v>
      </c>
      <c r="E201" t="s">
        <v>53</v>
      </c>
      <c r="F201">
        <v>29</v>
      </c>
      <c r="G201">
        <v>3</v>
      </c>
      <c r="H201" t="s">
        <v>86</v>
      </c>
      <c r="I201">
        <v>273</v>
      </c>
      <c r="J201">
        <v>4</v>
      </c>
      <c r="K201" t="s">
        <v>54</v>
      </c>
      <c r="L201">
        <v>54</v>
      </c>
      <c r="M201">
        <v>3</v>
      </c>
      <c r="N201">
        <v>2</v>
      </c>
      <c r="O201" t="s">
        <v>75</v>
      </c>
      <c r="P201">
        <v>4</v>
      </c>
      <c r="Q201" t="s">
        <v>56</v>
      </c>
      <c r="R201">
        <v>6261</v>
      </c>
      <c r="S201">
        <v>4185</v>
      </c>
      <c r="T201">
        <v>3</v>
      </c>
      <c r="U201" t="s">
        <v>51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  <c r="AG201" t="s">
        <v>45</v>
      </c>
      <c r="AH201" t="s">
        <v>81</v>
      </c>
      <c r="AI201">
        <v>0</v>
      </c>
      <c r="AJ201" t="s">
        <v>47</v>
      </c>
      <c r="AK201" t="s">
        <v>72</v>
      </c>
      <c r="AL201" t="s">
        <v>49</v>
      </c>
      <c r="AM201" t="s">
        <v>50</v>
      </c>
      <c r="AN201">
        <f t="shared" si="3"/>
        <v>2</v>
      </c>
    </row>
    <row r="202" spans="1:40">
      <c r="A202">
        <v>27</v>
      </c>
      <c r="B202" t="s">
        <v>51</v>
      </c>
      <c r="C202" t="s">
        <v>52</v>
      </c>
      <c r="D202">
        <v>472</v>
      </c>
      <c r="E202" t="s">
        <v>53</v>
      </c>
      <c r="F202">
        <v>1</v>
      </c>
      <c r="G202">
        <v>1</v>
      </c>
      <c r="H202" t="s">
        <v>86</v>
      </c>
      <c r="I202">
        <v>274</v>
      </c>
      <c r="J202">
        <v>3</v>
      </c>
      <c r="K202" t="s">
        <v>54</v>
      </c>
      <c r="L202">
        <v>60</v>
      </c>
      <c r="M202">
        <v>2</v>
      </c>
      <c r="N202">
        <v>2</v>
      </c>
      <c r="O202" t="s">
        <v>75</v>
      </c>
      <c r="P202">
        <v>1</v>
      </c>
      <c r="Q202" t="s">
        <v>56</v>
      </c>
      <c r="R202">
        <v>4298</v>
      </c>
      <c r="S202">
        <v>9679</v>
      </c>
      <c r="T202">
        <v>5</v>
      </c>
      <c r="U202" t="s">
        <v>51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  <c r="AG202" t="s">
        <v>67</v>
      </c>
      <c r="AH202" t="s">
        <v>71</v>
      </c>
      <c r="AI202">
        <v>0</v>
      </c>
      <c r="AJ202" t="s">
        <v>65</v>
      </c>
      <c r="AK202" t="s">
        <v>59</v>
      </c>
      <c r="AL202" t="s">
        <v>73</v>
      </c>
      <c r="AM202" t="s">
        <v>61</v>
      </c>
      <c r="AN202">
        <f t="shared" si="3"/>
        <v>8</v>
      </c>
    </row>
    <row r="203" spans="1:40">
      <c r="A203">
        <v>49</v>
      </c>
      <c r="B203" t="s">
        <v>51</v>
      </c>
      <c r="C203" t="s">
        <v>77</v>
      </c>
      <c r="D203">
        <v>1002</v>
      </c>
      <c r="E203" t="s">
        <v>53</v>
      </c>
      <c r="F203">
        <v>18</v>
      </c>
      <c r="G203">
        <v>4</v>
      </c>
      <c r="H203" t="s">
        <v>41</v>
      </c>
      <c r="I203">
        <v>275</v>
      </c>
      <c r="J203">
        <v>4</v>
      </c>
      <c r="K203" t="s">
        <v>54</v>
      </c>
      <c r="L203">
        <v>92</v>
      </c>
      <c r="M203">
        <v>3</v>
      </c>
      <c r="N203">
        <v>2</v>
      </c>
      <c r="O203" t="s">
        <v>75</v>
      </c>
      <c r="P203">
        <v>4</v>
      </c>
      <c r="Q203" t="s">
        <v>74</v>
      </c>
      <c r="R203">
        <v>6804</v>
      </c>
      <c r="S203">
        <v>23793</v>
      </c>
      <c r="T203">
        <v>1</v>
      </c>
      <c r="U203" t="s">
        <v>38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  <c r="AG203" t="s">
        <v>57</v>
      </c>
      <c r="AH203" t="s">
        <v>46</v>
      </c>
      <c r="AI203">
        <v>0</v>
      </c>
      <c r="AJ203" t="s">
        <v>58</v>
      </c>
      <c r="AK203" t="s">
        <v>68</v>
      </c>
      <c r="AL203" t="s">
        <v>49</v>
      </c>
      <c r="AM203" t="s">
        <v>61</v>
      </c>
      <c r="AN203">
        <f t="shared" si="3"/>
        <v>-2</v>
      </c>
    </row>
    <row r="204" spans="1:40">
      <c r="A204">
        <v>34</v>
      </c>
      <c r="B204" t="s">
        <v>51</v>
      </c>
      <c r="C204" t="s">
        <v>52</v>
      </c>
      <c r="D204">
        <v>878</v>
      </c>
      <c r="E204" t="s">
        <v>53</v>
      </c>
      <c r="F204">
        <v>10</v>
      </c>
      <c r="G204">
        <v>4</v>
      </c>
      <c r="H204" t="s">
        <v>69</v>
      </c>
      <c r="I204">
        <v>277</v>
      </c>
      <c r="J204">
        <v>4</v>
      </c>
      <c r="K204" t="s">
        <v>54</v>
      </c>
      <c r="L204">
        <v>43</v>
      </c>
      <c r="M204">
        <v>3</v>
      </c>
      <c r="N204">
        <v>1</v>
      </c>
      <c r="O204" t="s">
        <v>55</v>
      </c>
      <c r="P204">
        <v>3</v>
      </c>
      <c r="Q204" t="s">
        <v>74</v>
      </c>
      <c r="R204">
        <v>3815</v>
      </c>
      <c r="S204">
        <v>5972</v>
      </c>
      <c r="T204">
        <v>1</v>
      </c>
      <c r="U204" t="s">
        <v>38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  <c r="AG204" t="s">
        <v>67</v>
      </c>
      <c r="AH204" t="s">
        <v>81</v>
      </c>
      <c r="AI204">
        <v>0</v>
      </c>
      <c r="AJ204" t="s">
        <v>65</v>
      </c>
      <c r="AK204" t="s">
        <v>68</v>
      </c>
      <c r="AL204" t="s">
        <v>66</v>
      </c>
      <c r="AM204" t="s">
        <v>85</v>
      </c>
      <c r="AN204">
        <f t="shared" si="3"/>
        <v>0</v>
      </c>
    </row>
    <row r="205" spans="1:40">
      <c r="A205">
        <v>40</v>
      </c>
      <c r="B205" t="s">
        <v>51</v>
      </c>
      <c r="C205" t="s">
        <v>39</v>
      </c>
      <c r="D205">
        <v>905</v>
      </c>
      <c r="E205" t="s">
        <v>53</v>
      </c>
      <c r="F205">
        <v>19</v>
      </c>
      <c r="G205">
        <v>2</v>
      </c>
      <c r="H205" t="s">
        <v>69</v>
      </c>
      <c r="I205">
        <v>281</v>
      </c>
      <c r="J205">
        <v>3</v>
      </c>
      <c r="K205" t="s">
        <v>54</v>
      </c>
      <c r="L205">
        <v>99</v>
      </c>
      <c r="M205">
        <v>3</v>
      </c>
      <c r="N205">
        <v>2</v>
      </c>
      <c r="O205" t="s">
        <v>63</v>
      </c>
      <c r="P205">
        <v>4</v>
      </c>
      <c r="Q205" t="s">
        <v>56</v>
      </c>
      <c r="R205">
        <v>2741</v>
      </c>
      <c r="S205">
        <v>16523</v>
      </c>
      <c r="T205">
        <v>8</v>
      </c>
      <c r="U205" t="s">
        <v>38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  <c r="AG205" t="s">
        <v>45</v>
      </c>
      <c r="AH205" t="s">
        <v>46</v>
      </c>
      <c r="AI205">
        <v>0</v>
      </c>
      <c r="AJ205" t="s">
        <v>58</v>
      </c>
      <c r="AK205" t="s">
        <v>48</v>
      </c>
      <c r="AL205" t="s">
        <v>49</v>
      </c>
      <c r="AM205" t="s">
        <v>85</v>
      </c>
      <c r="AN205">
        <f t="shared" si="3"/>
        <v>-2</v>
      </c>
    </row>
    <row r="206" spans="1:40">
      <c r="A206">
        <v>38</v>
      </c>
      <c r="B206" t="s">
        <v>38</v>
      </c>
      <c r="C206" t="s">
        <v>39</v>
      </c>
      <c r="D206">
        <v>1180</v>
      </c>
      <c r="E206" t="s">
        <v>53</v>
      </c>
      <c r="F206">
        <v>29</v>
      </c>
      <c r="G206">
        <v>1</v>
      </c>
      <c r="H206" t="s">
        <v>69</v>
      </c>
      <c r="I206">
        <v>282</v>
      </c>
      <c r="J206">
        <v>2</v>
      </c>
      <c r="K206" t="s">
        <v>54</v>
      </c>
      <c r="L206">
        <v>70</v>
      </c>
      <c r="M206">
        <v>3</v>
      </c>
      <c r="N206">
        <v>2</v>
      </c>
      <c r="O206" t="s">
        <v>76</v>
      </c>
      <c r="P206">
        <v>1</v>
      </c>
      <c r="Q206" t="s">
        <v>56</v>
      </c>
      <c r="R206">
        <v>6673</v>
      </c>
      <c r="S206">
        <v>11354</v>
      </c>
      <c r="T206">
        <v>7</v>
      </c>
      <c r="U206" t="s">
        <v>38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  <c r="AG206" t="s">
        <v>45</v>
      </c>
      <c r="AH206" t="s">
        <v>46</v>
      </c>
      <c r="AI206">
        <v>1</v>
      </c>
      <c r="AJ206" t="s">
        <v>65</v>
      </c>
      <c r="AK206" t="s">
        <v>59</v>
      </c>
      <c r="AL206" t="s">
        <v>73</v>
      </c>
      <c r="AM206" t="s">
        <v>61</v>
      </c>
      <c r="AN206">
        <f t="shared" si="3"/>
        <v>6</v>
      </c>
    </row>
    <row r="207" spans="1:40">
      <c r="A207">
        <v>29</v>
      </c>
      <c r="B207" t="s">
        <v>38</v>
      </c>
      <c r="C207" t="s">
        <v>39</v>
      </c>
      <c r="D207">
        <v>121</v>
      </c>
      <c r="E207" t="s">
        <v>40</v>
      </c>
      <c r="F207">
        <v>27</v>
      </c>
      <c r="G207">
        <v>3</v>
      </c>
      <c r="H207" t="s">
        <v>84</v>
      </c>
      <c r="I207">
        <v>283</v>
      </c>
      <c r="J207">
        <v>2</v>
      </c>
      <c r="K207" t="s">
        <v>42</v>
      </c>
      <c r="L207">
        <v>35</v>
      </c>
      <c r="M207">
        <v>3</v>
      </c>
      <c r="N207">
        <v>3</v>
      </c>
      <c r="O207" t="s">
        <v>43</v>
      </c>
      <c r="P207">
        <v>4</v>
      </c>
      <c r="Q207" t="s">
        <v>56</v>
      </c>
      <c r="R207">
        <v>7639</v>
      </c>
      <c r="S207">
        <v>24525</v>
      </c>
      <c r="T207">
        <v>1</v>
      </c>
      <c r="U207" t="s">
        <v>51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  <c r="AG207" t="s">
        <v>67</v>
      </c>
      <c r="AH207" t="s">
        <v>46</v>
      </c>
      <c r="AI207">
        <v>1</v>
      </c>
      <c r="AJ207" t="s">
        <v>47</v>
      </c>
      <c r="AK207" t="s">
        <v>72</v>
      </c>
      <c r="AL207" t="s">
        <v>49</v>
      </c>
      <c r="AM207" t="s">
        <v>70</v>
      </c>
      <c r="AN207">
        <f t="shared" si="3"/>
        <v>0</v>
      </c>
    </row>
    <row r="208" spans="1:40">
      <c r="A208">
        <v>22</v>
      </c>
      <c r="B208" t="s">
        <v>51</v>
      </c>
      <c r="C208" t="s">
        <v>39</v>
      </c>
      <c r="D208">
        <v>1136</v>
      </c>
      <c r="E208" t="s">
        <v>53</v>
      </c>
      <c r="F208">
        <v>5</v>
      </c>
      <c r="G208">
        <v>3</v>
      </c>
      <c r="H208" t="s">
        <v>41</v>
      </c>
      <c r="I208">
        <v>284</v>
      </c>
      <c r="J208">
        <v>4</v>
      </c>
      <c r="K208" t="s">
        <v>54</v>
      </c>
      <c r="L208">
        <v>60</v>
      </c>
      <c r="M208">
        <v>4</v>
      </c>
      <c r="N208">
        <v>1</v>
      </c>
      <c r="O208" t="s">
        <v>55</v>
      </c>
      <c r="P208">
        <v>2</v>
      </c>
      <c r="Q208" t="s">
        <v>74</v>
      </c>
      <c r="R208">
        <v>2328</v>
      </c>
      <c r="S208">
        <v>12392</v>
      </c>
      <c r="T208">
        <v>1</v>
      </c>
      <c r="U208" t="s">
        <v>38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  <c r="AG208" t="s">
        <v>78</v>
      </c>
      <c r="AH208" t="s">
        <v>46</v>
      </c>
      <c r="AI208">
        <v>0</v>
      </c>
      <c r="AJ208" t="s">
        <v>47</v>
      </c>
      <c r="AK208" t="s">
        <v>72</v>
      </c>
      <c r="AL208" t="s">
        <v>60</v>
      </c>
      <c r="AM208" t="s">
        <v>70</v>
      </c>
      <c r="AN208">
        <f t="shared" si="3"/>
        <v>7</v>
      </c>
    </row>
    <row r="209" spans="1:40">
      <c r="A209">
        <v>36</v>
      </c>
      <c r="B209" t="s">
        <v>51</v>
      </c>
      <c r="C209" t="s">
        <v>52</v>
      </c>
      <c r="D209">
        <v>635</v>
      </c>
      <c r="E209" t="s">
        <v>53</v>
      </c>
      <c r="F209">
        <v>18</v>
      </c>
      <c r="G209">
        <v>1</v>
      </c>
      <c r="H209" t="s">
        <v>69</v>
      </c>
      <c r="I209">
        <v>286</v>
      </c>
      <c r="J209">
        <v>2</v>
      </c>
      <c r="K209" t="s">
        <v>42</v>
      </c>
      <c r="L209">
        <v>73</v>
      </c>
      <c r="M209">
        <v>3</v>
      </c>
      <c r="N209">
        <v>1</v>
      </c>
      <c r="O209" t="s">
        <v>63</v>
      </c>
      <c r="P209">
        <v>4</v>
      </c>
      <c r="Q209" t="s">
        <v>44</v>
      </c>
      <c r="R209">
        <v>2153</v>
      </c>
      <c r="S209">
        <v>7703</v>
      </c>
      <c r="T209">
        <v>1</v>
      </c>
      <c r="U209" t="s">
        <v>51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  <c r="AG209" t="s">
        <v>45</v>
      </c>
      <c r="AH209" t="s">
        <v>71</v>
      </c>
      <c r="AI209">
        <v>0</v>
      </c>
      <c r="AJ209" t="s">
        <v>58</v>
      </c>
      <c r="AK209" t="s">
        <v>59</v>
      </c>
      <c r="AL209" t="s">
        <v>49</v>
      </c>
      <c r="AM209" t="s">
        <v>61</v>
      </c>
      <c r="AN209">
        <f t="shared" si="3"/>
        <v>-2</v>
      </c>
    </row>
    <row r="210" spans="1:40">
      <c r="A210">
        <v>40</v>
      </c>
      <c r="B210" t="s">
        <v>51</v>
      </c>
      <c r="C210" t="s">
        <v>77</v>
      </c>
      <c r="D210">
        <v>1151</v>
      </c>
      <c r="E210" t="s">
        <v>53</v>
      </c>
      <c r="F210">
        <v>9</v>
      </c>
      <c r="G210">
        <v>5</v>
      </c>
      <c r="H210" t="s">
        <v>41</v>
      </c>
      <c r="I210">
        <v>287</v>
      </c>
      <c r="J210">
        <v>4</v>
      </c>
      <c r="K210" t="s">
        <v>54</v>
      </c>
      <c r="L210">
        <v>63</v>
      </c>
      <c r="M210">
        <v>2</v>
      </c>
      <c r="N210">
        <v>2</v>
      </c>
      <c r="O210" t="s">
        <v>76</v>
      </c>
      <c r="P210">
        <v>4</v>
      </c>
      <c r="Q210" t="s">
        <v>56</v>
      </c>
      <c r="R210">
        <v>4876</v>
      </c>
      <c r="S210">
        <v>14242</v>
      </c>
      <c r="T210">
        <v>9</v>
      </c>
      <c r="U210" t="s">
        <v>51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  <c r="AG210" t="s">
        <v>45</v>
      </c>
      <c r="AH210" t="s">
        <v>46</v>
      </c>
      <c r="AI210">
        <v>0</v>
      </c>
      <c r="AJ210" t="s">
        <v>47</v>
      </c>
      <c r="AK210" t="s">
        <v>87</v>
      </c>
      <c r="AL210" t="s">
        <v>49</v>
      </c>
      <c r="AM210" t="s">
        <v>50</v>
      </c>
      <c r="AN210">
        <f t="shared" si="3"/>
        <v>1</v>
      </c>
    </row>
    <row r="211" spans="1:40">
      <c r="A211">
        <v>46</v>
      </c>
      <c r="B211" t="s">
        <v>51</v>
      </c>
      <c r="C211" t="s">
        <v>39</v>
      </c>
      <c r="D211">
        <v>644</v>
      </c>
      <c r="E211" t="s">
        <v>53</v>
      </c>
      <c r="F211">
        <v>1</v>
      </c>
      <c r="G211">
        <v>4</v>
      </c>
      <c r="H211" t="s">
        <v>69</v>
      </c>
      <c r="I211">
        <v>288</v>
      </c>
      <c r="J211">
        <v>4</v>
      </c>
      <c r="K211" t="s">
        <v>54</v>
      </c>
      <c r="L211">
        <v>97</v>
      </c>
      <c r="M211">
        <v>3</v>
      </c>
      <c r="N211">
        <v>3</v>
      </c>
      <c r="O211" t="s">
        <v>76</v>
      </c>
      <c r="P211">
        <v>1</v>
      </c>
      <c r="Q211" t="s">
        <v>74</v>
      </c>
      <c r="R211">
        <v>9396</v>
      </c>
      <c r="S211">
        <v>12368</v>
      </c>
      <c r="T211">
        <v>7</v>
      </c>
      <c r="U211" t="s">
        <v>51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  <c r="AG211" t="s">
        <v>57</v>
      </c>
      <c r="AH211" t="s">
        <v>46</v>
      </c>
      <c r="AI211">
        <v>0</v>
      </c>
      <c r="AJ211" t="s">
        <v>65</v>
      </c>
      <c r="AK211" t="s">
        <v>68</v>
      </c>
      <c r="AL211" t="s">
        <v>73</v>
      </c>
      <c r="AM211" t="s">
        <v>61</v>
      </c>
      <c r="AN211">
        <f t="shared" si="3"/>
        <v>6</v>
      </c>
    </row>
    <row r="212" spans="1:40">
      <c r="A212">
        <v>32</v>
      </c>
      <c r="B212" t="s">
        <v>38</v>
      </c>
      <c r="C212" t="s">
        <v>39</v>
      </c>
      <c r="D212">
        <v>1045</v>
      </c>
      <c r="E212" t="s">
        <v>40</v>
      </c>
      <c r="F212">
        <v>4</v>
      </c>
      <c r="G212">
        <v>4</v>
      </c>
      <c r="H212" t="s">
        <v>69</v>
      </c>
      <c r="I212">
        <v>291</v>
      </c>
      <c r="J212">
        <v>4</v>
      </c>
      <c r="K212" t="s">
        <v>54</v>
      </c>
      <c r="L212">
        <v>32</v>
      </c>
      <c r="M212">
        <v>1</v>
      </c>
      <c r="N212">
        <v>3</v>
      </c>
      <c r="O212" t="s">
        <v>43</v>
      </c>
      <c r="P212">
        <v>4</v>
      </c>
      <c r="Q212" t="s">
        <v>56</v>
      </c>
      <c r="R212">
        <v>10400</v>
      </c>
      <c r="S212">
        <v>25812</v>
      </c>
      <c r="T212">
        <v>1</v>
      </c>
      <c r="U212" t="s">
        <v>51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  <c r="AG212" t="s">
        <v>67</v>
      </c>
      <c r="AH212" t="s">
        <v>46</v>
      </c>
      <c r="AI212">
        <v>1</v>
      </c>
      <c r="AJ212" t="s">
        <v>47</v>
      </c>
      <c r="AK212" t="s">
        <v>68</v>
      </c>
      <c r="AL212" t="s">
        <v>49</v>
      </c>
      <c r="AM212" t="s">
        <v>70</v>
      </c>
      <c r="AN212">
        <f t="shared" si="3"/>
        <v>8</v>
      </c>
    </row>
    <row r="213" spans="1:40">
      <c r="A213">
        <v>30</v>
      </c>
      <c r="B213" t="s">
        <v>51</v>
      </c>
      <c r="C213" t="s">
        <v>77</v>
      </c>
      <c r="D213">
        <v>829</v>
      </c>
      <c r="E213" t="s">
        <v>53</v>
      </c>
      <c r="F213">
        <v>1</v>
      </c>
      <c r="G213">
        <v>1</v>
      </c>
      <c r="H213" t="s">
        <v>41</v>
      </c>
      <c r="I213">
        <v>292</v>
      </c>
      <c r="J213">
        <v>3</v>
      </c>
      <c r="K213" t="s">
        <v>54</v>
      </c>
      <c r="L213">
        <v>88</v>
      </c>
      <c r="M213">
        <v>2</v>
      </c>
      <c r="N213">
        <v>3</v>
      </c>
      <c r="O213" t="s">
        <v>75</v>
      </c>
      <c r="P213">
        <v>3</v>
      </c>
      <c r="Q213" t="s">
        <v>44</v>
      </c>
      <c r="R213">
        <v>8474</v>
      </c>
      <c r="S213">
        <v>20925</v>
      </c>
      <c r="T213">
        <v>1</v>
      </c>
      <c r="U213" t="s">
        <v>51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  <c r="AG213" t="s">
        <v>67</v>
      </c>
      <c r="AH213" t="s">
        <v>46</v>
      </c>
      <c r="AI213">
        <v>0</v>
      </c>
      <c r="AJ213" t="s">
        <v>80</v>
      </c>
      <c r="AK213" t="s">
        <v>59</v>
      </c>
      <c r="AL213" t="s">
        <v>66</v>
      </c>
      <c r="AM213" t="s">
        <v>61</v>
      </c>
      <c r="AN213">
        <f t="shared" si="3"/>
        <v>5</v>
      </c>
    </row>
    <row r="214" spans="1:40">
      <c r="A214">
        <v>27</v>
      </c>
      <c r="B214" t="s">
        <v>51</v>
      </c>
      <c r="C214" t="s">
        <v>52</v>
      </c>
      <c r="D214">
        <v>1242</v>
      </c>
      <c r="E214" t="s">
        <v>40</v>
      </c>
      <c r="F214">
        <v>20</v>
      </c>
      <c r="G214">
        <v>3</v>
      </c>
      <c r="H214" t="s">
        <v>41</v>
      </c>
      <c r="I214">
        <v>293</v>
      </c>
      <c r="J214">
        <v>4</v>
      </c>
      <c r="K214" t="s">
        <v>42</v>
      </c>
      <c r="L214">
        <v>90</v>
      </c>
      <c r="M214">
        <v>3</v>
      </c>
      <c r="N214">
        <v>2</v>
      </c>
      <c r="O214" t="s">
        <v>43</v>
      </c>
      <c r="P214">
        <v>3</v>
      </c>
      <c r="Q214" t="s">
        <v>44</v>
      </c>
      <c r="R214">
        <v>9981</v>
      </c>
      <c r="S214">
        <v>12916</v>
      </c>
      <c r="T214">
        <v>1</v>
      </c>
      <c r="U214" t="s">
        <v>51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  <c r="AG214" t="s">
        <v>67</v>
      </c>
      <c r="AH214" t="s">
        <v>46</v>
      </c>
      <c r="AI214">
        <v>0</v>
      </c>
      <c r="AJ214" t="s">
        <v>58</v>
      </c>
      <c r="AK214" t="s">
        <v>72</v>
      </c>
      <c r="AL214" t="s">
        <v>66</v>
      </c>
      <c r="AM214" t="s">
        <v>61</v>
      </c>
      <c r="AN214">
        <f t="shared" si="3"/>
        <v>0</v>
      </c>
    </row>
    <row r="215" spans="1:40">
      <c r="A215">
        <v>51</v>
      </c>
      <c r="B215" t="s">
        <v>51</v>
      </c>
      <c r="C215" t="s">
        <v>39</v>
      </c>
      <c r="D215">
        <v>1469</v>
      </c>
      <c r="E215" t="s">
        <v>53</v>
      </c>
      <c r="F215">
        <v>8</v>
      </c>
      <c r="G215">
        <v>4</v>
      </c>
      <c r="H215" t="s">
        <v>41</v>
      </c>
      <c r="I215">
        <v>296</v>
      </c>
      <c r="J215">
        <v>2</v>
      </c>
      <c r="K215" t="s">
        <v>54</v>
      </c>
      <c r="L215">
        <v>81</v>
      </c>
      <c r="M215">
        <v>2</v>
      </c>
      <c r="N215">
        <v>3</v>
      </c>
      <c r="O215" t="s">
        <v>83</v>
      </c>
      <c r="P215">
        <v>2</v>
      </c>
      <c r="Q215" t="s">
        <v>56</v>
      </c>
      <c r="R215">
        <v>12490</v>
      </c>
      <c r="S215">
        <v>15736</v>
      </c>
      <c r="T215">
        <v>5</v>
      </c>
      <c r="U215" t="s">
        <v>51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  <c r="AG215" t="s">
        <v>57</v>
      </c>
      <c r="AH215" t="s">
        <v>46</v>
      </c>
      <c r="AI215">
        <v>0</v>
      </c>
      <c r="AJ215" t="s">
        <v>47</v>
      </c>
      <c r="AK215" t="s">
        <v>68</v>
      </c>
      <c r="AL215" t="s">
        <v>60</v>
      </c>
      <c r="AM215" t="s">
        <v>50</v>
      </c>
      <c r="AN215">
        <f t="shared" si="3"/>
        <v>11</v>
      </c>
    </row>
    <row r="216" spans="1:40">
      <c r="A216">
        <v>30</v>
      </c>
      <c r="B216" t="s">
        <v>38</v>
      </c>
      <c r="C216" t="s">
        <v>39</v>
      </c>
      <c r="D216">
        <v>1005</v>
      </c>
      <c r="E216" t="s">
        <v>53</v>
      </c>
      <c r="F216">
        <v>3</v>
      </c>
      <c r="G216">
        <v>3</v>
      </c>
      <c r="H216" t="s">
        <v>86</v>
      </c>
      <c r="I216">
        <v>297</v>
      </c>
      <c r="J216">
        <v>4</v>
      </c>
      <c r="K216" t="s">
        <v>42</v>
      </c>
      <c r="L216">
        <v>88</v>
      </c>
      <c r="M216">
        <v>3</v>
      </c>
      <c r="N216">
        <v>1</v>
      </c>
      <c r="O216" t="s">
        <v>55</v>
      </c>
      <c r="P216">
        <v>1</v>
      </c>
      <c r="Q216" t="s">
        <v>44</v>
      </c>
      <c r="R216">
        <v>2657</v>
      </c>
      <c r="S216">
        <v>8556</v>
      </c>
      <c r="T216">
        <v>5</v>
      </c>
      <c r="U216" t="s">
        <v>38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  <c r="AG216" t="s">
        <v>67</v>
      </c>
      <c r="AH216" t="s">
        <v>71</v>
      </c>
      <c r="AI216">
        <v>1</v>
      </c>
      <c r="AJ216" t="s">
        <v>65</v>
      </c>
      <c r="AK216" t="s">
        <v>72</v>
      </c>
      <c r="AL216" t="s">
        <v>73</v>
      </c>
      <c r="AM216" t="s">
        <v>61</v>
      </c>
      <c r="AN216">
        <f t="shared" si="3"/>
        <v>6</v>
      </c>
    </row>
    <row r="217" spans="1:40">
      <c r="A217">
        <v>41</v>
      </c>
      <c r="B217" t="s">
        <v>51</v>
      </c>
      <c r="C217" t="s">
        <v>39</v>
      </c>
      <c r="D217">
        <v>896</v>
      </c>
      <c r="E217" t="s">
        <v>40</v>
      </c>
      <c r="F217">
        <v>6</v>
      </c>
      <c r="G217">
        <v>3</v>
      </c>
      <c r="H217" t="s">
        <v>41</v>
      </c>
      <c r="I217">
        <v>298</v>
      </c>
      <c r="J217">
        <v>4</v>
      </c>
      <c r="K217" t="s">
        <v>42</v>
      </c>
      <c r="L217">
        <v>75</v>
      </c>
      <c r="M217">
        <v>3</v>
      </c>
      <c r="N217">
        <v>3</v>
      </c>
      <c r="O217" t="s">
        <v>79</v>
      </c>
      <c r="P217">
        <v>4</v>
      </c>
      <c r="Q217" t="s">
        <v>44</v>
      </c>
      <c r="R217">
        <v>13591</v>
      </c>
      <c r="S217">
        <v>14674</v>
      </c>
      <c r="T217">
        <v>3</v>
      </c>
      <c r="U217" t="s">
        <v>38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  <c r="AG217" t="s">
        <v>45</v>
      </c>
      <c r="AH217" t="s">
        <v>46</v>
      </c>
      <c r="AI217">
        <v>0</v>
      </c>
      <c r="AJ217" t="s">
        <v>65</v>
      </c>
      <c r="AK217" t="s">
        <v>72</v>
      </c>
      <c r="AL217" t="s">
        <v>49</v>
      </c>
      <c r="AM217" t="s">
        <v>61</v>
      </c>
      <c r="AN217">
        <f t="shared" si="3"/>
        <v>-3</v>
      </c>
    </row>
    <row r="218" spans="1:40">
      <c r="A218">
        <v>30</v>
      </c>
      <c r="B218" t="s">
        <v>38</v>
      </c>
      <c r="C218" t="s">
        <v>52</v>
      </c>
      <c r="D218">
        <v>334</v>
      </c>
      <c r="E218" t="s">
        <v>40</v>
      </c>
      <c r="F218">
        <v>26</v>
      </c>
      <c r="G218">
        <v>4</v>
      </c>
      <c r="H218" t="s">
        <v>84</v>
      </c>
      <c r="I218">
        <v>299</v>
      </c>
      <c r="J218">
        <v>3</v>
      </c>
      <c r="K218" t="s">
        <v>42</v>
      </c>
      <c r="L218">
        <v>52</v>
      </c>
      <c r="M218">
        <v>2</v>
      </c>
      <c r="N218">
        <v>2</v>
      </c>
      <c r="O218" t="s">
        <v>43</v>
      </c>
      <c r="P218">
        <v>1</v>
      </c>
      <c r="Q218" t="s">
        <v>44</v>
      </c>
      <c r="R218">
        <v>6696</v>
      </c>
      <c r="S218">
        <v>22967</v>
      </c>
      <c r="T218">
        <v>5</v>
      </c>
      <c r="U218" t="s">
        <v>51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  <c r="AG218" t="s">
        <v>67</v>
      </c>
      <c r="AH218" t="s">
        <v>46</v>
      </c>
      <c r="AI218">
        <v>1</v>
      </c>
      <c r="AJ218" t="s">
        <v>47</v>
      </c>
      <c r="AK218" t="s">
        <v>68</v>
      </c>
      <c r="AL218" t="s">
        <v>73</v>
      </c>
      <c r="AM218" t="s">
        <v>70</v>
      </c>
      <c r="AN218">
        <f t="shared" si="3"/>
        <v>8</v>
      </c>
    </row>
    <row r="219" spans="1:40">
      <c r="A219">
        <v>29</v>
      </c>
      <c r="B219" t="s">
        <v>38</v>
      </c>
      <c r="C219" t="s">
        <v>39</v>
      </c>
      <c r="D219">
        <v>992</v>
      </c>
      <c r="E219" t="s">
        <v>53</v>
      </c>
      <c r="F219">
        <v>1</v>
      </c>
      <c r="G219">
        <v>3</v>
      </c>
      <c r="H219" t="s">
        <v>86</v>
      </c>
      <c r="I219">
        <v>300</v>
      </c>
      <c r="J219">
        <v>3</v>
      </c>
      <c r="K219" t="s">
        <v>54</v>
      </c>
      <c r="L219">
        <v>85</v>
      </c>
      <c r="M219">
        <v>3</v>
      </c>
      <c r="N219">
        <v>1</v>
      </c>
      <c r="O219" t="s">
        <v>55</v>
      </c>
      <c r="P219">
        <v>3</v>
      </c>
      <c r="Q219" t="s">
        <v>44</v>
      </c>
      <c r="R219">
        <v>2058</v>
      </c>
      <c r="S219">
        <v>19757</v>
      </c>
      <c r="T219">
        <v>0</v>
      </c>
      <c r="U219" t="s">
        <v>51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  <c r="AG219" t="s">
        <v>67</v>
      </c>
      <c r="AH219" t="s">
        <v>46</v>
      </c>
      <c r="AI219">
        <v>1</v>
      </c>
      <c r="AJ219" t="s">
        <v>47</v>
      </c>
      <c r="AK219" t="s">
        <v>72</v>
      </c>
      <c r="AL219" t="s">
        <v>66</v>
      </c>
      <c r="AM219" t="s">
        <v>70</v>
      </c>
      <c r="AN219">
        <f t="shared" si="3"/>
        <v>3</v>
      </c>
    </row>
    <row r="220" spans="1:40">
      <c r="A220">
        <v>45</v>
      </c>
      <c r="B220" t="s">
        <v>51</v>
      </c>
      <c r="C220" t="s">
        <v>77</v>
      </c>
      <c r="D220">
        <v>1052</v>
      </c>
      <c r="E220" t="s">
        <v>40</v>
      </c>
      <c r="F220">
        <v>6</v>
      </c>
      <c r="G220">
        <v>3</v>
      </c>
      <c r="H220" t="s">
        <v>69</v>
      </c>
      <c r="I220">
        <v>302</v>
      </c>
      <c r="J220">
        <v>4</v>
      </c>
      <c r="K220" t="s">
        <v>42</v>
      </c>
      <c r="L220">
        <v>57</v>
      </c>
      <c r="M220">
        <v>2</v>
      </c>
      <c r="N220">
        <v>3</v>
      </c>
      <c r="O220" t="s">
        <v>43</v>
      </c>
      <c r="P220">
        <v>4</v>
      </c>
      <c r="Q220" t="s">
        <v>44</v>
      </c>
      <c r="R220">
        <v>8865</v>
      </c>
      <c r="S220">
        <v>16840</v>
      </c>
      <c r="T220">
        <v>6</v>
      </c>
      <c r="U220" t="s">
        <v>51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  <c r="AG220" t="s">
        <v>45</v>
      </c>
      <c r="AH220" t="s">
        <v>46</v>
      </c>
      <c r="AI220">
        <v>0</v>
      </c>
      <c r="AJ220" t="s">
        <v>80</v>
      </c>
      <c r="AK220" t="s">
        <v>72</v>
      </c>
      <c r="AL220" t="s">
        <v>49</v>
      </c>
      <c r="AM220" t="s">
        <v>61</v>
      </c>
      <c r="AN220">
        <f t="shared" si="3"/>
        <v>9</v>
      </c>
    </row>
    <row r="221" spans="1:40">
      <c r="A221">
        <v>54</v>
      </c>
      <c r="B221" t="s">
        <v>51</v>
      </c>
      <c r="C221" t="s">
        <v>39</v>
      </c>
      <c r="D221">
        <v>1147</v>
      </c>
      <c r="E221" t="s">
        <v>40</v>
      </c>
      <c r="F221">
        <v>3</v>
      </c>
      <c r="G221">
        <v>3</v>
      </c>
      <c r="H221" t="s">
        <v>84</v>
      </c>
      <c r="I221">
        <v>303</v>
      </c>
      <c r="J221">
        <v>4</v>
      </c>
      <c r="K221" t="s">
        <v>42</v>
      </c>
      <c r="L221">
        <v>52</v>
      </c>
      <c r="M221">
        <v>3</v>
      </c>
      <c r="N221">
        <v>2</v>
      </c>
      <c r="O221" t="s">
        <v>43</v>
      </c>
      <c r="P221">
        <v>1</v>
      </c>
      <c r="Q221" t="s">
        <v>56</v>
      </c>
      <c r="R221">
        <v>5940</v>
      </c>
      <c r="S221">
        <v>17011</v>
      </c>
      <c r="T221">
        <v>2</v>
      </c>
      <c r="U221" t="s">
        <v>51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  <c r="AG221" t="s">
        <v>57</v>
      </c>
      <c r="AH221" t="s">
        <v>46</v>
      </c>
      <c r="AI221">
        <v>0</v>
      </c>
      <c r="AJ221" t="s">
        <v>58</v>
      </c>
      <c r="AK221" t="s">
        <v>72</v>
      </c>
      <c r="AL221" t="s">
        <v>73</v>
      </c>
      <c r="AM221" t="s">
        <v>61</v>
      </c>
      <c r="AN221">
        <f t="shared" si="3"/>
        <v>6</v>
      </c>
    </row>
    <row r="222" spans="1:40">
      <c r="A222">
        <v>36</v>
      </c>
      <c r="B222" t="s">
        <v>51</v>
      </c>
      <c r="C222" t="s">
        <v>39</v>
      </c>
      <c r="D222">
        <v>1396</v>
      </c>
      <c r="E222" t="s">
        <v>53</v>
      </c>
      <c r="F222">
        <v>5</v>
      </c>
      <c r="G222">
        <v>2</v>
      </c>
      <c r="H222" t="s">
        <v>41</v>
      </c>
      <c r="I222">
        <v>304</v>
      </c>
      <c r="J222">
        <v>4</v>
      </c>
      <c r="K222" t="s">
        <v>54</v>
      </c>
      <c r="L222">
        <v>62</v>
      </c>
      <c r="M222">
        <v>3</v>
      </c>
      <c r="N222">
        <v>2</v>
      </c>
      <c r="O222" t="s">
        <v>63</v>
      </c>
      <c r="P222">
        <v>2</v>
      </c>
      <c r="Q222" t="s">
        <v>44</v>
      </c>
      <c r="R222">
        <v>5914</v>
      </c>
      <c r="S222">
        <v>9945</v>
      </c>
      <c r="T222">
        <v>8</v>
      </c>
      <c r="U222" t="s">
        <v>51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  <c r="AG222" t="s">
        <v>45</v>
      </c>
      <c r="AH222" t="s">
        <v>71</v>
      </c>
      <c r="AI222">
        <v>0</v>
      </c>
      <c r="AJ222" t="s">
        <v>80</v>
      </c>
      <c r="AK222" t="s">
        <v>48</v>
      </c>
      <c r="AL222" t="s">
        <v>60</v>
      </c>
      <c r="AM222" t="s">
        <v>85</v>
      </c>
      <c r="AN222">
        <f t="shared" si="3"/>
        <v>4</v>
      </c>
    </row>
    <row r="223" spans="1:40">
      <c r="A223">
        <v>33</v>
      </c>
      <c r="B223" t="s">
        <v>51</v>
      </c>
      <c r="C223" t="s">
        <v>39</v>
      </c>
      <c r="D223">
        <v>147</v>
      </c>
      <c r="E223" t="s">
        <v>53</v>
      </c>
      <c r="F223">
        <v>4</v>
      </c>
      <c r="G223">
        <v>4</v>
      </c>
      <c r="H223" t="s">
        <v>69</v>
      </c>
      <c r="I223">
        <v>305</v>
      </c>
      <c r="J223">
        <v>3</v>
      </c>
      <c r="K223" t="s">
        <v>42</v>
      </c>
      <c r="L223">
        <v>47</v>
      </c>
      <c r="M223">
        <v>2</v>
      </c>
      <c r="N223">
        <v>1</v>
      </c>
      <c r="O223" t="s">
        <v>55</v>
      </c>
      <c r="P223">
        <v>2</v>
      </c>
      <c r="Q223" t="s">
        <v>56</v>
      </c>
      <c r="R223">
        <v>2622</v>
      </c>
      <c r="S223">
        <v>13248</v>
      </c>
      <c r="T223">
        <v>6</v>
      </c>
      <c r="U223" t="s">
        <v>51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  <c r="AG223" t="s">
        <v>67</v>
      </c>
      <c r="AH223" t="s">
        <v>46</v>
      </c>
      <c r="AI223">
        <v>0</v>
      </c>
      <c r="AJ223" t="s">
        <v>65</v>
      </c>
      <c r="AK223" t="s">
        <v>68</v>
      </c>
      <c r="AL223" t="s">
        <v>60</v>
      </c>
      <c r="AM223" t="s">
        <v>61</v>
      </c>
      <c r="AN223">
        <f t="shared" si="3"/>
        <v>4</v>
      </c>
    </row>
    <row r="224" spans="1:40">
      <c r="A224">
        <v>37</v>
      </c>
      <c r="B224" t="s">
        <v>51</v>
      </c>
      <c r="C224" t="s">
        <v>52</v>
      </c>
      <c r="D224">
        <v>663</v>
      </c>
      <c r="E224" t="s">
        <v>53</v>
      </c>
      <c r="F224">
        <v>11</v>
      </c>
      <c r="G224">
        <v>3</v>
      </c>
      <c r="H224" t="s">
        <v>62</v>
      </c>
      <c r="I224">
        <v>306</v>
      </c>
      <c r="J224">
        <v>2</v>
      </c>
      <c r="K224" t="s">
        <v>54</v>
      </c>
      <c r="L224">
        <v>47</v>
      </c>
      <c r="M224">
        <v>3</v>
      </c>
      <c r="N224">
        <v>3</v>
      </c>
      <c r="O224" t="s">
        <v>83</v>
      </c>
      <c r="P224">
        <v>4</v>
      </c>
      <c r="Q224" t="s">
        <v>74</v>
      </c>
      <c r="R224">
        <v>12185</v>
      </c>
      <c r="S224">
        <v>10056</v>
      </c>
      <c r="T224">
        <v>1</v>
      </c>
      <c r="U224" t="s">
        <v>38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  <c r="AG224" t="s">
        <v>45</v>
      </c>
      <c r="AH224" t="s">
        <v>46</v>
      </c>
      <c r="AI224">
        <v>0</v>
      </c>
      <c r="AJ224" t="s">
        <v>58</v>
      </c>
      <c r="AK224" t="s">
        <v>72</v>
      </c>
      <c r="AL224" t="s">
        <v>49</v>
      </c>
      <c r="AM224" t="s">
        <v>61</v>
      </c>
      <c r="AN224">
        <f t="shared" si="3"/>
        <v>-3</v>
      </c>
    </row>
    <row r="225" spans="1:40">
      <c r="A225">
        <v>38</v>
      </c>
      <c r="B225" t="s">
        <v>51</v>
      </c>
      <c r="C225" t="s">
        <v>39</v>
      </c>
      <c r="D225">
        <v>119</v>
      </c>
      <c r="E225" t="s">
        <v>40</v>
      </c>
      <c r="F225">
        <v>3</v>
      </c>
      <c r="G225">
        <v>3</v>
      </c>
      <c r="H225" t="s">
        <v>41</v>
      </c>
      <c r="I225">
        <v>307</v>
      </c>
      <c r="J225">
        <v>1</v>
      </c>
      <c r="K225" t="s">
        <v>54</v>
      </c>
      <c r="L225">
        <v>76</v>
      </c>
      <c r="M225">
        <v>3</v>
      </c>
      <c r="N225">
        <v>3</v>
      </c>
      <c r="O225" t="s">
        <v>43</v>
      </c>
      <c r="P225">
        <v>3</v>
      </c>
      <c r="Q225" t="s">
        <v>74</v>
      </c>
      <c r="R225">
        <v>10609</v>
      </c>
      <c r="S225">
        <v>9647</v>
      </c>
      <c r="T225">
        <v>0</v>
      </c>
      <c r="U225" t="s">
        <v>51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  <c r="AG225" t="s">
        <v>45</v>
      </c>
      <c r="AH225" t="s">
        <v>71</v>
      </c>
      <c r="AI225">
        <v>0</v>
      </c>
      <c r="AJ225" t="s">
        <v>47</v>
      </c>
      <c r="AK225" t="s">
        <v>72</v>
      </c>
      <c r="AL225" t="s">
        <v>66</v>
      </c>
      <c r="AM225" t="s">
        <v>70</v>
      </c>
      <c r="AN225">
        <f t="shared" si="3"/>
        <v>7</v>
      </c>
    </row>
    <row r="226" spans="1:40">
      <c r="A226">
        <v>31</v>
      </c>
      <c r="B226" t="s">
        <v>51</v>
      </c>
      <c r="C226" t="s">
        <v>77</v>
      </c>
      <c r="D226">
        <v>979</v>
      </c>
      <c r="E226" t="s">
        <v>53</v>
      </c>
      <c r="F226">
        <v>1</v>
      </c>
      <c r="G226">
        <v>4</v>
      </c>
      <c r="H226" t="s">
        <v>69</v>
      </c>
      <c r="I226">
        <v>308</v>
      </c>
      <c r="J226">
        <v>3</v>
      </c>
      <c r="K226" t="s">
        <v>54</v>
      </c>
      <c r="L226">
        <v>90</v>
      </c>
      <c r="M226">
        <v>1</v>
      </c>
      <c r="N226">
        <v>2</v>
      </c>
      <c r="O226" t="s">
        <v>75</v>
      </c>
      <c r="P226">
        <v>3</v>
      </c>
      <c r="Q226" t="s">
        <v>56</v>
      </c>
      <c r="R226">
        <v>4345</v>
      </c>
      <c r="S226">
        <v>4381</v>
      </c>
      <c r="T226">
        <v>0</v>
      </c>
      <c r="U226" t="s">
        <v>51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  <c r="AG226" t="s">
        <v>67</v>
      </c>
      <c r="AH226" t="s">
        <v>81</v>
      </c>
      <c r="AI226">
        <v>0</v>
      </c>
      <c r="AJ226" t="s">
        <v>65</v>
      </c>
      <c r="AK226" t="s">
        <v>68</v>
      </c>
      <c r="AL226" t="s">
        <v>66</v>
      </c>
      <c r="AM226" t="s">
        <v>61</v>
      </c>
      <c r="AN226">
        <f t="shared" si="3"/>
        <v>1</v>
      </c>
    </row>
    <row r="227" spans="1:40">
      <c r="A227">
        <v>59</v>
      </c>
      <c r="B227" t="s">
        <v>51</v>
      </c>
      <c r="C227" t="s">
        <v>39</v>
      </c>
      <c r="D227">
        <v>142</v>
      </c>
      <c r="E227" t="s">
        <v>53</v>
      </c>
      <c r="F227">
        <v>3</v>
      </c>
      <c r="G227">
        <v>3</v>
      </c>
      <c r="H227" t="s">
        <v>41</v>
      </c>
      <c r="I227">
        <v>309</v>
      </c>
      <c r="J227">
        <v>3</v>
      </c>
      <c r="K227" t="s">
        <v>54</v>
      </c>
      <c r="L227">
        <v>70</v>
      </c>
      <c r="M227">
        <v>2</v>
      </c>
      <c r="N227">
        <v>1</v>
      </c>
      <c r="O227" t="s">
        <v>55</v>
      </c>
      <c r="P227">
        <v>4</v>
      </c>
      <c r="Q227" t="s">
        <v>56</v>
      </c>
      <c r="R227">
        <v>2177</v>
      </c>
      <c r="S227">
        <v>8456</v>
      </c>
      <c r="T227">
        <v>3</v>
      </c>
      <c r="U227" t="s">
        <v>51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  <c r="AG227" t="s">
        <v>57</v>
      </c>
      <c r="AH227" t="s">
        <v>71</v>
      </c>
      <c r="AI227">
        <v>0</v>
      </c>
      <c r="AJ227" t="s">
        <v>65</v>
      </c>
      <c r="AK227" t="s">
        <v>72</v>
      </c>
      <c r="AL227" t="s">
        <v>49</v>
      </c>
      <c r="AM227" t="s">
        <v>61</v>
      </c>
      <c r="AN227">
        <f t="shared" si="3"/>
        <v>-3</v>
      </c>
    </row>
    <row r="228" spans="1:40">
      <c r="A228">
        <v>37</v>
      </c>
      <c r="B228" t="s">
        <v>51</v>
      </c>
      <c r="C228" t="s">
        <v>52</v>
      </c>
      <c r="D228">
        <v>319</v>
      </c>
      <c r="E228" t="s">
        <v>40</v>
      </c>
      <c r="F228">
        <v>4</v>
      </c>
      <c r="G228">
        <v>4</v>
      </c>
      <c r="H228" t="s">
        <v>84</v>
      </c>
      <c r="I228">
        <v>311</v>
      </c>
      <c r="J228">
        <v>1</v>
      </c>
      <c r="K228" t="s">
        <v>54</v>
      </c>
      <c r="L228">
        <v>41</v>
      </c>
      <c r="M228">
        <v>3</v>
      </c>
      <c r="N228">
        <v>1</v>
      </c>
      <c r="O228" t="s">
        <v>82</v>
      </c>
      <c r="P228">
        <v>4</v>
      </c>
      <c r="Q228" t="s">
        <v>74</v>
      </c>
      <c r="R228">
        <v>2793</v>
      </c>
      <c r="S228">
        <v>2539</v>
      </c>
      <c r="T228">
        <v>4</v>
      </c>
      <c r="U228" t="s">
        <v>51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  <c r="AG228" t="s">
        <v>45</v>
      </c>
      <c r="AH228" t="s">
        <v>64</v>
      </c>
      <c r="AI228">
        <v>0</v>
      </c>
      <c r="AJ228" t="s">
        <v>58</v>
      </c>
      <c r="AK228" t="s">
        <v>68</v>
      </c>
      <c r="AL228" t="s">
        <v>49</v>
      </c>
      <c r="AM228" t="s">
        <v>61</v>
      </c>
      <c r="AN228">
        <f t="shared" si="3"/>
        <v>2</v>
      </c>
    </row>
    <row r="229" spans="1:40">
      <c r="A229">
        <v>29</v>
      </c>
      <c r="B229" t="s">
        <v>51</v>
      </c>
      <c r="C229" t="s">
        <v>52</v>
      </c>
      <c r="D229">
        <v>1413</v>
      </c>
      <c r="E229" t="s">
        <v>40</v>
      </c>
      <c r="F229">
        <v>1</v>
      </c>
      <c r="G229">
        <v>1</v>
      </c>
      <c r="H229" t="s">
        <v>69</v>
      </c>
      <c r="I229">
        <v>312</v>
      </c>
      <c r="J229">
        <v>2</v>
      </c>
      <c r="K229" t="s">
        <v>42</v>
      </c>
      <c r="L229">
        <v>42</v>
      </c>
      <c r="M229">
        <v>3</v>
      </c>
      <c r="N229">
        <v>3</v>
      </c>
      <c r="O229" t="s">
        <v>43</v>
      </c>
      <c r="P229">
        <v>4</v>
      </c>
      <c r="Q229" t="s">
        <v>56</v>
      </c>
      <c r="R229">
        <v>7918</v>
      </c>
      <c r="S229">
        <v>6599</v>
      </c>
      <c r="T229">
        <v>1</v>
      </c>
      <c r="U229" t="s">
        <v>51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  <c r="AG229" t="s">
        <v>67</v>
      </c>
      <c r="AH229" t="s">
        <v>71</v>
      </c>
      <c r="AI229">
        <v>0</v>
      </c>
      <c r="AJ229" t="s">
        <v>80</v>
      </c>
      <c r="AK229" t="s">
        <v>59</v>
      </c>
      <c r="AL229" t="s">
        <v>49</v>
      </c>
      <c r="AM229" t="s">
        <v>61</v>
      </c>
      <c r="AN229">
        <f t="shared" si="3"/>
        <v>1</v>
      </c>
    </row>
    <row r="230" spans="1:40">
      <c r="A230">
        <v>35</v>
      </c>
      <c r="B230" t="s">
        <v>51</v>
      </c>
      <c r="C230" t="s">
        <v>52</v>
      </c>
      <c r="D230">
        <v>944</v>
      </c>
      <c r="E230" t="s">
        <v>40</v>
      </c>
      <c r="F230">
        <v>1</v>
      </c>
      <c r="G230">
        <v>3</v>
      </c>
      <c r="H230" t="s">
        <v>84</v>
      </c>
      <c r="I230">
        <v>314</v>
      </c>
      <c r="J230">
        <v>3</v>
      </c>
      <c r="K230" t="s">
        <v>42</v>
      </c>
      <c r="L230">
        <v>92</v>
      </c>
      <c r="M230">
        <v>3</v>
      </c>
      <c r="N230">
        <v>3</v>
      </c>
      <c r="O230" t="s">
        <v>43</v>
      </c>
      <c r="P230">
        <v>3</v>
      </c>
      <c r="Q230" t="s">
        <v>44</v>
      </c>
      <c r="R230">
        <v>8789</v>
      </c>
      <c r="S230">
        <v>9096</v>
      </c>
      <c r="T230">
        <v>1</v>
      </c>
      <c r="U230" t="s">
        <v>51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  <c r="AG230" t="s">
        <v>67</v>
      </c>
      <c r="AH230" t="s">
        <v>71</v>
      </c>
      <c r="AI230">
        <v>0</v>
      </c>
      <c r="AJ230" t="s">
        <v>58</v>
      </c>
      <c r="AK230" t="s">
        <v>72</v>
      </c>
      <c r="AL230" t="s">
        <v>66</v>
      </c>
      <c r="AM230" t="s">
        <v>85</v>
      </c>
      <c r="AN230">
        <f t="shared" si="3"/>
        <v>-2</v>
      </c>
    </row>
    <row r="231" spans="1:40">
      <c r="A231">
        <v>29</v>
      </c>
      <c r="B231" t="s">
        <v>38</v>
      </c>
      <c r="C231" t="s">
        <v>39</v>
      </c>
      <c r="D231">
        <v>896</v>
      </c>
      <c r="E231" t="s">
        <v>53</v>
      </c>
      <c r="F231">
        <v>18</v>
      </c>
      <c r="G231">
        <v>1</v>
      </c>
      <c r="H231" t="s">
        <v>69</v>
      </c>
      <c r="I231">
        <v>315</v>
      </c>
      <c r="J231">
        <v>3</v>
      </c>
      <c r="K231" t="s">
        <v>54</v>
      </c>
      <c r="L231">
        <v>86</v>
      </c>
      <c r="M231">
        <v>2</v>
      </c>
      <c r="N231">
        <v>1</v>
      </c>
      <c r="O231" t="s">
        <v>55</v>
      </c>
      <c r="P231">
        <v>4</v>
      </c>
      <c r="Q231" t="s">
        <v>44</v>
      </c>
      <c r="R231">
        <v>2389</v>
      </c>
      <c r="S231">
        <v>14961</v>
      </c>
      <c r="T231">
        <v>1</v>
      </c>
      <c r="U231" t="s">
        <v>38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  <c r="AG231" t="s">
        <v>67</v>
      </c>
      <c r="AH231" t="s">
        <v>46</v>
      </c>
      <c r="AI231">
        <v>1</v>
      </c>
      <c r="AJ231" t="s">
        <v>47</v>
      </c>
      <c r="AK231" t="s">
        <v>59</v>
      </c>
      <c r="AL231" t="s">
        <v>49</v>
      </c>
      <c r="AM231" t="s">
        <v>70</v>
      </c>
      <c r="AN231">
        <f t="shared" si="3"/>
        <v>-1</v>
      </c>
    </row>
    <row r="232" spans="1:40">
      <c r="A232">
        <v>52</v>
      </c>
      <c r="B232" t="s">
        <v>51</v>
      </c>
      <c r="C232" t="s">
        <v>39</v>
      </c>
      <c r="D232">
        <v>1323</v>
      </c>
      <c r="E232" t="s">
        <v>53</v>
      </c>
      <c r="F232">
        <v>2</v>
      </c>
      <c r="G232">
        <v>3</v>
      </c>
      <c r="H232" t="s">
        <v>41</v>
      </c>
      <c r="I232">
        <v>316</v>
      </c>
      <c r="J232">
        <v>3</v>
      </c>
      <c r="K232" t="s">
        <v>42</v>
      </c>
      <c r="L232">
        <v>89</v>
      </c>
      <c r="M232">
        <v>2</v>
      </c>
      <c r="N232">
        <v>1</v>
      </c>
      <c r="O232" t="s">
        <v>63</v>
      </c>
      <c r="P232">
        <v>4</v>
      </c>
      <c r="Q232" t="s">
        <v>44</v>
      </c>
      <c r="R232">
        <v>3212</v>
      </c>
      <c r="S232">
        <v>3300</v>
      </c>
      <c r="T232">
        <v>7</v>
      </c>
      <c r="U232" t="s">
        <v>51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  <c r="AG232" t="s">
        <v>57</v>
      </c>
      <c r="AH232" t="s">
        <v>81</v>
      </c>
      <c r="AI232">
        <v>0</v>
      </c>
      <c r="AJ232" t="s">
        <v>47</v>
      </c>
      <c r="AK232" t="s">
        <v>72</v>
      </c>
      <c r="AL232" t="s">
        <v>49</v>
      </c>
      <c r="AM232" t="s">
        <v>70</v>
      </c>
      <c r="AN232">
        <f t="shared" si="3"/>
        <v>1</v>
      </c>
    </row>
    <row r="233" spans="1:40">
      <c r="A233">
        <v>42</v>
      </c>
      <c r="B233" t="s">
        <v>51</v>
      </c>
      <c r="C233" t="s">
        <v>39</v>
      </c>
      <c r="D233">
        <v>532</v>
      </c>
      <c r="E233" t="s">
        <v>53</v>
      </c>
      <c r="F233">
        <v>4</v>
      </c>
      <c r="G233">
        <v>2</v>
      </c>
      <c r="H233" t="s">
        <v>86</v>
      </c>
      <c r="I233">
        <v>319</v>
      </c>
      <c r="J233">
        <v>3</v>
      </c>
      <c r="K233" t="s">
        <v>54</v>
      </c>
      <c r="L233">
        <v>58</v>
      </c>
      <c r="M233">
        <v>3</v>
      </c>
      <c r="N233">
        <v>5</v>
      </c>
      <c r="O233" t="s">
        <v>79</v>
      </c>
      <c r="P233">
        <v>4</v>
      </c>
      <c r="Q233" t="s">
        <v>56</v>
      </c>
      <c r="R233">
        <v>19232</v>
      </c>
      <c r="S233">
        <v>4933</v>
      </c>
      <c r="T233">
        <v>1</v>
      </c>
      <c r="U233" t="s">
        <v>51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  <c r="AG233" t="s">
        <v>45</v>
      </c>
      <c r="AH233" t="s">
        <v>81</v>
      </c>
      <c r="AI233">
        <v>0</v>
      </c>
      <c r="AJ233" t="s">
        <v>80</v>
      </c>
      <c r="AK233" t="s">
        <v>48</v>
      </c>
      <c r="AL233" t="s">
        <v>49</v>
      </c>
      <c r="AM233" t="s">
        <v>61</v>
      </c>
      <c r="AN233">
        <f t="shared" si="3"/>
        <v>8</v>
      </c>
    </row>
    <row r="234" spans="1:40">
      <c r="A234">
        <v>59</v>
      </c>
      <c r="B234" t="s">
        <v>51</v>
      </c>
      <c r="C234" t="s">
        <v>39</v>
      </c>
      <c r="D234">
        <v>818</v>
      </c>
      <c r="E234" t="s">
        <v>88</v>
      </c>
      <c r="F234">
        <v>6</v>
      </c>
      <c r="G234">
        <v>2</v>
      </c>
      <c r="H234" t="s">
        <v>69</v>
      </c>
      <c r="I234">
        <v>321</v>
      </c>
      <c r="J234">
        <v>2</v>
      </c>
      <c r="K234" t="s">
        <v>54</v>
      </c>
      <c r="L234">
        <v>52</v>
      </c>
      <c r="M234">
        <v>3</v>
      </c>
      <c r="N234">
        <v>1</v>
      </c>
      <c r="O234" t="s">
        <v>88</v>
      </c>
      <c r="P234">
        <v>3</v>
      </c>
      <c r="Q234" t="s">
        <v>56</v>
      </c>
      <c r="R234">
        <v>2267</v>
      </c>
      <c r="S234">
        <v>25657</v>
      </c>
      <c r="T234">
        <v>8</v>
      </c>
      <c r="U234" t="s">
        <v>51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  <c r="AG234" t="s">
        <v>57</v>
      </c>
      <c r="AH234" t="s">
        <v>46</v>
      </c>
      <c r="AI234">
        <v>0</v>
      </c>
      <c r="AJ234" t="s">
        <v>47</v>
      </c>
      <c r="AK234" t="s">
        <v>48</v>
      </c>
      <c r="AL234" t="s">
        <v>66</v>
      </c>
      <c r="AM234" t="s">
        <v>70</v>
      </c>
      <c r="AN234">
        <f t="shared" si="3"/>
        <v>4</v>
      </c>
    </row>
    <row r="235" spans="1:40">
      <c r="A235">
        <v>50</v>
      </c>
      <c r="B235" t="s">
        <v>51</v>
      </c>
      <c r="C235" t="s">
        <v>39</v>
      </c>
      <c r="D235">
        <v>854</v>
      </c>
      <c r="E235" t="s">
        <v>40</v>
      </c>
      <c r="F235">
        <v>1</v>
      </c>
      <c r="G235">
        <v>4</v>
      </c>
      <c r="H235" t="s">
        <v>69</v>
      </c>
      <c r="I235">
        <v>323</v>
      </c>
      <c r="J235">
        <v>4</v>
      </c>
      <c r="K235" t="s">
        <v>42</v>
      </c>
      <c r="L235">
        <v>68</v>
      </c>
      <c r="M235">
        <v>3</v>
      </c>
      <c r="N235">
        <v>5</v>
      </c>
      <c r="O235" t="s">
        <v>79</v>
      </c>
      <c r="P235">
        <v>4</v>
      </c>
      <c r="Q235" t="s">
        <v>74</v>
      </c>
      <c r="R235">
        <v>19517</v>
      </c>
      <c r="S235">
        <v>24118</v>
      </c>
      <c r="T235">
        <v>3</v>
      </c>
      <c r="U235" t="s">
        <v>51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  <c r="AG235" t="s">
        <v>57</v>
      </c>
      <c r="AH235" t="s">
        <v>46</v>
      </c>
      <c r="AI235">
        <v>0</v>
      </c>
      <c r="AJ235" t="s">
        <v>47</v>
      </c>
      <c r="AK235" t="s">
        <v>68</v>
      </c>
      <c r="AL235" t="s">
        <v>49</v>
      </c>
      <c r="AM235" t="s">
        <v>70</v>
      </c>
      <c r="AN235">
        <f t="shared" si="3"/>
        <v>-1</v>
      </c>
    </row>
    <row r="236" spans="1:40">
      <c r="A236">
        <v>33</v>
      </c>
      <c r="B236" t="s">
        <v>38</v>
      </c>
      <c r="C236" t="s">
        <v>39</v>
      </c>
      <c r="D236">
        <v>813</v>
      </c>
      <c r="E236" t="s">
        <v>53</v>
      </c>
      <c r="F236">
        <v>14</v>
      </c>
      <c r="G236">
        <v>3</v>
      </c>
      <c r="H236" t="s">
        <v>69</v>
      </c>
      <c r="I236">
        <v>325</v>
      </c>
      <c r="J236">
        <v>3</v>
      </c>
      <c r="K236" t="s">
        <v>54</v>
      </c>
      <c r="L236">
        <v>58</v>
      </c>
      <c r="M236">
        <v>3</v>
      </c>
      <c r="N236">
        <v>1</v>
      </c>
      <c r="O236" t="s">
        <v>63</v>
      </c>
      <c r="P236">
        <v>4</v>
      </c>
      <c r="Q236" t="s">
        <v>56</v>
      </c>
      <c r="R236">
        <v>2436</v>
      </c>
      <c r="S236">
        <v>22149</v>
      </c>
      <c r="T236">
        <v>5</v>
      </c>
      <c r="U236" t="s">
        <v>38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  <c r="AG236" t="s">
        <v>67</v>
      </c>
      <c r="AH236" t="s">
        <v>46</v>
      </c>
      <c r="AI236">
        <v>1</v>
      </c>
      <c r="AJ236" t="s">
        <v>47</v>
      </c>
      <c r="AK236" t="s">
        <v>72</v>
      </c>
      <c r="AL236" t="s">
        <v>49</v>
      </c>
      <c r="AM236" t="s">
        <v>50</v>
      </c>
      <c r="AN236">
        <f t="shared" si="3"/>
        <v>1</v>
      </c>
    </row>
    <row r="237" spans="1:40">
      <c r="A237">
        <v>43</v>
      </c>
      <c r="B237" t="s">
        <v>51</v>
      </c>
      <c r="C237" t="s">
        <v>39</v>
      </c>
      <c r="D237">
        <v>1034</v>
      </c>
      <c r="E237" t="s">
        <v>40</v>
      </c>
      <c r="F237">
        <v>16</v>
      </c>
      <c r="G237">
        <v>3</v>
      </c>
      <c r="H237" t="s">
        <v>84</v>
      </c>
      <c r="I237">
        <v>327</v>
      </c>
      <c r="J237">
        <v>4</v>
      </c>
      <c r="K237" t="s">
        <v>42</v>
      </c>
      <c r="L237">
        <v>80</v>
      </c>
      <c r="M237">
        <v>3</v>
      </c>
      <c r="N237">
        <v>4</v>
      </c>
      <c r="O237" t="s">
        <v>79</v>
      </c>
      <c r="P237">
        <v>4</v>
      </c>
      <c r="Q237" t="s">
        <v>56</v>
      </c>
      <c r="R237">
        <v>16064</v>
      </c>
      <c r="S237">
        <v>7744</v>
      </c>
      <c r="T237">
        <v>5</v>
      </c>
      <c r="U237" t="s">
        <v>38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  <c r="AG237" t="s">
        <v>45</v>
      </c>
      <c r="AH237" t="s">
        <v>71</v>
      </c>
      <c r="AI237">
        <v>0</v>
      </c>
      <c r="AJ237" t="s">
        <v>80</v>
      </c>
      <c r="AK237" t="s">
        <v>72</v>
      </c>
      <c r="AL237" t="s">
        <v>49</v>
      </c>
      <c r="AM237" t="s">
        <v>61</v>
      </c>
      <c r="AN237">
        <f t="shared" si="3"/>
        <v>-2</v>
      </c>
    </row>
    <row r="238" spans="1:40">
      <c r="A238">
        <v>33</v>
      </c>
      <c r="B238" t="s">
        <v>38</v>
      </c>
      <c r="C238" t="s">
        <v>39</v>
      </c>
      <c r="D238">
        <v>465</v>
      </c>
      <c r="E238" t="s">
        <v>53</v>
      </c>
      <c r="F238">
        <v>2</v>
      </c>
      <c r="G238">
        <v>2</v>
      </c>
      <c r="H238" t="s">
        <v>41</v>
      </c>
      <c r="I238">
        <v>328</v>
      </c>
      <c r="J238">
        <v>1</v>
      </c>
      <c r="K238" t="s">
        <v>42</v>
      </c>
      <c r="L238">
        <v>39</v>
      </c>
      <c r="M238">
        <v>3</v>
      </c>
      <c r="N238">
        <v>1</v>
      </c>
      <c r="O238" t="s">
        <v>63</v>
      </c>
      <c r="P238">
        <v>1</v>
      </c>
      <c r="Q238" t="s">
        <v>56</v>
      </c>
      <c r="R238">
        <v>2707</v>
      </c>
      <c r="S238">
        <v>21509</v>
      </c>
      <c r="T238">
        <v>7</v>
      </c>
      <c r="U238" t="s">
        <v>51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  <c r="AG238" t="s">
        <v>67</v>
      </c>
      <c r="AH238" t="s">
        <v>46</v>
      </c>
      <c r="AI238">
        <v>1</v>
      </c>
      <c r="AJ238" t="s">
        <v>58</v>
      </c>
      <c r="AK238" t="s">
        <v>48</v>
      </c>
      <c r="AL238" t="s">
        <v>73</v>
      </c>
      <c r="AM238" t="s">
        <v>85</v>
      </c>
      <c r="AN238">
        <f t="shared" si="3"/>
        <v>5</v>
      </c>
    </row>
    <row r="239" spans="1:40">
      <c r="A239">
        <v>52</v>
      </c>
      <c r="B239" t="s">
        <v>51</v>
      </c>
      <c r="C239" t="s">
        <v>77</v>
      </c>
      <c r="D239">
        <v>771</v>
      </c>
      <c r="E239" t="s">
        <v>40</v>
      </c>
      <c r="F239">
        <v>2</v>
      </c>
      <c r="G239">
        <v>4</v>
      </c>
      <c r="H239" t="s">
        <v>41</v>
      </c>
      <c r="I239">
        <v>329</v>
      </c>
      <c r="J239">
        <v>1</v>
      </c>
      <c r="K239" t="s">
        <v>54</v>
      </c>
      <c r="L239">
        <v>79</v>
      </c>
      <c r="M239">
        <v>2</v>
      </c>
      <c r="N239">
        <v>5</v>
      </c>
      <c r="O239" t="s">
        <v>79</v>
      </c>
      <c r="P239">
        <v>3</v>
      </c>
      <c r="Q239" t="s">
        <v>44</v>
      </c>
      <c r="R239">
        <v>19068</v>
      </c>
      <c r="S239">
        <v>21030</v>
      </c>
      <c r="T239">
        <v>1</v>
      </c>
      <c r="U239" t="s">
        <v>38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  <c r="AG239" t="s">
        <v>57</v>
      </c>
      <c r="AH239" t="s">
        <v>46</v>
      </c>
      <c r="AI239">
        <v>0</v>
      </c>
      <c r="AJ239" t="s">
        <v>80</v>
      </c>
      <c r="AK239" t="s">
        <v>68</v>
      </c>
      <c r="AL239" t="s">
        <v>66</v>
      </c>
      <c r="AM239" t="s">
        <v>85</v>
      </c>
      <c r="AN239">
        <f t="shared" si="3"/>
        <v>13</v>
      </c>
    </row>
    <row r="240" spans="1:40">
      <c r="A240">
        <v>32</v>
      </c>
      <c r="B240" t="s">
        <v>51</v>
      </c>
      <c r="C240" t="s">
        <v>39</v>
      </c>
      <c r="D240">
        <v>1401</v>
      </c>
      <c r="E240" t="s">
        <v>40</v>
      </c>
      <c r="F240">
        <v>4</v>
      </c>
      <c r="G240">
        <v>2</v>
      </c>
      <c r="H240" t="s">
        <v>41</v>
      </c>
      <c r="I240">
        <v>330</v>
      </c>
      <c r="J240">
        <v>3</v>
      </c>
      <c r="K240" t="s">
        <v>42</v>
      </c>
      <c r="L240">
        <v>56</v>
      </c>
      <c r="M240">
        <v>3</v>
      </c>
      <c r="N240">
        <v>1</v>
      </c>
      <c r="O240" t="s">
        <v>82</v>
      </c>
      <c r="P240">
        <v>2</v>
      </c>
      <c r="Q240" t="s">
        <v>56</v>
      </c>
      <c r="R240">
        <v>3931</v>
      </c>
      <c r="S240">
        <v>20990</v>
      </c>
      <c r="T240">
        <v>2</v>
      </c>
      <c r="U240" t="s">
        <v>51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  <c r="AG240" t="s">
        <v>67</v>
      </c>
      <c r="AH240" t="s">
        <v>46</v>
      </c>
      <c r="AI240">
        <v>0</v>
      </c>
      <c r="AJ240" t="s">
        <v>65</v>
      </c>
      <c r="AK240" t="s">
        <v>48</v>
      </c>
      <c r="AL240" t="s">
        <v>60</v>
      </c>
      <c r="AM240" t="s">
        <v>61</v>
      </c>
      <c r="AN240">
        <f t="shared" si="3"/>
        <v>4</v>
      </c>
    </row>
    <row r="241" spans="1:40">
      <c r="A241">
        <v>32</v>
      </c>
      <c r="B241" t="s">
        <v>38</v>
      </c>
      <c r="C241" t="s">
        <v>39</v>
      </c>
      <c r="D241">
        <v>515</v>
      </c>
      <c r="E241" t="s">
        <v>53</v>
      </c>
      <c r="F241">
        <v>1</v>
      </c>
      <c r="G241">
        <v>3</v>
      </c>
      <c r="H241" t="s">
        <v>41</v>
      </c>
      <c r="I241">
        <v>331</v>
      </c>
      <c r="J241">
        <v>4</v>
      </c>
      <c r="K241" t="s">
        <v>54</v>
      </c>
      <c r="L241">
        <v>62</v>
      </c>
      <c r="M241">
        <v>2</v>
      </c>
      <c r="N241">
        <v>1</v>
      </c>
      <c r="O241" t="s">
        <v>63</v>
      </c>
      <c r="P241">
        <v>3</v>
      </c>
      <c r="Q241" t="s">
        <v>44</v>
      </c>
      <c r="R241">
        <v>3730</v>
      </c>
      <c r="S241">
        <v>9571</v>
      </c>
      <c r="T241">
        <v>0</v>
      </c>
      <c r="U241" t="s">
        <v>38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  <c r="AG241" t="s">
        <v>67</v>
      </c>
      <c r="AH241" t="s">
        <v>71</v>
      </c>
      <c r="AI241">
        <v>1</v>
      </c>
      <c r="AJ241" t="s">
        <v>47</v>
      </c>
      <c r="AK241" t="s">
        <v>72</v>
      </c>
      <c r="AL241" t="s">
        <v>66</v>
      </c>
      <c r="AM241" t="s">
        <v>50</v>
      </c>
      <c r="AN241">
        <f t="shared" si="3"/>
        <v>5</v>
      </c>
    </row>
    <row r="242" spans="1:40">
      <c r="A242">
        <v>39</v>
      </c>
      <c r="B242" t="s">
        <v>51</v>
      </c>
      <c r="C242" t="s">
        <v>39</v>
      </c>
      <c r="D242">
        <v>1431</v>
      </c>
      <c r="E242" t="s">
        <v>53</v>
      </c>
      <c r="F242">
        <v>1</v>
      </c>
      <c r="G242">
        <v>4</v>
      </c>
      <c r="H242" t="s">
        <v>69</v>
      </c>
      <c r="I242">
        <v>332</v>
      </c>
      <c r="J242">
        <v>3</v>
      </c>
      <c r="K242" t="s">
        <v>42</v>
      </c>
      <c r="L242">
        <v>96</v>
      </c>
      <c r="M242">
        <v>3</v>
      </c>
      <c r="N242">
        <v>1</v>
      </c>
      <c r="O242" t="s">
        <v>63</v>
      </c>
      <c r="P242">
        <v>3</v>
      </c>
      <c r="Q242" t="s">
        <v>74</v>
      </c>
      <c r="R242">
        <v>2232</v>
      </c>
      <c r="S242">
        <v>15417</v>
      </c>
      <c r="T242">
        <v>7</v>
      </c>
      <c r="U242" t="s">
        <v>51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  <c r="AG242" t="s">
        <v>45</v>
      </c>
      <c r="AH242" t="s">
        <v>46</v>
      </c>
      <c r="AI242">
        <v>0</v>
      </c>
      <c r="AJ242" t="s">
        <v>65</v>
      </c>
      <c r="AK242" t="s">
        <v>68</v>
      </c>
      <c r="AL242" t="s">
        <v>66</v>
      </c>
      <c r="AM242" t="s">
        <v>61</v>
      </c>
      <c r="AN242">
        <f t="shared" si="3"/>
        <v>1</v>
      </c>
    </row>
    <row r="243" spans="1:40">
      <c r="A243">
        <v>32</v>
      </c>
      <c r="B243" t="s">
        <v>51</v>
      </c>
      <c r="C243" t="s">
        <v>77</v>
      </c>
      <c r="D243">
        <v>976</v>
      </c>
      <c r="E243" t="s">
        <v>40</v>
      </c>
      <c r="F243">
        <v>26</v>
      </c>
      <c r="G243">
        <v>4</v>
      </c>
      <c r="H243" t="s">
        <v>84</v>
      </c>
      <c r="I243">
        <v>333</v>
      </c>
      <c r="J243">
        <v>3</v>
      </c>
      <c r="K243" t="s">
        <v>54</v>
      </c>
      <c r="L243">
        <v>100</v>
      </c>
      <c r="M243">
        <v>3</v>
      </c>
      <c r="N243">
        <v>2</v>
      </c>
      <c r="O243" t="s">
        <v>43</v>
      </c>
      <c r="P243">
        <v>4</v>
      </c>
      <c r="Q243" t="s">
        <v>56</v>
      </c>
      <c r="R243">
        <v>4465</v>
      </c>
      <c r="S243">
        <v>12069</v>
      </c>
      <c r="T243">
        <v>0</v>
      </c>
      <c r="U243" t="s">
        <v>51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  <c r="AG243" t="s">
        <v>67</v>
      </c>
      <c r="AH243" t="s">
        <v>46</v>
      </c>
      <c r="AI243">
        <v>0</v>
      </c>
      <c r="AJ243" t="s">
        <v>65</v>
      </c>
      <c r="AK243" t="s">
        <v>68</v>
      </c>
      <c r="AL243" t="s">
        <v>49</v>
      </c>
      <c r="AM243" t="s">
        <v>61</v>
      </c>
      <c r="AN243">
        <f t="shared" si="3"/>
        <v>-1</v>
      </c>
    </row>
    <row r="244" spans="1:40">
      <c r="A244">
        <v>41</v>
      </c>
      <c r="B244" t="s">
        <v>51</v>
      </c>
      <c r="C244" t="s">
        <v>39</v>
      </c>
      <c r="D244">
        <v>1411</v>
      </c>
      <c r="E244" t="s">
        <v>53</v>
      </c>
      <c r="F244">
        <v>19</v>
      </c>
      <c r="G244">
        <v>2</v>
      </c>
      <c r="H244" t="s">
        <v>41</v>
      </c>
      <c r="I244">
        <v>334</v>
      </c>
      <c r="J244">
        <v>3</v>
      </c>
      <c r="K244" t="s">
        <v>54</v>
      </c>
      <c r="L244">
        <v>36</v>
      </c>
      <c r="M244">
        <v>3</v>
      </c>
      <c r="N244">
        <v>2</v>
      </c>
      <c r="O244" t="s">
        <v>55</v>
      </c>
      <c r="P244">
        <v>1</v>
      </c>
      <c r="Q244" t="s">
        <v>74</v>
      </c>
      <c r="R244">
        <v>3072</v>
      </c>
      <c r="S244">
        <v>19877</v>
      </c>
      <c r="T244">
        <v>2</v>
      </c>
      <c r="U244" t="s">
        <v>51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  <c r="AG244" t="s">
        <v>45</v>
      </c>
      <c r="AH244" t="s">
        <v>46</v>
      </c>
      <c r="AI244">
        <v>0</v>
      </c>
      <c r="AJ244" t="s">
        <v>47</v>
      </c>
      <c r="AK244" t="s">
        <v>48</v>
      </c>
      <c r="AL244" t="s">
        <v>73</v>
      </c>
      <c r="AM244" t="s">
        <v>70</v>
      </c>
      <c r="AN244">
        <f t="shared" si="3"/>
        <v>8</v>
      </c>
    </row>
    <row r="245" spans="1:40">
      <c r="A245">
        <v>40</v>
      </c>
      <c r="B245" t="s">
        <v>51</v>
      </c>
      <c r="C245" t="s">
        <v>39</v>
      </c>
      <c r="D245">
        <v>1300</v>
      </c>
      <c r="E245" t="s">
        <v>53</v>
      </c>
      <c r="F245">
        <v>24</v>
      </c>
      <c r="G245">
        <v>2</v>
      </c>
      <c r="H245" t="s">
        <v>86</v>
      </c>
      <c r="I245">
        <v>335</v>
      </c>
      <c r="J245">
        <v>1</v>
      </c>
      <c r="K245" t="s">
        <v>54</v>
      </c>
      <c r="L245">
        <v>62</v>
      </c>
      <c r="M245">
        <v>3</v>
      </c>
      <c r="N245">
        <v>2</v>
      </c>
      <c r="O245" t="s">
        <v>55</v>
      </c>
      <c r="P245">
        <v>4</v>
      </c>
      <c r="Q245" t="s">
        <v>74</v>
      </c>
      <c r="R245">
        <v>3319</v>
      </c>
      <c r="S245">
        <v>24447</v>
      </c>
      <c r="T245">
        <v>1</v>
      </c>
      <c r="U245" t="s">
        <v>51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  <c r="AG245" t="s">
        <v>45</v>
      </c>
      <c r="AH245" t="s">
        <v>46</v>
      </c>
      <c r="AI245">
        <v>0</v>
      </c>
      <c r="AJ245" t="s">
        <v>58</v>
      </c>
      <c r="AK245" t="s">
        <v>48</v>
      </c>
      <c r="AL245" t="s">
        <v>49</v>
      </c>
      <c r="AM245" t="s">
        <v>61</v>
      </c>
      <c r="AN245">
        <f t="shared" si="3"/>
        <v>1</v>
      </c>
    </row>
    <row r="246" spans="1:40">
      <c r="A246">
        <v>45</v>
      </c>
      <c r="B246" t="s">
        <v>51</v>
      </c>
      <c r="C246" t="s">
        <v>39</v>
      </c>
      <c r="D246">
        <v>252</v>
      </c>
      <c r="E246" t="s">
        <v>53</v>
      </c>
      <c r="F246">
        <v>1</v>
      </c>
      <c r="G246">
        <v>3</v>
      </c>
      <c r="H246" t="s">
        <v>62</v>
      </c>
      <c r="I246">
        <v>336</v>
      </c>
      <c r="J246">
        <v>3</v>
      </c>
      <c r="K246" t="s">
        <v>54</v>
      </c>
      <c r="L246">
        <v>70</v>
      </c>
      <c r="M246">
        <v>4</v>
      </c>
      <c r="N246">
        <v>5</v>
      </c>
      <c r="O246" t="s">
        <v>79</v>
      </c>
      <c r="P246">
        <v>4</v>
      </c>
      <c r="Q246" t="s">
        <v>56</v>
      </c>
      <c r="R246">
        <v>19202</v>
      </c>
      <c r="S246">
        <v>15970</v>
      </c>
      <c r="T246">
        <v>0</v>
      </c>
      <c r="U246" t="s">
        <v>51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  <c r="AG246" t="s">
        <v>45</v>
      </c>
      <c r="AH246" t="s">
        <v>46</v>
      </c>
      <c r="AI246">
        <v>0</v>
      </c>
      <c r="AJ246" t="s">
        <v>80</v>
      </c>
      <c r="AK246" t="s">
        <v>72</v>
      </c>
      <c r="AL246" t="s">
        <v>49</v>
      </c>
      <c r="AM246" t="s">
        <v>61</v>
      </c>
      <c r="AN246">
        <f t="shared" si="3"/>
        <v>-2</v>
      </c>
    </row>
    <row r="247" spans="1:40">
      <c r="A247">
        <v>31</v>
      </c>
      <c r="B247" t="s">
        <v>51</v>
      </c>
      <c r="C247" t="s">
        <v>52</v>
      </c>
      <c r="D247">
        <v>1327</v>
      </c>
      <c r="E247" t="s">
        <v>53</v>
      </c>
      <c r="F247">
        <v>3</v>
      </c>
      <c r="G247">
        <v>4</v>
      </c>
      <c r="H247" t="s">
        <v>69</v>
      </c>
      <c r="I247">
        <v>337</v>
      </c>
      <c r="J247">
        <v>2</v>
      </c>
      <c r="K247" t="s">
        <v>54</v>
      </c>
      <c r="L247">
        <v>73</v>
      </c>
      <c r="M247">
        <v>3</v>
      </c>
      <c r="N247">
        <v>3</v>
      </c>
      <c r="O247" t="s">
        <v>83</v>
      </c>
      <c r="P247">
        <v>3</v>
      </c>
      <c r="Q247" t="s">
        <v>74</v>
      </c>
      <c r="R247">
        <v>13675</v>
      </c>
      <c r="S247">
        <v>13523</v>
      </c>
      <c r="T247">
        <v>9</v>
      </c>
      <c r="U247" t="s">
        <v>51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  <c r="AG247" t="s">
        <v>67</v>
      </c>
      <c r="AH247" t="s">
        <v>46</v>
      </c>
      <c r="AI247">
        <v>0</v>
      </c>
      <c r="AJ247" t="s">
        <v>65</v>
      </c>
      <c r="AK247" t="s">
        <v>68</v>
      </c>
      <c r="AL247" t="s">
        <v>66</v>
      </c>
      <c r="AM247" t="s">
        <v>61</v>
      </c>
      <c r="AN247">
        <f t="shared" si="3"/>
        <v>2</v>
      </c>
    </row>
    <row r="248" spans="1:40">
      <c r="A248">
        <v>33</v>
      </c>
      <c r="B248" t="s">
        <v>51</v>
      </c>
      <c r="C248" t="s">
        <v>39</v>
      </c>
      <c r="D248">
        <v>832</v>
      </c>
      <c r="E248" t="s">
        <v>53</v>
      </c>
      <c r="F248">
        <v>5</v>
      </c>
      <c r="G248">
        <v>4</v>
      </c>
      <c r="H248" t="s">
        <v>41</v>
      </c>
      <c r="I248">
        <v>338</v>
      </c>
      <c r="J248">
        <v>3</v>
      </c>
      <c r="K248" t="s">
        <v>42</v>
      </c>
      <c r="L248">
        <v>63</v>
      </c>
      <c r="M248">
        <v>2</v>
      </c>
      <c r="N248">
        <v>1</v>
      </c>
      <c r="O248" t="s">
        <v>55</v>
      </c>
      <c r="P248">
        <v>4</v>
      </c>
      <c r="Q248" t="s">
        <v>56</v>
      </c>
      <c r="R248">
        <v>2911</v>
      </c>
      <c r="S248">
        <v>14776</v>
      </c>
      <c r="T248">
        <v>1</v>
      </c>
      <c r="U248" t="s">
        <v>51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  <c r="AG248" t="s">
        <v>67</v>
      </c>
      <c r="AH248" t="s">
        <v>46</v>
      </c>
      <c r="AI248">
        <v>0</v>
      </c>
      <c r="AJ248" t="s">
        <v>47</v>
      </c>
      <c r="AK248" t="s">
        <v>68</v>
      </c>
      <c r="AL248" t="s">
        <v>49</v>
      </c>
      <c r="AM248" t="s">
        <v>70</v>
      </c>
      <c r="AN248">
        <f t="shared" si="3"/>
        <v>-1</v>
      </c>
    </row>
    <row r="249" spans="1:40">
      <c r="A249">
        <v>34</v>
      </c>
      <c r="B249" t="s">
        <v>51</v>
      </c>
      <c r="C249" t="s">
        <v>39</v>
      </c>
      <c r="D249">
        <v>470</v>
      </c>
      <c r="E249" t="s">
        <v>53</v>
      </c>
      <c r="F249">
        <v>2</v>
      </c>
      <c r="G249">
        <v>4</v>
      </c>
      <c r="H249" t="s">
        <v>41</v>
      </c>
      <c r="I249">
        <v>339</v>
      </c>
      <c r="J249">
        <v>4</v>
      </c>
      <c r="K249" t="s">
        <v>54</v>
      </c>
      <c r="L249">
        <v>84</v>
      </c>
      <c r="M249">
        <v>2</v>
      </c>
      <c r="N249">
        <v>2</v>
      </c>
      <c r="O249" t="s">
        <v>75</v>
      </c>
      <c r="P249">
        <v>1</v>
      </c>
      <c r="Q249" t="s">
        <v>56</v>
      </c>
      <c r="R249">
        <v>5957</v>
      </c>
      <c r="S249">
        <v>23687</v>
      </c>
      <c r="T249">
        <v>6</v>
      </c>
      <c r="U249" t="s">
        <v>51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  <c r="AG249" t="s">
        <v>67</v>
      </c>
      <c r="AH249" t="s">
        <v>46</v>
      </c>
      <c r="AI249">
        <v>0</v>
      </c>
      <c r="AJ249" t="s">
        <v>80</v>
      </c>
      <c r="AK249" t="s">
        <v>68</v>
      </c>
      <c r="AL249" t="s">
        <v>73</v>
      </c>
      <c r="AM249" t="s">
        <v>61</v>
      </c>
      <c r="AN249">
        <f t="shared" si="3"/>
        <v>11</v>
      </c>
    </row>
    <row r="250" spans="1:40">
      <c r="A250">
        <v>37</v>
      </c>
      <c r="B250" t="s">
        <v>51</v>
      </c>
      <c r="C250" t="s">
        <v>39</v>
      </c>
      <c r="D250">
        <v>1017</v>
      </c>
      <c r="E250" t="s">
        <v>53</v>
      </c>
      <c r="F250">
        <v>1</v>
      </c>
      <c r="G250">
        <v>2</v>
      </c>
      <c r="H250" t="s">
        <v>69</v>
      </c>
      <c r="I250">
        <v>340</v>
      </c>
      <c r="J250">
        <v>3</v>
      </c>
      <c r="K250" t="s">
        <v>42</v>
      </c>
      <c r="L250">
        <v>83</v>
      </c>
      <c r="M250">
        <v>2</v>
      </c>
      <c r="N250">
        <v>1</v>
      </c>
      <c r="O250" t="s">
        <v>55</v>
      </c>
      <c r="P250">
        <v>1</v>
      </c>
      <c r="Q250" t="s">
        <v>56</v>
      </c>
      <c r="R250">
        <v>3920</v>
      </c>
      <c r="S250">
        <v>18697</v>
      </c>
      <c r="T250">
        <v>2</v>
      </c>
      <c r="U250" t="s">
        <v>51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  <c r="AG250" t="s">
        <v>45</v>
      </c>
      <c r="AH250" t="s">
        <v>46</v>
      </c>
      <c r="AI250">
        <v>0</v>
      </c>
      <c r="AJ250" t="s">
        <v>47</v>
      </c>
      <c r="AK250" t="s">
        <v>48</v>
      </c>
      <c r="AL250" t="s">
        <v>73</v>
      </c>
      <c r="AM250" t="s">
        <v>70</v>
      </c>
      <c r="AN250">
        <f t="shared" si="3"/>
        <v>8</v>
      </c>
    </row>
    <row r="251" spans="1:40">
      <c r="A251">
        <v>45</v>
      </c>
      <c r="B251" t="s">
        <v>51</v>
      </c>
      <c r="C251" t="s">
        <v>52</v>
      </c>
      <c r="D251">
        <v>1199</v>
      </c>
      <c r="E251" t="s">
        <v>53</v>
      </c>
      <c r="F251">
        <v>7</v>
      </c>
      <c r="G251">
        <v>4</v>
      </c>
      <c r="H251" t="s">
        <v>41</v>
      </c>
      <c r="I251">
        <v>341</v>
      </c>
      <c r="J251">
        <v>1</v>
      </c>
      <c r="K251" t="s">
        <v>54</v>
      </c>
      <c r="L251">
        <v>77</v>
      </c>
      <c r="M251">
        <v>4</v>
      </c>
      <c r="N251">
        <v>2</v>
      </c>
      <c r="O251" t="s">
        <v>75</v>
      </c>
      <c r="P251">
        <v>3</v>
      </c>
      <c r="Q251" t="s">
        <v>56</v>
      </c>
      <c r="R251">
        <v>6434</v>
      </c>
      <c r="S251">
        <v>5118</v>
      </c>
      <c r="T251">
        <v>4</v>
      </c>
      <c r="U251" t="s">
        <v>51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  <c r="AG251" t="s">
        <v>45</v>
      </c>
      <c r="AH251" t="s">
        <v>81</v>
      </c>
      <c r="AI251">
        <v>0</v>
      </c>
      <c r="AJ251" t="s">
        <v>65</v>
      </c>
      <c r="AK251" t="s">
        <v>68</v>
      </c>
      <c r="AL251" t="s">
        <v>66</v>
      </c>
      <c r="AM251" t="s">
        <v>61</v>
      </c>
      <c r="AN251">
        <f t="shared" si="3"/>
        <v>0</v>
      </c>
    </row>
    <row r="252" spans="1:40">
      <c r="A252">
        <v>37</v>
      </c>
      <c r="B252" t="s">
        <v>38</v>
      </c>
      <c r="C252" t="s">
        <v>52</v>
      </c>
      <c r="D252">
        <v>504</v>
      </c>
      <c r="E252" t="s">
        <v>53</v>
      </c>
      <c r="F252">
        <v>10</v>
      </c>
      <c r="G252">
        <v>3</v>
      </c>
      <c r="H252" t="s">
        <v>69</v>
      </c>
      <c r="I252">
        <v>342</v>
      </c>
      <c r="J252">
        <v>1</v>
      </c>
      <c r="K252" t="s">
        <v>54</v>
      </c>
      <c r="L252">
        <v>61</v>
      </c>
      <c r="M252">
        <v>3</v>
      </c>
      <c r="N252">
        <v>3</v>
      </c>
      <c r="O252" t="s">
        <v>75</v>
      </c>
      <c r="P252">
        <v>3</v>
      </c>
      <c r="Q252" t="s">
        <v>74</v>
      </c>
      <c r="R252">
        <v>10048</v>
      </c>
      <c r="S252">
        <v>22573</v>
      </c>
      <c r="T252">
        <v>6</v>
      </c>
      <c r="U252" t="s">
        <v>51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  <c r="AG252" t="s">
        <v>45</v>
      </c>
      <c r="AH252" t="s">
        <v>46</v>
      </c>
      <c r="AI252">
        <v>1</v>
      </c>
      <c r="AJ252" t="s">
        <v>65</v>
      </c>
      <c r="AK252" t="s">
        <v>72</v>
      </c>
      <c r="AL252" t="s">
        <v>66</v>
      </c>
      <c r="AM252" t="s">
        <v>61</v>
      </c>
      <c r="AN252">
        <f t="shared" si="3"/>
        <v>0</v>
      </c>
    </row>
    <row r="253" spans="1:40">
      <c r="A253">
        <v>39</v>
      </c>
      <c r="B253" t="s">
        <v>51</v>
      </c>
      <c r="C253" t="s">
        <v>52</v>
      </c>
      <c r="D253">
        <v>505</v>
      </c>
      <c r="E253" t="s">
        <v>53</v>
      </c>
      <c r="F253">
        <v>2</v>
      </c>
      <c r="G253">
        <v>4</v>
      </c>
      <c r="H253" t="s">
        <v>86</v>
      </c>
      <c r="I253">
        <v>343</v>
      </c>
      <c r="J253">
        <v>3</v>
      </c>
      <c r="K253" t="s">
        <v>42</v>
      </c>
      <c r="L253">
        <v>64</v>
      </c>
      <c r="M253">
        <v>3</v>
      </c>
      <c r="N253">
        <v>3</v>
      </c>
      <c r="O253" t="s">
        <v>76</v>
      </c>
      <c r="P253">
        <v>3</v>
      </c>
      <c r="Q253" t="s">
        <v>44</v>
      </c>
      <c r="R253">
        <v>10938</v>
      </c>
      <c r="S253">
        <v>6420</v>
      </c>
      <c r="T253">
        <v>0</v>
      </c>
      <c r="U253" t="s">
        <v>51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  <c r="AG253" t="s">
        <v>45</v>
      </c>
      <c r="AH253" t="s">
        <v>71</v>
      </c>
      <c r="AI253">
        <v>0</v>
      </c>
      <c r="AJ253" t="s">
        <v>80</v>
      </c>
      <c r="AK253" t="s">
        <v>68</v>
      </c>
      <c r="AL253" t="s">
        <v>66</v>
      </c>
      <c r="AM253" t="s">
        <v>61</v>
      </c>
      <c r="AN253">
        <f t="shared" si="3"/>
        <v>11</v>
      </c>
    </row>
    <row r="254" spans="1:40">
      <c r="A254">
        <v>29</v>
      </c>
      <c r="B254" t="s">
        <v>51</v>
      </c>
      <c r="C254" t="s">
        <v>39</v>
      </c>
      <c r="D254">
        <v>665</v>
      </c>
      <c r="E254" t="s">
        <v>53</v>
      </c>
      <c r="F254">
        <v>15</v>
      </c>
      <c r="G254">
        <v>3</v>
      </c>
      <c r="H254" t="s">
        <v>41</v>
      </c>
      <c r="I254">
        <v>346</v>
      </c>
      <c r="J254">
        <v>3</v>
      </c>
      <c r="K254" t="s">
        <v>54</v>
      </c>
      <c r="L254">
        <v>60</v>
      </c>
      <c r="M254">
        <v>3</v>
      </c>
      <c r="N254">
        <v>1</v>
      </c>
      <c r="O254" t="s">
        <v>55</v>
      </c>
      <c r="P254">
        <v>4</v>
      </c>
      <c r="Q254" t="s">
        <v>44</v>
      </c>
      <c r="R254">
        <v>2340</v>
      </c>
      <c r="S254">
        <v>22673</v>
      </c>
      <c r="T254">
        <v>1</v>
      </c>
      <c r="U254" t="s">
        <v>51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  <c r="AG254" t="s">
        <v>67</v>
      </c>
      <c r="AH254" t="s">
        <v>46</v>
      </c>
      <c r="AI254">
        <v>0</v>
      </c>
      <c r="AJ254" t="s">
        <v>58</v>
      </c>
      <c r="AK254" t="s">
        <v>72</v>
      </c>
      <c r="AL254" t="s">
        <v>49</v>
      </c>
      <c r="AM254" t="s">
        <v>61</v>
      </c>
      <c r="AN254">
        <f t="shared" si="3"/>
        <v>-2</v>
      </c>
    </row>
    <row r="255" spans="1:40">
      <c r="A255">
        <v>42</v>
      </c>
      <c r="B255" t="s">
        <v>51</v>
      </c>
      <c r="C255" t="s">
        <v>39</v>
      </c>
      <c r="D255">
        <v>916</v>
      </c>
      <c r="E255" t="s">
        <v>53</v>
      </c>
      <c r="F255">
        <v>17</v>
      </c>
      <c r="G255">
        <v>2</v>
      </c>
      <c r="H255" t="s">
        <v>41</v>
      </c>
      <c r="I255">
        <v>347</v>
      </c>
      <c r="J255">
        <v>4</v>
      </c>
      <c r="K255" t="s">
        <v>42</v>
      </c>
      <c r="L255">
        <v>82</v>
      </c>
      <c r="M255">
        <v>4</v>
      </c>
      <c r="N255">
        <v>2</v>
      </c>
      <c r="O255" t="s">
        <v>55</v>
      </c>
      <c r="P255">
        <v>1</v>
      </c>
      <c r="Q255" t="s">
        <v>44</v>
      </c>
      <c r="R255">
        <v>6545</v>
      </c>
      <c r="S255">
        <v>23016</v>
      </c>
      <c r="T255">
        <v>3</v>
      </c>
      <c r="U255" t="s">
        <v>38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  <c r="AG255" t="s">
        <v>45</v>
      </c>
      <c r="AH255" t="s">
        <v>46</v>
      </c>
      <c r="AI255">
        <v>0</v>
      </c>
      <c r="AJ255" t="s">
        <v>65</v>
      </c>
      <c r="AK255" t="s">
        <v>48</v>
      </c>
      <c r="AL255" t="s">
        <v>73</v>
      </c>
      <c r="AM255" t="s">
        <v>61</v>
      </c>
      <c r="AN255">
        <f t="shared" si="3"/>
        <v>6</v>
      </c>
    </row>
    <row r="256" spans="1:40">
      <c r="A256">
        <v>29</v>
      </c>
      <c r="B256" t="s">
        <v>51</v>
      </c>
      <c r="C256" t="s">
        <v>39</v>
      </c>
      <c r="D256">
        <v>1247</v>
      </c>
      <c r="E256" t="s">
        <v>40</v>
      </c>
      <c r="F256">
        <v>20</v>
      </c>
      <c r="G256">
        <v>2</v>
      </c>
      <c r="H256" t="s">
        <v>84</v>
      </c>
      <c r="I256">
        <v>349</v>
      </c>
      <c r="J256">
        <v>4</v>
      </c>
      <c r="K256" t="s">
        <v>54</v>
      </c>
      <c r="L256">
        <v>45</v>
      </c>
      <c r="M256">
        <v>3</v>
      </c>
      <c r="N256">
        <v>2</v>
      </c>
      <c r="O256" t="s">
        <v>43</v>
      </c>
      <c r="P256">
        <v>4</v>
      </c>
      <c r="Q256" t="s">
        <v>74</v>
      </c>
      <c r="R256">
        <v>6931</v>
      </c>
      <c r="S256">
        <v>10732</v>
      </c>
      <c r="T256">
        <v>2</v>
      </c>
      <c r="U256" t="s">
        <v>51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  <c r="AG256" t="s">
        <v>67</v>
      </c>
      <c r="AH256" t="s">
        <v>46</v>
      </c>
      <c r="AI256">
        <v>0</v>
      </c>
      <c r="AJ256" t="s">
        <v>65</v>
      </c>
      <c r="AK256" t="s">
        <v>48</v>
      </c>
      <c r="AL256" t="s">
        <v>49</v>
      </c>
      <c r="AM256" t="s">
        <v>61</v>
      </c>
      <c r="AN256">
        <f t="shared" si="3"/>
        <v>-3</v>
      </c>
    </row>
    <row r="257" spans="1:40">
      <c r="A257">
        <v>25</v>
      </c>
      <c r="B257" t="s">
        <v>51</v>
      </c>
      <c r="C257" t="s">
        <v>39</v>
      </c>
      <c r="D257">
        <v>685</v>
      </c>
      <c r="E257" t="s">
        <v>53</v>
      </c>
      <c r="F257">
        <v>1</v>
      </c>
      <c r="G257">
        <v>3</v>
      </c>
      <c r="H257" t="s">
        <v>41</v>
      </c>
      <c r="I257">
        <v>350</v>
      </c>
      <c r="J257">
        <v>1</v>
      </c>
      <c r="K257" t="s">
        <v>42</v>
      </c>
      <c r="L257">
        <v>62</v>
      </c>
      <c r="M257">
        <v>3</v>
      </c>
      <c r="N257">
        <v>2</v>
      </c>
      <c r="O257" t="s">
        <v>75</v>
      </c>
      <c r="P257">
        <v>3</v>
      </c>
      <c r="Q257" t="s">
        <v>56</v>
      </c>
      <c r="R257">
        <v>4898</v>
      </c>
      <c r="S257">
        <v>7505</v>
      </c>
      <c r="T257">
        <v>0</v>
      </c>
      <c r="U257" t="s">
        <v>51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  <c r="AG257" t="s">
        <v>78</v>
      </c>
      <c r="AH257" t="s">
        <v>71</v>
      </c>
      <c r="AI257">
        <v>0</v>
      </c>
      <c r="AJ257" t="s">
        <v>65</v>
      </c>
      <c r="AK257" t="s">
        <v>72</v>
      </c>
      <c r="AL257" t="s">
        <v>66</v>
      </c>
      <c r="AM257" t="s">
        <v>61</v>
      </c>
      <c r="AN257">
        <f t="shared" si="3"/>
        <v>1</v>
      </c>
    </row>
    <row r="258" spans="1:40">
      <c r="A258">
        <v>42</v>
      </c>
      <c r="B258" t="s">
        <v>51</v>
      </c>
      <c r="C258" t="s">
        <v>39</v>
      </c>
      <c r="D258">
        <v>269</v>
      </c>
      <c r="E258" t="s">
        <v>53</v>
      </c>
      <c r="F258">
        <v>2</v>
      </c>
      <c r="G258">
        <v>3</v>
      </c>
      <c r="H258" t="s">
        <v>69</v>
      </c>
      <c r="I258">
        <v>351</v>
      </c>
      <c r="J258">
        <v>4</v>
      </c>
      <c r="K258" t="s">
        <v>42</v>
      </c>
      <c r="L258">
        <v>56</v>
      </c>
      <c r="M258">
        <v>2</v>
      </c>
      <c r="N258">
        <v>1</v>
      </c>
      <c r="O258" t="s">
        <v>63</v>
      </c>
      <c r="P258">
        <v>1</v>
      </c>
      <c r="Q258" t="s">
        <v>74</v>
      </c>
      <c r="R258">
        <v>2593</v>
      </c>
      <c r="S258">
        <v>8007</v>
      </c>
      <c r="T258">
        <v>0</v>
      </c>
      <c r="U258" t="s">
        <v>38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  <c r="AG258" t="s">
        <v>45</v>
      </c>
      <c r="AH258" t="s">
        <v>71</v>
      </c>
      <c r="AI258">
        <v>0</v>
      </c>
      <c r="AJ258" t="s">
        <v>58</v>
      </c>
      <c r="AK258" t="s">
        <v>72</v>
      </c>
      <c r="AL258" t="s">
        <v>73</v>
      </c>
      <c r="AM258" t="s">
        <v>61</v>
      </c>
      <c r="AN258">
        <f t="shared" si="3"/>
        <v>13</v>
      </c>
    </row>
    <row r="259" spans="1:40">
      <c r="A259">
        <v>40</v>
      </c>
      <c r="B259" t="s">
        <v>51</v>
      </c>
      <c r="C259" t="s">
        <v>39</v>
      </c>
      <c r="D259">
        <v>1416</v>
      </c>
      <c r="E259" t="s">
        <v>53</v>
      </c>
      <c r="F259">
        <v>2</v>
      </c>
      <c r="G259">
        <v>2</v>
      </c>
      <c r="H259" t="s">
        <v>69</v>
      </c>
      <c r="I259">
        <v>352</v>
      </c>
      <c r="J259">
        <v>1</v>
      </c>
      <c r="K259" t="s">
        <v>54</v>
      </c>
      <c r="L259">
        <v>49</v>
      </c>
      <c r="M259">
        <v>3</v>
      </c>
      <c r="N259">
        <v>5</v>
      </c>
      <c r="O259" t="s">
        <v>83</v>
      </c>
      <c r="P259">
        <v>3</v>
      </c>
      <c r="Q259" t="s">
        <v>74</v>
      </c>
      <c r="R259">
        <v>19436</v>
      </c>
      <c r="S259">
        <v>5949</v>
      </c>
      <c r="T259">
        <v>0</v>
      </c>
      <c r="U259" t="s">
        <v>51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  <c r="AG259" t="s">
        <v>45</v>
      </c>
      <c r="AH259" t="s">
        <v>81</v>
      </c>
      <c r="AI259">
        <v>0</v>
      </c>
      <c r="AJ259" t="s">
        <v>80</v>
      </c>
      <c r="AK259" t="s">
        <v>48</v>
      </c>
      <c r="AL259" t="s">
        <v>66</v>
      </c>
      <c r="AM259" t="s">
        <v>61</v>
      </c>
      <c r="AN259">
        <f t="shared" ref="AN259:AN322" si="4">((3-P259)*3+((3-AB259)*2+AE259))</f>
        <v>3</v>
      </c>
    </row>
    <row r="260" spans="1:40">
      <c r="A260">
        <v>51</v>
      </c>
      <c r="B260" t="s">
        <v>51</v>
      </c>
      <c r="C260" t="s">
        <v>39</v>
      </c>
      <c r="D260">
        <v>833</v>
      </c>
      <c r="E260" t="s">
        <v>53</v>
      </c>
      <c r="F260">
        <v>1</v>
      </c>
      <c r="G260">
        <v>3</v>
      </c>
      <c r="H260" t="s">
        <v>41</v>
      </c>
      <c r="I260">
        <v>353</v>
      </c>
      <c r="J260">
        <v>3</v>
      </c>
      <c r="K260" t="s">
        <v>54</v>
      </c>
      <c r="L260">
        <v>96</v>
      </c>
      <c r="M260">
        <v>3</v>
      </c>
      <c r="N260">
        <v>1</v>
      </c>
      <c r="O260" t="s">
        <v>55</v>
      </c>
      <c r="P260">
        <v>4</v>
      </c>
      <c r="Q260" t="s">
        <v>56</v>
      </c>
      <c r="R260">
        <v>2723</v>
      </c>
      <c r="S260">
        <v>23231</v>
      </c>
      <c r="T260">
        <v>1</v>
      </c>
      <c r="U260" t="s">
        <v>51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  <c r="AG260" t="s">
        <v>57</v>
      </c>
      <c r="AH260" t="s">
        <v>46</v>
      </c>
      <c r="AI260">
        <v>0</v>
      </c>
      <c r="AJ260" t="s">
        <v>47</v>
      </c>
      <c r="AK260" t="s">
        <v>72</v>
      </c>
      <c r="AL260" t="s">
        <v>49</v>
      </c>
      <c r="AM260" t="s">
        <v>70</v>
      </c>
      <c r="AN260">
        <f t="shared" si="4"/>
        <v>-1</v>
      </c>
    </row>
    <row r="261" spans="1:40">
      <c r="A261">
        <v>31</v>
      </c>
      <c r="B261" t="s">
        <v>38</v>
      </c>
      <c r="C261" t="s">
        <v>52</v>
      </c>
      <c r="D261">
        <v>307</v>
      </c>
      <c r="E261" t="s">
        <v>53</v>
      </c>
      <c r="F261">
        <v>29</v>
      </c>
      <c r="G261">
        <v>2</v>
      </c>
      <c r="H261" t="s">
        <v>69</v>
      </c>
      <c r="I261">
        <v>355</v>
      </c>
      <c r="J261">
        <v>3</v>
      </c>
      <c r="K261" t="s">
        <v>54</v>
      </c>
      <c r="L261">
        <v>71</v>
      </c>
      <c r="M261">
        <v>2</v>
      </c>
      <c r="N261">
        <v>1</v>
      </c>
      <c r="O261" t="s">
        <v>63</v>
      </c>
      <c r="P261">
        <v>2</v>
      </c>
      <c r="Q261" t="s">
        <v>44</v>
      </c>
      <c r="R261">
        <v>3479</v>
      </c>
      <c r="S261">
        <v>11652</v>
      </c>
      <c r="T261">
        <v>0</v>
      </c>
      <c r="U261" t="s">
        <v>51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  <c r="AG261" t="s">
        <v>67</v>
      </c>
      <c r="AH261" t="s">
        <v>46</v>
      </c>
      <c r="AI261">
        <v>1</v>
      </c>
      <c r="AJ261" t="s">
        <v>65</v>
      </c>
      <c r="AK261" t="s">
        <v>48</v>
      </c>
      <c r="AL261" t="s">
        <v>60</v>
      </c>
      <c r="AM261" t="s">
        <v>85</v>
      </c>
      <c r="AN261">
        <f t="shared" si="4"/>
        <v>2</v>
      </c>
    </row>
    <row r="262" spans="1:40">
      <c r="A262">
        <v>32</v>
      </c>
      <c r="B262" t="s">
        <v>51</v>
      </c>
      <c r="C262" t="s">
        <v>52</v>
      </c>
      <c r="D262">
        <v>1311</v>
      </c>
      <c r="E262" t="s">
        <v>53</v>
      </c>
      <c r="F262">
        <v>7</v>
      </c>
      <c r="G262">
        <v>3</v>
      </c>
      <c r="H262" t="s">
        <v>41</v>
      </c>
      <c r="I262">
        <v>359</v>
      </c>
      <c r="J262">
        <v>2</v>
      </c>
      <c r="K262" t="s">
        <v>54</v>
      </c>
      <c r="L262">
        <v>100</v>
      </c>
      <c r="M262">
        <v>4</v>
      </c>
      <c r="N262">
        <v>1</v>
      </c>
      <c r="O262" t="s">
        <v>63</v>
      </c>
      <c r="P262">
        <v>2</v>
      </c>
      <c r="Q262" t="s">
        <v>56</v>
      </c>
      <c r="R262">
        <v>2794</v>
      </c>
      <c r="S262">
        <v>26062</v>
      </c>
      <c r="T262">
        <v>1</v>
      </c>
      <c r="U262" t="s">
        <v>51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  <c r="AG262" t="s">
        <v>67</v>
      </c>
      <c r="AH262" t="s">
        <v>46</v>
      </c>
      <c r="AI262">
        <v>0</v>
      </c>
      <c r="AJ262" t="s">
        <v>47</v>
      </c>
      <c r="AK262" t="s">
        <v>72</v>
      </c>
      <c r="AL262" t="s">
        <v>60</v>
      </c>
      <c r="AM262" t="s">
        <v>50</v>
      </c>
      <c r="AN262">
        <f t="shared" si="4"/>
        <v>7</v>
      </c>
    </row>
    <row r="263" spans="1:40">
      <c r="A263">
        <v>38</v>
      </c>
      <c r="B263" t="s">
        <v>51</v>
      </c>
      <c r="C263" t="s">
        <v>77</v>
      </c>
      <c r="D263">
        <v>1327</v>
      </c>
      <c r="E263" t="s">
        <v>40</v>
      </c>
      <c r="F263">
        <v>2</v>
      </c>
      <c r="G263">
        <v>2</v>
      </c>
      <c r="H263" t="s">
        <v>41</v>
      </c>
      <c r="I263">
        <v>361</v>
      </c>
      <c r="J263">
        <v>4</v>
      </c>
      <c r="K263" t="s">
        <v>54</v>
      </c>
      <c r="L263">
        <v>39</v>
      </c>
      <c r="M263">
        <v>2</v>
      </c>
      <c r="N263">
        <v>2</v>
      </c>
      <c r="O263" t="s">
        <v>43</v>
      </c>
      <c r="P263">
        <v>4</v>
      </c>
      <c r="Q263" t="s">
        <v>56</v>
      </c>
      <c r="R263">
        <v>5249</v>
      </c>
      <c r="S263">
        <v>19682</v>
      </c>
      <c r="T263">
        <v>3</v>
      </c>
      <c r="U263" t="s">
        <v>51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  <c r="AG263" t="s">
        <v>45</v>
      </c>
      <c r="AH263" t="s">
        <v>46</v>
      </c>
      <c r="AI263">
        <v>0</v>
      </c>
      <c r="AJ263" t="s">
        <v>58</v>
      </c>
      <c r="AK263" t="s">
        <v>48</v>
      </c>
      <c r="AL263" t="s">
        <v>49</v>
      </c>
      <c r="AM263" t="s">
        <v>61</v>
      </c>
      <c r="AN263">
        <f t="shared" si="4"/>
        <v>4</v>
      </c>
    </row>
    <row r="264" spans="1:40">
      <c r="A264">
        <v>32</v>
      </c>
      <c r="B264" t="s">
        <v>51</v>
      </c>
      <c r="C264" t="s">
        <v>39</v>
      </c>
      <c r="D264">
        <v>128</v>
      </c>
      <c r="E264" t="s">
        <v>53</v>
      </c>
      <c r="F264">
        <v>2</v>
      </c>
      <c r="G264">
        <v>1</v>
      </c>
      <c r="H264" t="s">
        <v>86</v>
      </c>
      <c r="I264">
        <v>362</v>
      </c>
      <c r="J264">
        <v>4</v>
      </c>
      <c r="K264" t="s">
        <v>54</v>
      </c>
      <c r="L264">
        <v>84</v>
      </c>
      <c r="M264">
        <v>2</v>
      </c>
      <c r="N264">
        <v>2</v>
      </c>
      <c r="O264" t="s">
        <v>63</v>
      </c>
      <c r="P264">
        <v>1</v>
      </c>
      <c r="Q264" t="s">
        <v>44</v>
      </c>
      <c r="R264">
        <v>2176</v>
      </c>
      <c r="S264">
        <v>19737</v>
      </c>
      <c r="T264">
        <v>4</v>
      </c>
      <c r="U264" t="s">
        <v>51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  <c r="AG264" t="s">
        <v>67</v>
      </c>
      <c r="AH264" t="s">
        <v>46</v>
      </c>
      <c r="AI264">
        <v>0</v>
      </c>
      <c r="AJ264" t="s">
        <v>58</v>
      </c>
      <c r="AK264" t="s">
        <v>59</v>
      </c>
      <c r="AL264" t="s">
        <v>73</v>
      </c>
      <c r="AM264" t="s">
        <v>61</v>
      </c>
      <c r="AN264">
        <f t="shared" si="4"/>
        <v>6</v>
      </c>
    </row>
    <row r="265" spans="1:40">
      <c r="A265">
        <v>46</v>
      </c>
      <c r="B265" t="s">
        <v>51</v>
      </c>
      <c r="C265" t="s">
        <v>39</v>
      </c>
      <c r="D265">
        <v>488</v>
      </c>
      <c r="E265" t="s">
        <v>40</v>
      </c>
      <c r="F265">
        <v>2</v>
      </c>
      <c r="G265">
        <v>3</v>
      </c>
      <c r="H265" t="s">
        <v>86</v>
      </c>
      <c r="I265">
        <v>363</v>
      </c>
      <c r="J265">
        <v>3</v>
      </c>
      <c r="K265" t="s">
        <v>42</v>
      </c>
      <c r="L265">
        <v>75</v>
      </c>
      <c r="M265">
        <v>1</v>
      </c>
      <c r="N265">
        <v>4</v>
      </c>
      <c r="O265" t="s">
        <v>79</v>
      </c>
      <c r="P265">
        <v>2</v>
      </c>
      <c r="Q265" t="s">
        <v>56</v>
      </c>
      <c r="R265">
        <v>16872</v>
      </c>
      <c r="S265">
        <v>14977</v>
      </c>
      <c r="T265">
        <v>3</v>
      </c>
      <c r="U265" t="s">
        <v>38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  <c r="AG265" t="s">
        <v>57</v>
      </c>
      <c r="AH265" t="s">
        <v>46</v>
      </c>
      <c r="AI265">
        <v>0</v>
      </c>
      <c r="AJ265" t="s">
        <v>47</v>
      </c>
      <c r="AK265" t="s">
        <v>72</v>
      </c>
      <c r="AL265" t="s">
        <v>60</v>
      </c>
      <c r="AM265" t="s">
        <v>70</v>
      </c>
      <c r="AN265">
        <f t="shared" si="4"/>
        <v>12</v>
      </c>
    </row>
    <row r="266" spans="1:40">
      <c r="A266">
        <v>28</v>
      </c>
      <c r="B266" t="s">
        <v>38</v>
      </c>
      <c r="C266" t="s">
        <v>39</v>
      </c>
      <c r="D266">
        <v>529</v>
      </c>
      <c r="E266" t="s">
        <v>53</v>
      </c>
      <c r="F266">
        <v>2</v>
      </c>
      <c r="G266">
        <v>4</v>
      </c>
      <c r="H266" t="s">
        <v>41</v>
      </c>
      <c r="I266">
        <v>364</v>
      </c>
      <c r="J266">
        <v>1</v>
      </c>
      <c r="K266" t="s">
        <v>54</v>
      </c>
      <c r="L266">
        <v>79</v>
      </c>
      <c r="M266">
        <v>3</v>
      </c>
      <c r="N266">
        <v>1</v>
      </c>
      <c r="O266" t="s">
        <v>63</v>
      </c>
      <c r="P266">
        <v>3</v>
      </c>
      <c r="Q266" t="s">
        <v>44</v>
      </c>
      <c r="R266">
        <v>3485</v>
      </c>
      <c r="S266">
        <v>14935</v>
      </c>
      <c r="T266">
        <v>2</v>
      </c>
      <c r="U266" t="s">
        <v>51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  <c r="AG266" t="s">
        <v>67</v>
      </c>
      <c r="AH266" t="s">
        <v>46</v>
      </c>
      <c r="AI266">
        <v>1</v>
      </c>
      <c r="AJ266" t="s">
        <v>47</v>
      </c>
      <c r="AK266" t="s">
        <v>68</v>
      </c>
      <c r="AL266" t="s">
        <v>66</v>
      </c>
      <c r="AM266" t="s">
        <v>50</v>
      </c>
      <c r="AN266">
        <f t="shared" si="4"/>
        <v>4</v>
      </c>
    </row>
    <row r="267" spans="1:40">
      <c r="A267">
        <v>29</v>
      </c>
      <c r="B267" t="s">
        <v>51</v>
      </c>
      <c r="C267" t="s">
        <v>39</v>
      </c>
      <c r="D267">
        <v>1210</v>
      </c>
      <c r="E267" t="s">
        <v>40</v>
      </c>
      <c r="F267">
        <v>2</v>
      </c>
      <c r="G267">
        <v>3</v>
      </c>
      <c r="H267" t="s">
        <v>69</v>
      </c>
      <c r="I267">
        <v>366</v>
      </c>
      <c r="J267">
        <v>1</v>
      </c>
      <c r="K267" t="s">
        <v>54</v>
      </c>
      <c r="L267">
        <v>78</v>
      </c>
      <c r="M267">
        <v>2</v>
      </c>
      <c r="N267">
        <v>2</v>
      </c>
      <c r="O267" t="s">
        <v>43</v>
      </c>
      <c r="P267">
        <v>2</v>
      </c>
      <c r="Q267" t="s">
        <v>56</v>
      </c>
      <c r="R267">
        <v>6644</v>
      </c>
      <c r="S267">
        <v>3687</v>
      </c>
      <c r="T267">
        <v>2</v>
      </c>
      <c r="U267" t="s">
        <v>51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  <c r="AG267" t="s">
        <v>67</v>
      </c>
      <c r="AH267" t="s">
        <v>81</v>
      </c>
      <c r="AI267">
        <v>0</v>
      </c>
      <c r="AJ267" t="s">
        <v>65</v>
      </c>
      <c r="AK267" t="s">
        <v>72</v>
      </c>
      <c r="AL267" t="s">
        <v>60</v>
      </c>
      <c r="AM267" t="s">
        <v>61</v>
      </c>
      <c r="AN267">
        <f t="shared" si="4"/>
        <v>3</v>
      </c>
    </row>
    <row r="268" spans="1:40">
      <c r="A268">
        <v>31</v>
      </c>
      <c r="B268" t="s">
        <v>51</v>
      </c>
      <c r="C268" t="s">
        <v>39</v>
      </c>
      <c r="D268">
        <v>1463</v>
      </c>
      <c r="E268" t="s">
        <v>53</v>
      </c>
      <c r="F268">
        <v>23</v>
      </c>
      <c r="G268">
        <v>3</v>
      </c>
      <c r="H268" t="s">
        <v>69</v>
      </c>
      <c r="I268">
        <v>367</v>
      </c>
      <c r="J268">
        <v>2</v>
      </c>
      <c r="K268" t="s">
        <v>54</v>
      </c>
      <c r="L268">
        <v>64</v>
      </c>
      <c r="M268">
        <v>2</v>
      </c>
      <c r="N268">
        <v>2</v>
      </c>
      <c r="O268" t="s">
        <v>76</v>
      </c>
      <c r="P268">
        <v>4</v>
      </c>
      <c r="Q268" t="s">
        <v>56</v>
      </c>
      <c r="R268">
        <v>5582</v>
      </c>
      <c r="S268">
        <v>14408</v>
      </c>
      <c r="T268">
        <v>0</v>
      </c>
      <c r="U268" t="s">
        <v>51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  <c r="AG268" t="s">
        <v>67</v>
      </c>
      <c r="AH268" t="s">
        <v>46</v>
      </c>
      <c r="AI268">
        <v>0</v>
      </c>
      <c r="AJ268" t="s">
        <v>58</v>
      </c>
      <c r="AK268" t="s">
        <v>72</v>
      </c>
      <c r="AL268" t="s">
        <v>49</v>
      </c>
      <c r="AM268" t="s">
        <v>61</v>
      </c>
      <c r="AN268">
        <f t="shared" si="4"/>
        <v>4</v>
      </c>
    </row>
    <row r="269" spans="1:40">
      <c r="A269">
        <v>25</v>
      </c>
      <c r="B269" t="s">
        <v>51</v>
      </c>
      <c r="C269" t="s">
        <v>77</v>
      </c>
      <c r="D269">
        <v>675</v>
      </c>
      <c r="E269" t="s">
        <v>53</v>
      </c>
      <c r="F269">
        <v>5</v>
      </c>
      <c r="G269">
        <v>2</v>
      </c>
      <c r="H269" t="s">
        <v>41</v>
      </c>
      <c r="I269">
        <v>369</v>
      </c>
      <c r="J269">
        <v>2</v>
      </c>
      <c r="K269" t="s">
        <v>54</v>
      </c>
      <c r="L269">
        <v>85</v>
      </c>
      <c r="M269">
        <v>4</v>
      </c>
      <c r="N269">
        <v>2</v>
      </c>
      <c r="O269" t="s">
        <v>76</v>
      </c>
      <c r="P269">
        <v>1</v>
      </c>
      <c r="Q269" t="s">
        <v>74</v>
      </c>
      <c r="R269">
        <v>4000</v>
      </c>
      <c r="S269">
        <v>18384</v>
      </c>
      <c r="T269">
        <v>1</v>
      </c>
      <c r="U269" t="s">
        <v>51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  <c r="AG269" t="s">
        <v>78</v>
      </c>
      <c r="AH269" t="s">
        <v>46</v>
      </c>
      <c r="AI269">
        <v>0</v>
      </c>
      <c r="AJ269" t="s">
        <v>58</v>
      </c>
      <c r="AK269" t="s">
        <v>48</v>
      </c>
      <c r="AL269" t="s">
        <v>73</v>
      </c>
      <c r="AM269" t="s">
        <v>61</v>
      </c>
      <c r="AN269">
        <f t="shared" si="4"/>
        <v>7</v>
      </c>
    </row>
    <row r="270" spans="1:40">
      <c r="A270">
        <v>45</v>
      </c>
      <c r="B270" t="s">
        <v>51</v>
      </c>
      <c r="C270" t="s">
        <v>39</v>
      </c>
      <c r="D270">
        <v>1385</v>
      </c>
      <c r="E270" t="s">
        <v>53</v>
      </c>
      <c r="F270">
        <v>20</v>
      </c>
      <c r="G270">
        <v>2</v>
      </c>
      <c r="H270" t="s">
        <v>69</v>
      </c>
      <c r="I270">
        <v>372</v>
      </c>
      <c r="J270">
        <v>3</v>
      </c>
      <c r="K270" t="s">
        <v>54</v>
      </c>
      <c r="L270">
        <v>79</v>
      </c>
      <c r="M270">
        <v>3</v>
      </c>
      <c r="N270">
        <v>4</v>
      </c>
      <c r="O270" t="s">
        <v>76</v>
      </c>
      <c r="P270">
        <v>4</v>
      </c>
      <c r="Q270" t="s">
        <v>56</v>
      </c>
      <c r="R270">
        <v>13496</v>
      </c>
      <c r="S270">
        <v>7501</v>
      </c>
      <c r="T270">
        <v>0</v>
      </c>
      <c r="U270" t="s">
        <v>38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  <c r="AG270" t="s">
        <v>45</v>
      </c>
      <c r="AH270" t="s">
        <v>71</v>
      </c>
      <c r="AI270">
        <v>0</v>
      </c>
      <c r="AJ270" t="s">
        <v>80</v>
      </c>
      <c r="AK270" t="s">
        <v>48</v>
      </c>
      <c r="AL270" t="s">
        <v>49</v>
      </c>
      <c r="AM270" t="s">
        <v>61</v>
      </c>
      <c r="AN270">
        <f t="shared" si="4"/>
        <v>1</v>
      </c>
    </row>
    <row r="271" spans="1:40">
      <c r="A271">
        <v>36</v>
      </c>
      <c r="B271" t="s">
        <v>51</v>
      </c>
      <c r="C271" t="s">
        <v>39</v>
      </c>
      <c r="D271">
        <v>1403</v>
      </c>
      <c r="E271" t="s">
        <v>53</v>
      </c>
      <c r="F271">
        <v>6</v>
      </c>
      <c r="G271">
        <v>3</v>
      </c>
      <c r="H271" t="s">
        <v>41</v>
      </c>
      <c r="I271">
        <v>373</v>
      </c>
      <c r="J271">
        <v>4</v>
      </c>
      <c r="K271" t="s">
        <v>54</v>
      </c>
      <c r="L271">
        <v>47</v>
      </c>
      <c r="M271">
        <v>3</v>
      </c>
      <c r="N271">
        <v>1</v>
      </c>
      <c r="O271" t="s">
        <v>63</v>
      </c>
      <c r="P271">
        <v>4</v>
      </c>
      <c r="Q271" t="s">
        <v>56</v>
      </c>
      <c r="R271">
        <v>3210</v>
      </c>
      <c r="S271">
        <v>20251</v>
      </c>
      <c r="T271">
        <v>0</v>
      </c>
      <c r="U271" t="s">
        <v>51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  <c r="AG271" t="s">
        <v>45</v>
      </c>
      <c r="AH271" t="s">
        <v>46</v>
      </c>
      <c r="AI271">
        <v>0</v>
      </c>
      <c r="AJ271" t="s">
        <v>80</v>
      </c>
      <c r="AK271" t="s">
        <v>72</v>
      </c>
      <c r="AL271" t="s">
        <v>49</v>
      </c>
      <c r="AM271" t="s">
        <v>61</v>
      </c>
      <c r="AN271">
        <f t="shared" si="4"/>
        <v>7</v>
      </c>
    </row>
    <row r="272" spans="1:40">
      <c r="A272">
        <v>55</v>
      </c>
      <c r="B272" t="s">
        <v>51</v>
      </c>
      <c r="C272" t="s">
        <v>39</v>
      </c>
      <c r="D272">
        <v>452</v>
      </c>
      <c r="E272" t="s">
        <v>53</v>
      </c>
      <c r="F272">
        <v>1</v>
      </c>
      <c r="G272">
        <v>3</v>
      </c>
      <c r="H272" t="s">
        <v>69</v>
      </c>
      <c r="I272">
        <v>374</v>
      </c>
      <c r="J272">
        <v>4</v>
      </c>
      <c r="K272" t="s">
        <v>54</v>
      </c>
      <c r="L272">
        <v>81</v>
      </c>
      <c r="M272">
        <v>3</v>
      </c>
      <c r="N272">
        <v>5</v>
      </c>
      <c r="O272" t="s">
        <v>79</v>
      </c>
      <c r="P272">
        <v>1</v>
      </c>
      <c r="Q272" t="s">
        <v>44</v>
      </c>
      <c r="R272">
        <v>19045</v>
      </c>
      <c r="S272">
        <v>18938</v>
      </c>
      <c r="T272">
        <v>0</v>
      </c>
      <c r="U272" t="s">
        <v>38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  <c r="AG272" t="s">
        <v>57</v>
      </c>
      <c r="AH272" t="s">
        <v>46</v>
      </c>
      <c r="AI272">
        <v>0</v>
      </c>
      <c r="AJ272" t="s">
        <v>80</v>
      </c>
      <c r="AK272" t="s">
        <v>72</v>
      </c>
      <c r="AL272" t="s">
        <v>73</v>
      </c>
      <c r="AM272" t="s">
        <v>61</v>
      </c>
      <c r="AN272">
        <f t="shared" si="4"/>
        <v>10</v>
      </c>
    </row>
    <row r="273" spans="1:40">
      <c r="A273">
        <v>47</v>
      </c>
      <c r="B273" t="s">
        <v>38</v>
      </c>
      <c r="C273" t="s">
        <v>77</v>
      </c>
      <c r="D273">
        <v>666</v>
      </c>
      <c r="E273" t="s">
        <v>53</v>
      </c>
      <c r="F273">
        <v>29</v>
      </c>
      <c r="G273">
        <v>4</v>
      </c>
      <c r="H273" t="s">
        <v>41</v>
      </c>
      <c r="I273">
        <v>376</v>
      </c>
      <c r="J273">
        <v>1</v>
      </c>
      <c r="K273" t="s">
        <v>54</v>
      </c>
      <c r="L273">
        <v>88</v>
      </c>
      <c r="M273">
        <v>3</v>
      </c>
      <c r="N273">
        <v>3</v>
      </c>
      <c r="O273" t="s">
        <v>79</v>
      </c>
      <c r="P273">
        <v>2</v>
      </c>
      <c r="Q273" t="s">
        <v>56</v>
      </c>
      <c r="R273">
        <v>11849</v>
      </c>
      <c r="S273">
        <v>10268</v>
      </c>
      <c r="T273">
        <v>1</v>
      </c>
      <c r="U273" t="s">
        <v>38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  <c r="AG273" t="s">
        <v>57</v>
      </c>
      <c r="AH273" t="s">
        <v>46</v>
      </c>
      <c r="AI273">
        <v>1</v>
      </c>
      <c r="AJ273" t="s">
        <v>47</v>
      </c>
      <c r="AK273" t="s">
        <v>68</v>
      </c>
      <c r="AL273" t="s">
        <v>60</v>
      </c>
      <c r="AM273" t="s">
        <v>70</v>
      </c>
      <c r="AN273">
        <f t="shared" si="4"/>
        <v>14</v>
      </c>
    </row>
    <row r="274" spans="1:40">
      <c r="A274">
        <v>28</v>
      </c>
      <c r="B274" t="s">
        <v>51</v>
      </c>
      <c r="C274" t="s">
        <v>39</v>
      </c>
      <c r="D274">
        <v>1158</v>
      </c>
      <c r="E274" t="s">
        <v>53</v>
      </c>
      <c r="F274">
        <v>9</v>
      </c>
      <c r="G274">
        <v>3</v>
      </c>
      <c r="H274" t="s">
        <v>69</v>
      </c>
      <c r="I274">
        <v>377</v>
      </c>
      <c r="J274">
        <v>4</v>
      </c>
      <c r="K274" t="s">
        <v>54</v>
      </c>
      <c r="L274">
        <v>94</v>
      </c>
      <c r="M274">
        <v>3</v>
      </c>
      <c r="N274">
        <v>1</v>
      </c>
      <c r="O274" t="s">
        <v>55</v>
      </c>
      <c r="P274">
        <v>4</v>
      </c>
      <c r="Q274" t="s">
        <v>56</v>
      </c>
      <c r="R274">
        <v>2070</v>
      </c>
      <c r="S274">
        <v>2613</v>
      </c>
      <c r="T274">
        <v>1</v>
      </c>
      <c r="U274" t="s">
        <v>51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  <c r="AG274" t="s">
        <v>67</v>
      </c>
      <c r="AH274" t="s">
        <v>64</v>
      </c>
      <c r="AI274">
        <v>0</v>
      </c>
      <c r="AJ274" t="s">
        <v>47</v>
      </c>
      <c r="AK274" t="s">
        <v>72</v>
      </c>
      <c r="AL274" t="s">
        <v>49</v>
      </c>
      <c r="AM274" t="s">
        <v>70</v>
      </c>
      <c r="AN274">
        <f t="shared" si="4"/>
        <v>-1</v>
      </c>
    </row>
    <row r="275" spans="1:40">
      <c r="A275">
        <v>37</v>
      </c>
      <c r="B275" t="s">
        <v>51</v>
      </c>
      <c r="C275" t="s">
        <v>39</v>
      </c>
      <c r="D275">
        <v>228</v>
      </c>
      <c r="E275" t="s">
        <v>40</v>
      </c>
      <c r="F275">
        <v>6</v>
      </c>
      <c r="G275">
        <v>4</v>
      </c>
      <c r="H275" t="s">
        <v>69</v>
      </c>
      <c r="I275">
        <v>378</v>
      </c>
      <c r="J275">
        <v>3</v>
      </c>
      <c r="K275" t="s">
        <v>54</v>
      </c>
      <c r="L275">
        <v>98</v>
      </c>
      <c r="M275">
        <v>3</v>
      </c>
      <c r="N275">
        <v>2</v>
      </c>
      <c r="O275" t="s">
        <v>43</v>
      </c>
      <c r="P275">
        <v>4</v>
      </c>
      <c r="Q275" t="s">
        <v>56</v>
      </c>
      <c r="R275">
        <v>6502</v>
      </c>
      <c r="S275">
        <v>22825</v>
      </c>
      <c r="T275">
        <v>4</v>
      </c>
      <c r="U275" t="s">
        <v>51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  <c r="AG275" t="s">
        <v>45</v>
      </c>
      <c r="AH275" t="s">
        <v>46</v>
      </c>
      <c r="AI275">
        <v>0</v>
      </c>
      <c r="AJ275" t="s">
        <v>65</v>
      </c>
      <c r="AK275" t="s">
        <v>68</v>
      </c>
      <c r="AL275" t="s">
        <v>49</v>
      </c>
      <c r="AM275" t="s">
        <v>85</v>
      </c>
      <c r="AN275">
        <f t="shared" si="4"/>
        <v>-5</v>
      </c>
    </row>
    <row r="276" spans="1:40">
      <c r="A276">
        <v>21</v>
      </c>
      <c r="B276" t="s">
        <v>51</v>
      </c>
      <c r="C276" t="s">
        <v>39</v>
      </c>
      <c r="D276">
        <v>996</v>
      </c>
      <c r="E276" t="s">
        <v>53</v>
      </c>
      <c r="F276">
        <v>3</v>
      </c>
      <c r="G276">
        <v>2</v>
      </c>
      <c r="H276" t="s">
        <v>69</v>
      </c>
      <c r="I276">
        <v>379</v>
      </c>
      <c r="J276">
        <v>4</v>
      </c>
      <c r="K276" t="s">
        <v>54</v>
      </c>
      <c r="L276">
        <v>100</v>
      </c>
      <c r="M276">
        <v>2</v>
      </c>
      <c r="N276">
        <v>1</v>
      </c>
      <c r="O276" t="s">
        <v>55</v>
      </c>
      <c r="P276">
        <v>3</v>
      </c>
      <c r="Q276" t="s">
        <v>44</v>
      </c>
      <c r="R276">
        <v>3230</v>
      </c>
      <c r="S276">
        <v>10531</v>
      </c>
      <c r="T276">
        <v>1</v>
      </c>
      <c r="U276" t="s">
        <v>51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  <c r="AG276" t="s">
        <v>78</v>
      </c>
      <c r="AH276" t="s">
        <v>46</v>
      </c>
      <c r="AI276">
        <v>0</v>
      </c>
      <c r="AJ276" t="s">
        <v>65</v>
      </c>
      <c r="AK276" t="s">
        <v>48</v>
      </c>
      <c r="AL276" t="s">
        <v>66</v>
      </c>
      <c r="AM276" t="s">
        <v>85</v>
      </c>
      <c r="AN276">
        <f t="shared" si="4"/>
        <v>-1</v>
      </c>
    </row>
    <row r="277" spans="1:40">
      <c r="A277">
        <v>37</v>
      </c>
      <c r="B277" t="s">
        <v>51</v>
      </c>
      <c r="C277" t="s">
        <v>77</v>
      </c>
      <c r="D277">
        <v>728</v>
      </c>
      <c r="E277" t="s">
        <v>53</v>
      </c>
      <c r="F277">
        <v>1</v>
      </c>
      <c r="G277">
        <v>4</v>
      </c>
      <c r="H277" t="s">
        <v>69</v>
      </c>
      <c r="I277">
        <v>380</v>
      </c>
      <c r="J277">
        <v>1</v>
      </c>
      <c r="K277" t="s">
        <v>42</v>
      </c>
      <c r="L277">
        <v>80</v>
      </c>
      <c r="M277">
        <v>3</v>
      </c>
      <c r="N277">
        <v>3</v>
      </c>
      <c r="O277" t="s">
        <v>83</v>
      </c>
      <c r="P277">
        <v>4</v>
      </c>
      <c r="Q277" t="s">
        <v>74</v>
      </c>
      <c r="R277">
        <v>13603</v>
      </c>
      <c r="S277">
        <v>11677</v>
      </c>
      <c r="T277">
        <v>2</v>
      </c>
      <c r="U277" t="s">
        <v>38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  <c r="AG277" t="s">
        <v>45</v>
      </c>
      <c r="AH277" t="s">
        <v>46</v>
      </c>
      <c r="AI277">
        <v>0</v>
      </c>
      <c r="AJ277" t="s">
        <v>65</v>
      </c>
      <c r="AK277" t="s">
        <v>68</v>
      </c>
      <c r="AL277" t="s">
        <v>49</v>
      </c>
      <c r="AM277" t="s">
        <v>61</v>
      </c>
      <c r="AN277">
        <f t="shared" si="4"/>
        <v>-3</v>
      </c>
    </row>
    <row r="278" spans="1:40">
      <c r="A278">
        <v>35</v>
      </c>
      <c r="B278" t="s">
        <v>51</v>
      </c>
      <c r="C278" t="s">
        <v>39</v>
      </c>
      <c r="D278">
        <v>1315</v>
      </c>
      <c r="E278" t="s">
        <v>53</v>
      </c>
      <c r="F278">
        <v>22</v>
      </c>
      <c r="G278">
        <v>3</v>
      </c>
      <c r="H278" t="s">
        <v>41</v>
      </c>
      <c r="I278">
        <v>381</v>
      </c>
      <c r="J278">
        <v>2</v>
      </c>
      <c r="K278" t="s">
        <v>42</v>
      </c>
      <c r="L278">
        <v>71</v>
      </c>
      <c r="M278">
        <v>4</v>
      </c>
      <c r="N278">
        <v>3</v>
      </c>
      <c r="O278" t="s">
        <v>79</v>
      </c>
      <c r="P278">
        <v>2</v>
      </c>
      <c r="Q278" t="s">
        <v>74</v>
      </c>
      <c r="R278">
        <v>11996</v>
      </c>
      <c r="S278">
        <v>19100</v>
      </c>
      <c r="T278">
        <v>7</v>
      </c>
      <c r="U278" t="s">
        <v>51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  <c r="AG278" t="s">
        <v>67</v>
      </c>
      <c r="AH278" t="s">
        <v>46</v>
      </c>
      <c r="AI278">
        <v>0</v>
      </c>
      <c r="AJ278" t="s">
        <v>47</v>
      </c>
      <c r="AK278" t="s">
        <v>72</v>
      </c>
      <c r="AL278" t="s">
        <v>60</v>
      </c>
      <c r="AM278" t="s">
        <v>70</v>
      </c>
      <c r="AN278">
        <f t="shared" si="4"/>
        <v>11</v>
      </c>
    </row>
    <row r="279" spans="1:40">
      <c r="A279">
        <v>38</v>
      </c>
      <c r="B279" t="s">
        <v>51</v>
      </c>
      <c r="C279" t="s">
        <v>39</v>
      </c>
      <c r="D279">
        <v>322</v>
      </c>
      <c r="E279" t="s">
        <v>40</v>
      </c>
      <c r="F279">
        <v>7</v>
      </c>
      <c r="G279">
        <v>2</v>
      </c>
      <c r="H279" t="s">
        <v>69</v>
      </c>
      <c r="I279">
        <v>382</v>
      </c>
      <c r="J279">
        <v>1</v>
      </c>
      <c r="K279" t="s">
        <v>42</v>
      </c>
      <c r="L279">
        <v>44</v>
      </c>
      <c r="M279">
        <v>4</v>
      </c>
      <c r="N279">
        <v>2</v>
      </c>
      <c r="O279" t="s">
        <v>43</v>
      </c>
      <c r="P279">
        <v>1</v>
      </c>
      <c r="Q279" t="s">
        <v>74</v>
      </c>
      <c r="R279">
        <v>5605</v>
      </c>
      <c r="S279">
        <v>19191</v>
      </c>
      <c r="T279">
        <v>1</v>
      </c>
      <c r="U279" t="s">
        <v>38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  <c r="AG279" t="s">
        <v>45</v>
      </c>
      <c r="AH279" t="s">
        <v>46</v>
      </c>
      <c r="AI279">
        <v>0</v>
      </c>
      <c r="AJ279" t="s">
        <v>58</v>
      </c>
      <c r="AK279" t="s">
        <v>48</v>
      </c>
      <c r="AL279" t="s">
        <v>73</v>
      </c>
      <c r="AM279" t="s">
        <v>61</v>
      </c>
      <c r="AN279">
        <f t="shared" si="4"/>
        <v>13</v>
      </c>
    </row>
    <row r="280" spans="1:40">
      <c r="A280">
        <v>26</v>
      </c>
      <c r="B280" t="s">
        <v>51</v>
      </c>
      <c r="C280" t="s">
        <v>52</v>
      </c>
      <c r="D280">
        <v>1479</v>
      </c>
      <c r="E280" t="s">
        <v>53</v>
      </c>
      <c r="F280">
        <v>1</v>
      </c>
      <c r="G280">
        <v>3</v>
      </c>
      <c r="H280" t="s">
        <v>41</v>
      </c>
      <c r="I280">
        <v>384</v>
      </c>
      <c r="J280">
        <v>3</v>
      </c>
      <c r="K280" t="s">
        <v>42</v>
      </c>
      <c r="L280">
        <v>84</v>
      </c>
      <c r="M280">
        <v>3</v>
      </c>
      <c r="N280">
        <v>2</v>
      </c>
      <c r="O280" t="s">
        <v>75</v>
      </c>
      <c r="P280">
        <v>2</v>
      </c>
      <c r="Q280" t="s">
        <v>74</v>
      </c>
      <c r="R280">
        <v>6397</v>
      </c>
      <c r="S280">
        <v>26767</v>
      </c>
      <c r="T280">
        <v>1</v>
      </c>
      <c r="U280" t="s">
        <v>51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  <c r="AG280" t="s">
        <v>67</v>
      </c>
      <c r="AH280" t="s">
        <v>46</v>
      </c>
      <c r="AI280">
        <v>0</v>
      </c>
      <c r="AJ280" t="s">
        <v>47</v>
      </c>
      <c r="AK280" t="s">
        <v>72</v>
      </c>
      <c r="AL280" t="s">
        <v>60</v>
      </c>
      <c r="AM280" t="s">
        <v>50</v>
      </c>
      <c r="AN280">
        <f t="shared" si="4"/>
        <v>8</v>
      </c>
    </row>
    <row r="281" spans="1:40">
      <c r="A281">
        <v>50</v>
      </c>
      <c r="B281" t="s">
        <v>51</v>
      </c>
      <c r="C281" t="s">
        <v>39</v>
      </c>
      <c r="D281">
        <v>797</v>
      </c>
      <c r="E281" t="s">
        <v>53</v>
      </c>
      <c r="F281">
        <v>4</v>
      </c>
      <c r="G281">
        <v>1</v>
      </c>
      <c r="H281" t="s">
        <v>41</v>
      </c>
      <c r="I281">
        <v>385</v>
      </c>
      <c r="J281">
        <v>1</v>
      </c>
      <c r="K281" t="s">
        <v>54</v>
      </c>
      <c r="L281">
        <v>96</v>
      </c>
      <c r="M281">
        <v>3</v>
      </c>
      <c r="N281">
        <v>5</v>
      </c>
      <c r="O281" t="s">
        <v>83</v>
      </c>
      <c r="P281">
        <v>2</v>
      </c>
      <c r="Q281" t="s">
        <v>74</v>
      </c>
      <c r="R281">
        <v>19144</v>
      </c>
      <c r="S281">
        <v>15815</v>
      </c>
      <c r="T281">
        <v>3</v>
      </c>
      <c r="U281" t="s">
        <v>51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  <c r="AG281" t="s">
        <v>57</v>
      </c>
      <c r="AH281" t="s">
        <v>46</v>
      </c>
      <c r="AI281">
        <v>0</v>
      </c>
      <c r="AJ281" t="s">
        <v>47</v>
      </c>
      <c r="AK281" t="s">
        <v>59</v>
      </c>
      <c r="AL281" t="s">
        <v>60</v>
      </c>
      <c r="AM281" t="s">
        <v>70</v>
      </c>
      <c r="AN281">
        <f t="shared" si="4"/>
        <v>6</v>
      </c>
    </row>
    <row r="282" spans="1:40">
      <c r="A282">
        <v>53</v>
      </c>
      <c r="B282" t="s">
        <v>51</v>
      </c>
      <c r="C282" t="s">
        <v>39</v>
      </c>
      <c r="D282">
        <v>1070</v>
      </c>
      <c r="E282" t="s">
        <v>53</v>
      </c>
      <c r="F282">
        <v>3</v>
      </c>
      <c r="G282">
        <v>4</v>
      </c>
      <c r="H282" t="s">
        <v>69</v>
      </c>
      <c r="I282">
        <v>386</v>
      </c>
      <c r="J282">
        <v>3</v>
      </c>
      <c r="K282" t="s">
        <v>54</v>
      </c>
      <c r="L282">
        <v>45</v>
      </c>
      <c r="M282">
        <v>3</v>
      </c>
      <c r="N282">
        <v>4</v>
      </c>
      <c r="O282" t="s">
        <v>83</v>
      </c>
      <c r="P282">
        <v>3</v>
      </c>
      <c r="Q282" t="s">
        <v>56</v>
      </c>
      <c r="R282">
        <v>17584</v>
      </c>
      <c r="S282">
        <v>21016</v>
      </c>
      <c r="T282">
        <v>3</v>
      </c>
      <c r="U282" t="s">
        <v>38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  <c r="AG282" t="s">
        <v>57</v>
      </c>
      <c r="AH282" t="s">
        <v>46</v>
      </c>
      <c r="AI282">
        <v>0</v>
      </c>
      <c r="AJ282" t="s">
        <v>47</v>
      </c>
      <c r="AK282" t="s">
        <v>68</v>
      </c>
      <c r="AL282" t="s">
        <v>66</v>
      </c>
      <c r="AM282" t="s">
        <v>70</v>
      </c>
      <c r="AN282">
        <f t="shared" si="4"/>
        <v>3</v>
      </c>
    </row>
    <row r="283" spans="1:40">
      <c r="A283">
        <v>42</v>
      </c>
      <c r="B283" t="s">
        <v>51</v>
      </c>
      <c r="C283" t="s">
        <v>39</v>
      </c>
      <c r="D283">
        <v>635</v>
      </c>
      <c r="E283" t="s">
        <v>40</v>
      </c>
      <c r="F283">
        <v>1</v>
      </c>
      <c r="G283">
        <v>1</v>
      </c>
      <c r="H283" t="s">
        <v>41</v>
      </c>
      <c r="I283">
        <v>387</v>
      </c>
      <c r="J283">
        <v>2</v>
      </c>
      <c r="K283" t="s">
        <v>54</v>
      </c>
      <c r="L283">
        <v>99</v>
      </c>
      <c r="M283">
        <v>3</v>
      </c>
      <c r="N283">
        <v>2</v>
      </c>
      <c r="O283" t="s">
        <v>43</v>
      </c>
      <c r="P283">
        <v>3</v>
      </c>
      <c r="Q283" t="s">
        <v>56</v>
      </c>
      <c r="R283">
        <v>4907</v>
      </c>
      <c r="S283">
        <v>24532</v>
      </c>
      <c r="T283">
        <v>1</v>
      </c>
      <c r="U283" t="s">
        <v>51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  <c r="AG283" t="s">
        <v>45</v>
      </c>
      <c r="AH283" t="s">
        <v>46</v>
      </c>
      <c r="AI283">
        <v>0</v>
      </c>
      <c r="AJ283" t="s">
        <v>80</v>
      </c>
      <c r="AK283" t="s">
        <v>59</v>
      </c>
      <c r="AL283" t="s">
        <v>66</v>
      </c>
      <c r="AM283" t="s">
        <v>61</v>
      </c>
      <c r="AN283">
        <f t="shared" si="4"/>
        <v>11</v>
      </c>
    </row>
    <row r="284" spans="1:40">
      <c r="A284">
        <v>29</v>
      </c>
      <c r="B284" t="s">
        <v>51</v>
      </c>
      <c r="C284" t="s">
        <v>52</v>
      </c>
      <c r="D284">
        <v>442</v>
      </c>
      <c r="E284" t="s">
        <v>40</v>
      </c>
      <c r="F284">
        <v>2</v>
      </c>
      <c r="G284">
        <v>2</v>
      </c>
      <c r="H284" t="s">
        <v>41</v>
      </c>
      <c r="I284">
        <v>388</v>
      </c>
      <c r="J284">
        <v>2</v>
      </c>
      <c r="K284" t="s">
        <v>54</v>
      </c>
      <c r="L284">
        <v>44</v>
      </c>
      <c r="M284">
        <v>3</v>
      </c>
      <c r="N284">
        <v>2</v>
      </c>
      <c r="O284" t="s">
        <v>43</v>
      </c>
      <c r="P284">
        <v>4</v>
      </c>
      <c r="Q284" t="s">
        <v>44</v>
      </c>
      <c r="R284">
        <v>4554</v>
      </c>
      <c r="S284">
        <v>20260</v>
      </c>
      <c r="T284">
        <v>1</v>
      </c>
      <c r="U284" t="s">
        <v>51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  <c r="AG284" t="s">
        <v>67</v>
      </c>
      <c r="AH284" t="s">
        <v>46</v>
      </c>
      <c r="AI284">
        <v>0</v>
      </c>
      <c r="AJ284" t="s">
        <v>47</v>
      </c>
      <c r="AK284" t="s">
        <v>48</v>
      </c>
      <c r="AL284" t="s">
        <v>49</v>
      </c>
      <c r="AM284" t="s">
        <v>70</v>
      </c>
      <c r="AN284">
        <f t="shared" si="4"/>
        <v>-1</v>
      </c>
    </row>
    <row r="285" spans="1:40">
      <c r="A285">
        <v>55</v>
      </c>
      <c r="B285" t="s">
        <v>51</v>
      </c>
      <c r="C285" t="s">
        <v>39</v>
      </c>
      <c r="D285">
        <v>147</v>
      </c>
      <c r="E285" t="s">
        <v>53</v>
      </c>
      <c r="F285">
        <v>20</v>
      </c>
      <c r="G285">
        <v>2</v>
      </c>
      <c r="H285" t="s">
        <v>86</v>
      </c>
      <c r="I285">
        <v>389</v>
      </c>
      <c r="J285">
        <v>2</v>
      </c>
      <c r="K285" t="s">
        <v>54</v>
      </c>
      <c r="L285">
        <v>37</v>
      </c>
      <c r="M285">
        <v>3</v>
      </c>
      <c r="N285">
        <v>2</v>
      </c>
      <c r="O285" t="s">
        <v>63</v>
      </c>
      <c r="P285">
        <v>4</v>
      </c>
      <c r="Q285" t="s">
        <v>56</v>
      </c>
      <c r="R285">
        <v>5415</v>
      </c>
      <c r="S285">
        <v>15972</v>
      </c>
      <c r="T285">
        <v>3</v>
      </c>
      <c r="U285" t="s">
        <v>38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  <c r="AG285" t="s">
        <v>57</v>
      </c>
      <c r="AH285" t="s">
        <v>46</v>
      </c>
      <c r="AI285">
        <v>0</v>
      </c>
      <c r="AJ285" t="s">
        <v>58</v>
      </c>
      <c r="AK285" t="s">
        <v>48</v>
      </c>
      <c r="AL285" t="s">
        <v>49</v>
      </c>
      <c r="AM285" t="s">
        <v>61</v>
      </c>
      <c r="AN285">
        <f t="shared" si="4"/>
        <v>-3</v>
      </c>
    </row>
    <row r="286" spans="1:40">
      <c r="A286">
        <v>26</v>
      </c>
      <c r="B286" t="s">
        <v>51</v>
      </c>
      <c r="C286" t="s">
        <v>52</v>
      </c>
      <c r="D286">
        <v>496</v>
      </c>
      <c r="E286" t="s">
        <v>53</v>
      </c>
      <c r="F286">
        <v>11</v>
      </c>
      <c r="G286">
        <v>2</v>
      </c>
      <c r="H286" t="s">
        <v>69</v>
      </c>
      <c r="I286">
        <v>390</v>
      </c>
      <c r="J286">
        <v>1</v>
      </c>
      <c r="K286" t="s">
        <v>54</v>
      </c>
      <c r="L286">
        <v>60</v>
      </c>
      <c r="M286">
        <v>3</v>
      </c>
      <c r="N286">
        <v>2</v>
      </c>
      <c r="O286" t="s">
        <v>76</v>
      </c>
      <c r="P286">
        <v>1</v>
      </c>
      <c r="Q286" t="s">
        <v>56</v>
      </c>
      <c r="R286">
        <v>4741</v>
      </c>
      <c r="S286">
        <v>22722</v>
      </c>
      <c r="T286">
        <v>1</v>
      </c>
      <c r="U286" t="s">
        <v>38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  <c r="AG286" t="s">
        <v>67</v>
      </c>
      <c r="AH286" t="s">
        <v>46</v>
      </c>
      <c r="AI286">
        <v>0</v>
      </c>
      <c r="AJ286" t="s">
        <v>65</v>
      </c>
      <c r="AK286" t="s">
        <v>48</v>
      </c>
      <c r="AL286" t="s">
        <v>73</v>
      </c>
      <c r="AM286" t="s">
        <v>61</v>
      </c>
      <c r="AN286">
        <f t="shared" si="4"/>
        <v>9</v>
      </c>
    </row>
    <row r="287" spans="1:40">
      <c r="A287">
        <v>37</v>
      </c>
      <c r="B287" t="s">
        <v>51</v>
      </c>
      <c r="C287" t="s">
        <v>39</v>
      </c>
      <c r="D287">
        <v>1372</v>
      </c>
      <c r="E287" t="s">
        <v>53</v>
      </c>
      <c r="F287">
        <v>1</v>
      </c>
      <c r="G287">
        <v>3</v>
      </c>
      <c r="H287" t="s">
        <v>41</v>
      </c>
      <c r="I287">
        <v>391</v>
      </c>
      <c r="J287">
        <v>4</v>
      </c>
      <c r="K287" t="s">
        <v>42</v>
      </c>
      <c r="L287">
        <v>42</v>
      </c>
      <c r="M287">
        <v>3</v>
      </c>
      <c r="N287">
        <v>1</v>
      </c>
      <c r="O287" t="s">
        <v>55</v>
      </c>
      <c r="P287">
        <v>4</v>
      </c>
      <c r="Q287" t="s">
        <v>44</v>
      </c>
      <c r="R287">
        <v>2115</v>
      </c>
      <c r="S287">
        <v>15881</v>
      </c>
      <c r="T287">
        <v>1</v>
      </c>
      <c r="U287" t="s">
        <v>51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  <c r="AG287" t="s">
        <v>45</v>
      </c>
      <c r="AH287" t="s">
        <v>46</v>
      </c>
      <c r="AI287">
        <v>0</v>
      </c>
      <c r="AJ287" t="s">
        <v>80</v>
      </c>
      <c r="AK287" t="s">
        <v>72</v>
      </c>
      <c r="AL287" t="s">
        <v>49</v>
      </c>
      <c r="AM287" t="s">
        <v>61</v>
      </c>
      <c r="AN287">
        <f t="shared" si="4"/>
        <v>2</v>
      </c>
    </row>
    <row r="288" spans="1:40">
      <c r="A288">
        <v>44</v>
      </c>
      <c r="B288" t="s">
        <v>38</v>
      </c>
      <c r="C288" t="s">
        <v>52</v>
      </c>
      <c r="D288">
        <v>920</v>
      </c>
      <c r="E288" t="s">
        <v>53</v>
      </c>
      <c r="F288">
        <v>24</v>
      </c>
      <c r="G288">
        <v>3</v>
      </c>
      <c r="H288" t="s">
        <v>41</v>
      </c>
      <c r="I288">
        <v>392</v>
      </c>
      <c r="J288">
        <v>4</v>
      </c>
      <c r="K288" t="s">
        <v>54</v>
      </c>
      <c r="L288">
        <v>43</v>
      </c>
      <c r="M288">
        <v>3</v>
      </c>
      <c r="N288">
        <v>1</v>
      </c>
      <c r="O288" t="s">
        <v>63</v>
      </c>
      <c r="P288">
        <v>3</v>
      </c>
      <c r="Q288" t="s">
        <v>74</v>
      </c>
      <c r="R288">
        <v>3161</v>
      </c>
      <c r="S288">
        <v>19920</v>
      </c>
      <c r="T288">
        <v>3</v>
      </c>
      <c r="U288" t="s">
        <v>38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  <c r="AG288" t="s">
        <v>45</v>
      </c>
      <c r="AH288" t="s">
        <v>46</v>
      </c>
      <c r="AI288">
        <v>1</v>
      </c>
      <c r="AJ288" t="s">
        <v>47</v>
      </c>
      <c r="AK288" t="s">
        <v>72</v>
      </c>
      <c r="AL288" t="s">
        <v>66</v>
      </c>
      <c r="AM288" t="s">
        <v>50</v>
      </c>
      <c r="AN288">
        <f t="shared" si="4"/>
        <v>4</v>
      </c>
    </row>
    <row r="289" spans="1:40">
      <c r="A289">
        <v>38</v>
      </c>
      <c r="B289" t="s">
        <v>51</v>
      </c>
      <c r="C289" t="s">
        <v>39</v>
      </c>
      <c r="D289">
        <v>688</v>
      </c>
      <c r="E289" t="s">
        <v>53</v>
      </c>
      <c r="F289">
        <v>23</v>
      </c>
      <c r="G289">
        <v>4</v>
      </c>
      <c r="H289" t="s">
        <v>41</v>
      </c>
      <c r="I289">
        <v>393</v>
      </c>
      <c r="J289">
        <v>4</v>
      </c>
      <c r="K289" t="s">
        <v>54</v>
      </c>
      <c r="L289">
        <v>82</v>
      </c>
      <c r="M289">
        <v>3</v>
      </c>
      <c r="N289">
        <v>2</v>
      </c>
      <c r="O289" t="s">
        <v>76</v>
      </c>
      <c r="P289">
        <v>4</v>
      </c>
      <c r="Q289" t="s">
        <v>74</v>
      </c>
      <c r="R289">
        <v>5745</v>
      </c>
      <c r="S289">
        <v>18899</v>
      </c>
      <c r="T289">
        <v>9</v>
      </c>
      <c r="U289" t="s">
        <v>51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  <c r="AG289" t="s">
        <v>45</v>
      </c>
      <c r="AH289" t="s">
        <v>46</v>
      </c>
      <c r="AI289">
        <v>0</v>
      </c>
      <c r="AJ289" t="s">
        <v>65</v>
      </c>
      <c r="AK289" t="s">
        <v>68</v>
      </c>
      <c r="AL289" t="s">
        <v>49</v>
      </c>
      <c r="AM289" t="s">
        <v>61</v>
      </c>
      <c r="AN289">
        <f t="shared" si="4"/>
        <v>-2</v>
      </c>
    </row>
    <row r="290" spans="1:40">
      <c r="A290">
        <v>26</v>
      </c>
      <c r="B290" t="s">
        <v>38</v>
      </c>
      <c r="C290" t="s">
        <v>39</v>
      </c>
      <c r="D290">
        <v>1449</v>
      </c>
      <c r="E290" t="s">
        <v>53</v>
      </c>
      <c r="F290">
        <v>16</v>
      </c>
      <c r="G290">
        <v>4</v>
      </c>
      <c r="H290" t="s">
        <v>69</v>
      </c>
      <c r="I290">
        <v>394</v>
      </c>
      <c r="J290">
        <v>1</v>
      </c>
      <c r="K290" t="s">
        <v>54</v>
      </c>
      <c r="L290">
        <v>45</v>
      </c>
      <c r="M290">
        <v>3</v>
      </c>
      <c r="N290">
        <v>1</v>
      </c>
      <c r="O290" t="s">
        <v>63</v>
      </c>
      <c r="P290">
        <v>2</v>
      </c>
      <c r="Q290" t="s">
        <v>74</v>
      </c>
      <c r="R290">
        <v>2373</v>
      </c>
      <c r="S290">
        <v>14180</v>
      </c>
      <c r="T290">
        <v>2</v>
      </c>
      <c r="U290" t="s">
        <v>38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  <c r="AG290" t="s">
        <v>67</v>
      </c>
      <c r="AH290" t="s">
        <v>46</v>
      </c>
      <c r="AI290">
        <v>1</v>
      </c>
      <c r="AJ290" t="s">
        <v>65</v>
      </c>
      <c r="AK290" t="s">
        <v>68</v>
      </c>
      <c r="AL290" t="s">
        <v>60</v>
      </c>
      <c r="AM290" t="s">
        <v>61</v>
      </c>
      <c r="AN290">
        <f t="shared" si="4"/>
        <v>3</v>
      </c>
    </row>
    <row r="291" spans="1:40">
      <c r="A291">
        <v>28</v>
      </c>
      <c r="B291" t="s">
        <v>51</v>
      </c>
      <c r="C291" t="s">
        <v>39</v>
      </c>
      <c r="D291">
        <v>1117</v>
      </c>
      <c r="E291" t="s">
        <v>53</v>
      </c>
      <c r="F291">
        <v>8</v>
      </c>
      <c r="G291">
        <v>2</v>
      </c>
      <c r="H291" t="s">
        <v>41</v>
      </c>
      <c r="I291">
        <v>395</v>
      </c>
      <c r="J291">
        <v>4</v>
      </c>
      <c r="K291" t="s">
        <v>42</v>
      </c>
      <c r="L291">
        <v>66</v>
      </c>
      <c r="M291">
        <v>3</v>
      </c>
      <c r="N291">
        <v>1</v>
      </c>
      <c r="O291" t="s">
        <v>55</v>
      </c>
      <c r="P291">
        <v>4</v>
      </c>
      <c r="Q291" t="s">
        <v>44</v>
      </c>
      <c r="R291">
        <v>3310</v>
      </c>
      <c r="S291">
        <v>4488</v>
      </c>
      <c r="T291">
        <v>1</v>
      </c>
      <c r="U291" t="s">
        <v>51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  <c r="AG291" t="s">
        <v>67</v>
      </c>
      <c r="AH291" t="s">
        <v>81</v>
      </c>
      <c r="AI291">
        <v>0</v>
      </c>
      <c r="AJ291" t="s">
        <v>65</v>
      </c>
      <c r="AK291" t="s">
        <v>48</v>
      </c>
      <c r="AL291" t="s">
        <v>49</v>
      </c>
      <c r="AM291" t="s">
        <v>61</v>
      </c>
      <c r="AN291">
        <f t="shared" si="4"/>
        <v>-3</v>
      </c>
    </row>
    <row r="292" spans="1:40">
      <c r="A292">
        <v>49</v>
      </c>
      <c r="B292" t="s">
        <v>51</v>
      </c>
      <c r="C292" t="s">
        <v>52</v>
      </c>
      <c r="D292">
        <v>636</v>
      </c>
      <c r="E292" t="s">
        <v>53</v>
      </c>
      <c r="F292">
        <v>10</v>
      </c>
      <c r="G292">
        <v>4</v>
      </c>
      <c r="H292" t="s">
        <v>41</v>
      </c>
      <c r="I292">
        <v>396</v>
      </c>
      <c r="J292">
        <v>3</v>
      </c>
      <c r="K292" t="s">
        <v>42</v>
      </c>
      <c r="L292">
        <v>35</v>
      </c>
      <c r="M292">
        <v>3</v>
      </c>
      <c r="N292">
        <v>5</v>
      </c>
      <c r="O292" t="s">
        <v>83</v>
      </c>
      <c r="P292">
        <v>1</v>
      </c>
      <c r="Q292" t="s">
        <v>44</v>
      </c>
      <c r="R292">
        <v>18665</v>
      </c>
      <c r="S292">
        <v>25594</v>
      </c>
      <c r="T292">
        <v>9</v>
      </c>
      <c r="U292" t="s">
        <v>38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  <c r="AG292" t="s">
        <v>57</v>
      </c>
      <c r="AH292" t="s">
        <v>46</v>
      </c>
      <c r="AI292">
        <v>0</v>
      </c>
      <c r="AJ292" t="s">
        <v>65</v>
      </c>
      <c r="AK292" t="s">
        <v>68</v>
      </c>
      <c r="AL292" t="s">
        <v>73</v>
      </c>
      <c r="AM292" t="s">
        <v>61</v>
      </c>
      <c r="AN292">
        <f t="shared" si="4"/>
        <v>7</v>
      </c>
    </row>
    <row r="293" spans="1:40">
      <c r="A293">
        <v>36</v>
      </c>
      <c r="B293" t="s">
        <v>51</v>
      </c>
      <c r="C293" t="s">
        <v>39</v>
      </c>
      <c r="D293">
        <v>506</v>
      </c>
      <c r="E293" t="s">
        <v>53</v>
      </c>
      <c r="F293">
        <v>3</v>
      </c>
      <c r="G293">
        <v>3</v>
      </c>
      <c r="H293" t="s">
        <v>86</v>
      </c>
      <c r="I293">
        <v>397</v>
      </c>
      <c r="J293">
        <v>3</v>
      </c>
      <c r="K293" t="s">
        <v>54</v>
      </c>
      <c r="L293">
        <v>30</v>
      </c>
      <c r="M293">
        <v>3</v>
      </c>
      <c r="N293">
        <v>2</v>
      </c>
      <c r="O293" t="s">
        <v>55</v>
      </c>
      <c r="P293">
        <v>2</v>
      </c>
      <c r="Q293" t="s">
        <v>44</v>
      </c>
      <c r="R293">
        <v>4485</v>
      </c>
      <c r="S293">
        <v>26285</v>
      </c>
      <c r="T293">
        <v>4</v>
      </c>
      <c r="U293" t="s">
        <v>51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  <c r="AG293" t="s">
        <v>45</v>
      </c>
      <c r="AH293" t="s">
        <v>46</v>
      </c>
      <c r="AI293">
        <v>0</v>
      </c>
      <c r="AJ293" t="s">
        <v>58</v>
      </c>
      <c r="AK293" t="s">
        <v>72</v>
      </c>
      <c r="AL293" t="s">
        <v>60</v>
      </c>
      <c r="AM293" t="s">
        <v>61</v>
      </c>
      <c r="AN293">
        <f t="shared" si="4"/>
        <v>10</v>
      </c>
    </row>
    <row r="294" spans="1:40">
      <c r="A294">
        <v>31</v>
      </c>
      <c r="B294" t="s">
        <v>51</v>
      </c>
      <c r="C294" t="s">
        <v>52</v>
      </c>
      <c r="D294">
        <v>444</v>
      </c>
      <c r="E294" t="s">
        <v>40</v>
      </c>
      <c r="F294">
        <v>5</v>
      </c>
      <c r="G294">
        <v>3</v>
      </c>
      <c r="H294" t="s">
        <v>84</v>
      </c>
      <c r="I294">
        <v>399</v>
      </c>
      <c r="J294">
        <v>4</v>
      </c>
      <c r="K294" t="s">
        <v>42</v>
      </c>
      <c r="L294">
        <v>84</v>
      </c>
      <c r="M294">
        <v>3</v>
      </c>
      <c r="N294">
        <v>1</v>
      </c>
      <c r="O294" t="s">
        <v>82</v>
      </c>
      <c r="P294">
        <v>2</v>
      </c>
      <c r="Q294" t="s">
        <v>74</v>
      </c>
      <c r="R294">
        <v>2789</v>
      </c>
      <c r="S294">
        <v>3909</v>
      </c>
      <c r="T294">
        <v>1</v>
      </c>
      <c r="U294" t="s">
        <v>51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  <c r="AG294" t="s">
        <v>67</v>
      </c>
      <c r="AH294" t="s">
        <v>81</v>
      </c>
      <c r="AI294">
        <v>0</v>
      </c>
      <c r="AJ294" t="s">
        <v>47</v>
      </c>
      <c r="AK294" t="s">
        <v>72</v>
      </c>
      <c r="AL294" t="s">
        <v>60</v>
      </c>
      <c r="AM294" t="s">
        <v>70</v>
      </c>
      <c r="AN294">
        <f t="shared" si="4"/>
        <v>7</v>
      </c>
    </row>
    <row r="295" spans="1:40">
      <c r="A295">
        <v>26</v>
      </c>
      <c r="B295" t="s">
        <v>38</v>
      </c>
      <c r="C295" t="s">
        <v>39</v>
      </c>
      <c r="D295">
        <v>950</v>
      </c>
      <c r="E295" t="s">
        <v>40</v>
      </c>
      <c r="F295">
        <v>4</v>
      </c>
      <c r="G295">
        <v>4</v>
      </c>
      <c r="H295" t="s">
        <v>84</v>
      </c>
      <c r="I295">
        <v>401</v>
      </c>
      <c r="J295">
        <v>4</v>
      </c>
      <c r="K295" t="s">
        <v>54</v>
      </c>
      <c r="L295">
        <v>48</v>
      </c>
      <c r="M295">
        <v>2</v>
      </c>
      <c r="N295">
        <v>2</v>
      </c>
      <c r="O295" t="s">
        <v>43</v>
      </c>
      <c r="P295">
        <v>4</v>
      </c>
      <c r="Q295" t="s">
        <v>44</v>
      </c>
      <c r="R295">
        <v>5828</v>
      </c>
      <c r="S295">
        <v>8450</v>
      </c>
      <c r="T295">
        <v>1</v>
      </c>
      <c r="U295" t="s">
        <v>38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  <c r="AG295" t="s">
        <v>67</v>
      </c>
      <c r="AH295" t="s">
        <v>71</v>
      </c>
      <c r="AI295">
        <v>1</v>
      </c>
      <c r="AJ295" t="s">
        <v>58</v>
      </c>
      <c r="AK295" t="s">
        <v>68</v>
      </c>
      <c r="AL295" t="s">
        <v>49</v>
      </c>
      <c r="AM295" t="s">
        <v>61</v>
      </c>
      <c r="AN295">
        <f t="shared" si="4"/>
        <v>4</v>
      </c>
    </row>
    <row r="296" spans="1:40">
      <c r="A296">
        <v>37</v>
      </c>
      <c r="B296" t="s">
        <v>51</v>
      </c>
      <c r="C296" t="s">
        <v>52</v>
      </c>
      <c r="D296">
        <v>889</v>
      </c>
      <c r="E296" t="s">
        <v>53</v>
      </c>
      <c r="F296">
        <v>9</v>
      </c>
      <c r="G296">
        <v>3</v>
      </c>
      <c r="H296" t="s">
        <v>69</v>
      </c>
      <c r="I296">
        <v>403</v>
      </c>
      <c r="J296">
        <v>2</v>
      </c>
      <c r="K296" t="s">
        <v>54</v>
      </c>
      <c r="L296">
        <v>53</v>
      </c>
      <c r="M296">
        <v>3</v>
      </c>
      <c r="N296">
        <v>1</v>
      </c>
      <c r="O296" t="s">
        <v>55</v>
      </c>
      <c r="P296">
        <v>4</v>
      </c>
      <c r="Q296" t="s">
        <v>56</v>
      </c>
      <c r="R296">
        <v>2326</v>
      </c>
      <c r="S296">
        <v>11411</v>
      </c>
      <c r="T296">
        <v>1</v>
      </c>
      <c r="U296" t="s">
        <v>38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  <c r="AG296" t="s">
        <v>45</v>
      </c>
      <c r="AH296" t="s">
        <v>46</v>
      </c>
      <c r="AI296">
        <v>0</v>
      </c>
      <c r="AJ296" t="s">
        <v>47</v>
      </c>
      <c r="AK296" t="s">
        <v>72</v>
      </c>
      <c r="AL296" t="s">
        <v>49</v>
      </c>
      <c r="AM296" t="s">
        <v>70</v>
      </c>
      <c r="AN296">
        <f t="shared" si="4"/>
        <v>0</v>
      </c>
    </row>
    <row r="297" spans="1:40">
      <c r="A297">
        <v>42</v>
      </c>
      <c r="B297" t="s">
        <v>51</v>
      </c>
      <c r="C297" t="s">
        <v>52</v>
      </c>
      <c r="D297">
        <v>555</v>
      </c>
      <c r="E297" t="s">
        <v>40</v>
      </c>
      <c r="F297">
        <v>26</v>
      </c>
      <c r="G297">
        <v>3</v>
      </c>
      <c r="H297" t="s">
        <v>84</v>
      </c>
      <c r="I297">
        <v>404</v>
      </c>
      <c r="J297">
        <v>3</v>
      </c>
      <c r="K297" t="s">
        <v>42</v>
      </c>
      <c r="L297">
        <v>77</v>
      </c>
      <c r="M297">
        <v>3</v>
      </c>
      <c r="N297">
        <v>4</v>
      </c>
      <c r="O297" t="s">
        <v>43</v>
      </c>
      <c r="P297">
        <v>2</v>
      </c>
      <c r="Q297" t="s">
        <v>56</v>
      </c>
      <c r="R297">
        <v>13525</v>
      </c>
      <c r="S297">
        <v>14864</v>
      </c>
      <c r="T297">
        <v>5</v>
      </c>
      <c r="U297" t="s">
        <v>51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  <c r="AG297" t="s">
        <v>45</v>
      </c>
      <c r="AH297" t="s">
        <v>46</v>
      </c>
      <c r="AI297">
        <v>0</v>
      </c>
      <c r="AJ297" t="s">
        <v>80</v>
      </c>
      <c r="AK297" t="s">
        <v>72</v>
      </c>
      <c r="AL297" t="s">
        <v>60</v>
      </c>
      <c r="AM297" t="s">
        <v>85</v>
      </c>
      <c r="AN297">
        <f t="shared" si="4"/>
        <v>5</v>
      </c>
    </row>
    <row r="298" spans="1:40">
      <c r="A298">
        <v>18</v>
      </c>
      <c r="B298" t="s">
        <v>38</v>
      </c>
      <c r="C298" t="s">
        <v>39</v>
      </c>
      <c r="D298">
        <v>230</v>
      </c>
      <c r="E298" t="s">
        <v>53</v>
      </c>
      <c r="F298">
        <v>3</v>
      </c>
      <c r="G298">
        <v>3</v>
      </c>
      <c r="H298" t="s">
        <v>41</v>
      </c>
      <c r="I298">
        <v>405</v>
      </c>
      <c r="J298">
        <v>3</v>
      </c>
      <c r="K298" t="s">
        <v>54</v>
      </c>
      <c r="L298">
        <v>54</v>
      </c>
      <c r="M298">
        <v>3</v>
      </c>
      <c r="N298">
        <v>1</v>
      </c>
      <c r="O298" t="s">
        <v>63</v>
      </c>
      <c r="P298">
        <v>3</v>
      </c>
      <c r="Q298" t="s">
        <v>44</v>
      </c>
      <c r="R298">
        <v>1420</v>
      </c>
      <c r="S298">
        <v>25233</v>
      </c>
      <c r="T298">
        <v>1</v>
      </c>
      <c r="U298" t="s">
        <v>51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  <c r="AG298" t="s">
        <v>78</v>
      </c>
      <c r="AH298" t="s">
        <v>46</v>
      </c>
      <c r="AI298">
        <v>1</v>
      </c>
      <c r="AJ298" t="s">
        <v>65</v>
      </c>
      <c r="AK298" t="s">
        <v>72</v>
      </c>
      <c r="AL298" t="s">
        <v>66</v>
      </c>
      <c r="AM298" t="s">
        <v>61</v>
      </c>
      <c r="AN298">
        <f t="shared" si="4"/>
        <v>0</v>
      </c>
    </row>
    <row r="299" spans="1:40">
      <c r="A299">
        <v>35</v>
      </c>
      <c r="B299" t="s">
        <v>51</v>
      </c>
      <c r="C299" t="s">
        <v>39</v>
      </c>
      <c r="D299">
        <v>1232</v>
      </c>
      <c r="E299" t="s">
        <v>40</v>
      </c>
      <c r="F299">
        <v>16</v>
      </c>
      <c r="G299">
        <v>3</v>
      </c>
      <c r="H299" t="s">
        <v>84</v>
      </c>
      <c r="I299">
        <v>406</v>
      </c>
      <c r="J299">
        <v>3</v>
      </c>
      <c r="K299" t="s">
        <v>54</v>
      </c>
      <c r="L299">
        <v>96</v>
      </c>
      <c r="M299">
        <v>3</v>
      </c>
      <c r="N299">
        <v>3</v>
      </c>
      <c r="O299" t="s">
        <v>43</v>
      </c>
      <c r="P299">
        <v>2</v>
      </c>
      <c r="Q299" t="s">
        <v>56</v>
      </c>
      <c r="R299">
        <v>8020</v>
      </c>
      <c r="S299">
        <v>5100</v>
      </c>
      <c r="T299">
        <v>0</v>
      </c>
      <c r="U299" t="s">
        <v>51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  <c r="AG299" t="s">
        <v>67</v>
      </c>
      <c r="AH299" t="s">
        <v>81</v>
      </c>
      <c r="AI299">
        <v>0</v>
      </c>
      <c r="AJ299" t="s">
        <v>47</v>
      </c>
      <c r="AK299" t="s">
        <v>72</v>
      </c>
      <c r="AL299" t="s">
        <v>60</v>
      </c>
      <c r="AM299" t="s">
        <v>70</v>
      </c>
      <c r="AN299">
        <f t="shared" si="4"/>
        <v>11</v>
      </c>
    </row>
    <row r="300" spans="1:40">
      <c r="A300">
        <v>36</v>
      </c>
      <c r="B300" t="s">
        <v>51</v>
      </c>
      <c r="C300" t="s">
        <v>52</v>
      </c>
      <c r="D300">
        <v>566</v>
      </c>
      <c r="E300" t="s">
        <v>53</v>
      </c>
      <c r="F300">
        <v>18</v>
      </c>
      <c r="G300">
        <v>4</v>
      </c>
      <c r="H300" t="s">
        <v>41</v>
      </c>
      <c r="I300">
        <v>407</v>
      </c>
      <c r="J300">
        <v>3</v>
      </c>
      <c r="K300" t="s">
        <v>54</v>
      </c>
      <c r="L300">
        <v>81</v>
      </c>
      <c r="M300">
        <v>4</v>
      </c>
      <c r="N300">
        <v>1</v>
      </c>
      <c r="O300" t="s">
        <v>63</v>
      </c>
      <c r="P300">
        <v>4</v>
      </c>
      <c r="Q300" t="s">
        <v>56</v>
      </c>
      <c r="R300">
        <v>3688</v>
      </c>
      <c r="S300">
        <v>7122</v>
      </c>
      <c r="T300">
        <v>4</v>
      </c>
      <c r="U300" t="s">
        <v>51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  <c r="AG300" t="s">
        <v>45</v>
      </c>
      <c r="AH300" t="s">
        <v>71</v>
      </c>
      <c r="AI300">
        <v>0</v>
      </c>
      <c r="AJ300" t="s">
        <v>65</v>
      </c>
      <c r="AK300" t="s">
        <v>68</v>
      </c>
      <c r="AL300" t="s">
        <v>49</v>
      </c>
      <c r="AM300" t="s">
        <v>61</v>
      </c>
      <c r="AN300">
        <f t="shared" si="4"/>
        <v>-3</v>
      </c>
    </row>
    <row r="301" spans="1:40">
      <c r="A301">
        <v>51</v>
      </c>
      <c r="B301" t="s">
        <v>51</v>
      </c>
      <c r="C301" t="s">
        <v>39</v>
      </c>
      <c r="D301">
        <v>1302</v>
      </c>
      <c r="E301" t="s">
        <v>53</v>
      </c>
      <c r="F301">
        <v>2</v>
      </c>
      <c r="G301">
        <v>3</v>
      </c>
      <c r="H301" t="s">
        <v>69</v>
      </c>
      <c r="I301">
        <v>408</v>
      </c>
      <c r="J301">
        <v>4</v>
      </c>
      <c r="K301" t="s">
        <v>54</v>
      </c>
      <c r="L301">
        <v>84</v>
      </c>
      <c r="M301">
        <v>1</v>
      </c>
      <c r="N301">
        <v>2</v>
      </c>
      <c r="O301" t="s">
        <v>75</v>
      </c>
      <c r="P301">
        <v>2</v>
      </c>
      <c r="Q301" t="s">
        <v>74</v>
      </c>
      <c r="R301">
        <v>5482</v>
      </c>
      <c r="S301">
        <v>16321</v>
      </c>
      <c r="T301">
        <v>5</v>
      </c>
      <c r="U301" t="s">
        <v>51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  <c r="AG301" t="s">
        <v>57</v>
      </c>
      <c r="AH301" t="s">
        <v>46</v>
      </c>
      <c r="AI301">
        <v>0</v>
      </c>
      <c r="AJ301" t="s">
        <v>65</v>
      </c>
      <c r="AK301" t="s">
        <v>72</v>
      </c>
      <c r="AL301" t="s">
        <v>60</v>
      </c>
      <c r="AM301" t="s">
        <v>61</v>
      </c>
      <c r="AN301">
        <f t="shared" si="4"/>
        <v>4</v>
      </c>
    </row>
    <row r="302" spans="1:40">
      <c r="A302">
        <v>41</v>
      </c>
      <c r="B302" t="s">
        <v>51</v>
      </c>
      <c r="C302" t="s">
        <v>39</v>
      </c>
      <c r="D302">
        <v>334</v>
      </c>
      <c r="E302" t="s">
        <v>40</v>
      </c>
      <c r="F302">
        <v>2</v>
      </c>
      <c r="G302">
        <v>4</v>
      </c>
      <c r="H302" t="s">
        <v>41</v>
      </c>
      <c r="I302">
        <v>410</v>
      </c>
      <c r="J302">
        <v>4</v>
      </c>
      <c r="K302" t="s">
        <v>54</v>
      </c>
      <c r="L302">
        <v>88</v>
      </c>
      <c r="M302">
        <v>3</v>
      </c>
      <c r="N302">
        <v>4</v>
      </c>
      <c r="O302" t="s">
        <v>79</v>
      </c>
      <c r="P302">
        <v>2</v>
      </c>
      <c r="Q302" t="s">
        <v>44</v>
      </c>
      <c r="R302">
        <v>16015</v>
      </c>
      <c r="S302">
        <v>15896</v>
      </c>
      <c r="T302">
        <v>1</v>
      </c>
      <c r="U302" t="s">
        <v>51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  <c r="AG302" t="s">
        <v>45</v>
      </c>
      <c r="AH302" t="s">
        <v>46</v>
      </c>
      <c r="AI302">
        <v>0</v>
      </c>
      <c r="AJ302" t="s">
        <v>80</v>
      </c>
      <c r="AK302" t="s">
        <v>68</v>
      </c>
      <c r="AL302" t="s">
        <v>60</v>
      </c>
      <c r="AM302" t="s">
        <v>61</v>
      </c>
      <c r="AN302">
        <f t="shared" si="4"/>
        <v>3</v>
      </c>
    </row>
    <row r="303" spans="1:40">
      <c r="A303">
        <v>18</v>
      </c>
      <c r="B303" t="s">
        <v>51</v>
      </c>
      <c r="C303" t="s">
        <v>39</v>
      </c>
      <c r="D303">
        <v>812</v>
      </c>
      <c r="E303" t="s">
        <v>40</v>
      </c>
      <c r="F303">
        <v>10</v>
      </c>
      <c r="G303">
        <v>3</v>
      </c>
      <c r="H303" t="s">
        <v>69</v>
      </c>
      <c r="I303">
        <v>411</v>
      </c>
      <c r="J303">
        <v>4</v>
      </c>
      <c r="K303" t="s">
        <v>42</v>
      </c>
      <c r="L303">
        <v>69</v>
      </c>
      <c r="M303">
        <v>2</v>
      </c>
      <c r="N303">
        <v>1</v>
      </c>
      <c r="O303" t="s">
        <v>82</v>
      </c>
      <c r="P303">
        <v>3</v>
      </c>
      <c r="Q303" t="s">
        <v>44</v>
      </c>
      <c r="R303">
        <v>1200</v>
      </c>
      <c r="S303">
        <v>9724</v>
      </c>
      <c r="T303">
        <v>1</v>
      </c>
      <c r="U303" t="s">
        <v>51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  <c r="AG303" t="s">
        <v>78</v>
      </c>
      <c r="AH303" t="s">
        <v>71</v>
      </c>
      <c r="AI303">
        <v>0</v>
      </c>
      <c r="AJ303" t="s">
        <v>65</v>
      </c>
      <c r="AK303" t="s">
        <v>72</v>
      </c>
      <c r="AL303" t="s">
        <v>66</v>
      </c>
      <c r="AM303" t="s">
        <v>61</v>
      </c>
      <c r="AN303">
        <f t="shared" si="4"/>
        <v>0</v>
      </c>
    </row>
    <row r="304" spans="1:40">
      <c r="A304">
        <v>28</v>
      </c>
      <c r="B304" t="s">
        <v>51</v>
      </c>
      <c r="C304" t="s">
        <v>39</v>
      </c>
      <c r="D304">
        <v>1476</v>
      </c>
      <c r="E304" t="s">
        <v>53</v>
      </c>
      <c r="F304">
        <v>16</v>
      </c>
      <c r="G304">
        <v>2</v>
      </c>
      <c r="H304" t="s">
        <v>69</v>
      </c>
      <c r="I304">
        <v>412</v>
      </c>
      <c r="J304">
        <v>2</v>
      </c>
      <c r="K304" t="s">
        <v>54</v>
      </c>
      <c r="L304">
        <v>68</v>
      </c>
      <c r="M304">
        <v>4</v>
      </c>
      <c r="N304">
        <v>2</v>
      </c>
      <c r="O304" t="s">
        <v>76</v>
      </c>
      <c r="P304">
        <v>1</v>
      </c>
      <c r="Q304" t="s">
        <v>44</v>
      </c>
      <c r="R304">
        <v>5661</v>
      </c>
      <c r="S304">
        <v>4824</v>
      </c>
      <c r="T304">
        <v>0</v>
      </c>
      <c r="U304" t="s">
        <v>51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  <c r="AG304" t="s">
        <v>67</v>
      </c>
      <c r="AH304" t="s">
        <v>81</v>
      </c>
      <c r="AI304">
        <v>0</v>
      </c>
      <c r="AJ304" t="s">
        <v>58</v>
      </c>
      <c r="AK304" t="s">
        <v>48</v>
      </c>
      <c r="AL304" t="s">
        <v>73</v>
      </c>
      <c r="AM304" t="s">
        <v>61</v>
      </c>
      <c r="AN304">
        <f t="shared" si="4"/>
        <v>6</v>
      </c>
    </row>
    <row r="305" spans="1:40">
      <c r="A305">
        <v>31</v>
      </c>
      <c r="B305" t="s">
        <v>51</v>
      </c>
      <c r="C305" t="s">
        <v>39</v>
      </c>
      <c r="D305">
        <v>218</v>
      </c>
      <c r="E305" t="s">
        <v>40</v>
      </c>
      <c r="F305">
        <v>7</v>
      </c>
      <c r="G305">
        <v>3</v>
      </c>
      <c r="H305" t="s">
        <v>86</v>
      </c>
      <c r="I305">
        <v>416</v>
      </c>
      <c r="J305">
        <v>2</v>
      </c>
      <c r="K305" t="s">
        <v>54</v>
      </c>
      <c r="L305">
        <v>100</v>
      </c>
      <c r="M305">
        <v>4</v>
      </c>
      <c r="N305">
        <v>2</v>
      </c>
      <c r="O305" t="s">
        <v>43</v>
      </c>
      <c r="P305">
        <v>4</v>
      </c>
      <c r="Q305" t="s">
        <v>56</v>
      </c>
      <c r="R305">
        <v>6929</v>
      </c>
      <c r="S305">
        <v>12241</v>
      </c>
      <c r="T305">
        <v>4</v>
      </c>
      <c r="U305" t="s">
        <v>51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  <c r="AG305" t="s">
        <v>67</v>
      </c>
      <c r="AH305" t="s">
        <v>46</v>
      </c>
      <c r="AI305">
        <v>0</v>
      </c>
      <c r="AJ305" t="s">
        <v>47</v>
      </c>
      <c r="AK305" t="s">
        <v>72</v>
      </c>
      <c r="AL305" t="s">
        <v>49</v>
      </c>
      <c r="AM305" t="s">
        <v>70</v>
      </c>
      <c r="AN305">
        <f t="shared" si="4"/>
        <v>6</v>
      </c>
    </row>
    <row r="306" spans="1:40">
      <c r="A306">
        <v>39</v>
      </c>
      <c r="B306" t="s">
        <v>51</v>
      </c>
      <c r="C306" t="s">
        <v>39</v>
      </c>
      <c r="D306">
        <v>1132</v>
      </c>
      <c r="E306" t="s">
        <v>53</v>
      </c>
      <c r="F306">
        <v>1</v>
      </c>
      <c r="G306">
        <v>3</v>
      </c>
      <c r="H306" t="s">
        <v>69</v>
      </c>
      <c r="I306">
        <v>417</v>
      </c>
      <c r="J306">
        <v>3</v>
      </c>
      <c r="K306" t="s">
        <v>54</v>
      </c>
      <c r="L306">
        <v>48</v>
      </c>
      <c r="M306">
        <v>4</v>
      </c>
      <c r="N306">
        <v>3</v>
      </c>
      <c r="O306" t="s">
        <v>76</v>
      </c>
      <c r="P306">
        <v>4</v>
      </c>
      <c r="Q306" t="s">
        <v>74</v>
      </c>
      <c r="R306">
        <v>9613</v>
      </c>
      <c r="S306">
        <v>10942</v>
      </c>
      <c r="T306">
        <v>0</v>
      </c>
      <c r="U306" t="s">
        <v>51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  <c r="AG306" t="s">
        <v>45</v>
      </c>
      <c r="AH306" t="s">
        <v>46</v>
      </c>
      <c r="AI306">
        <v>0</v>
      </c>
      <c r="AJ306" t="s">
        <v>47</v>
      </c>
      <c r="AK306" t="s">
        <v>72</v>
      </c>
      <c r="AL306" t="s">
        <v>49</v>
      </c>
      <c r="AM306" t="s">
        <v>70</v>
      </c>
      <c r="AN306">
        <f t="shared" si="4"/>
        <v>2</v>
      </c>
    </row>
    <row r="307" spans="1:40">
      <c r="A307">
        <v>36</v>
      </c>
      <c r="B307" t="s">
        <v>51</v>
      </c>
      <c r="C307" t="s">
        <v>77</v>
      </c>
      <c r="D307">
        <v>1105</v>
      </c>
      <c r="E307" t="s">
        <v>53</v>
      </c>
      <c r="F307">
        <v>24</v>
      </c>
      <c r="G307">
        <v>4</v>
      </c>
      <c r="H307" t="s">
        <v>41</v>
      </c>
      <c r="I307">
        <v>419</v>
      </c>
      <c r="J307">
        <v>2</v>
      </c>
      <c r="K307" t="s">
        <v>42</v>
      </c>
      <c r="L307">
        <v>47</v>
      </c>
      <c r="M307">
        <v>3</v>
      </c>
      <c r="N307">
        <v>2</v>
      </c>
      <c r="O307" t="s">
        <v>63</v>
      </c>
      <c r="P307">
        <v>2</v>
      </c>
      <c r="Q307" t="s">
        <v>56</v>
      </c>
      <c r="R307">
        <v>5674</v>
      </c>
      <c r="S307">
        <v>6927</v>
      </c>
      <c r="T307">
        <v>7</v>
      </c>
      <c r="U307" t="s">
        <v>51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  <c r="AG307" t="s">
        <v>45</v>
      </c>
      <c r="AH307" t="s">
        <v>71</v>
      </c>
      <c r="AI307">
        <v>0</v>
      </c>
      <c r="AJ307" t="s">
        <v>58</v>
      </c>
      <c r="AK307" t="s">
        <v>68</v>
      </c>
      <c r="AL307" t="s">
        <v>60</v>
      </c>
      <c r="AM307" t="s">
        <v>61</v>
      </c>
      <c r="AN307">
        <f t="shared" si="4"/>
        <v>3</v>
      </c>
    </row>
    <row r="308" spans="1:40">
      <c r="A308">
        <v>32</v>
      </c>
      <c r="B308" t="s">
        <v>51</v>
      </c>
      <c r="C308" t="s">
        <v>39</v>
      </c>
      <c r="D308">
        <v>906</v>
      </c>
      <c r="E308" t="s">
        <v>40</v>
      </c>
      <c r="F308">
        <v>7</v>
      </c>
      <c r="G308">
        <v>3</v>
      </c>
      <c r="H308" t="s">
        <v>41</v>
      </c>
      <c r="I308">
        <v>420</v>
      </c>
      <c r="J308">
        <v>4</v>
      </c>
      <c r="K308" t="s">
        <v>54</v>
      </c>
      <c r="L308">
        <v>91</v>
      </c>
      <c r="M308">
        <v>2</v>
      </c>
      <c r="N308">
        <v>2</v>
      </c>
      <c r="O308" t="s">
        <v>43</v>
      </c>
      <c r="P308">
        <v>3</v>
      </c>
      <c r="Q308" t="s">
        <v>56</v>
      </c>
      <c r="R308">
        <v>5484</v>
      </c>
      <c r="S308">
        <v>16985</v>
      </c>
      <c r="T308">
        <v>1</v>
      </c>
      <c r="U308" t="s">
        <v>51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  <c r="AG308" t="s">
        <v>67</v>
      </c>
      <c r="AH308" t="s">
        <v>46</v>
      </c>
      <c r="AI308">
        <v>0</v>
      </c>
      <c r="AJ308" t="s">
        <v>47</v>
      </c>
      <c r="AK308" t="s">
        <v>72</v>
      </c>
      <c r="AL308" t="s">
        <v>66</v>
      </c>
      <c r="AM308" t="s">
        <v>70</v>
      </c>
      <c r="AN308">
        <f t="shared" si="4"/>
        <v>6</v>
      </c>
    </row>
    <row r="309" spans="1:40">
      <c r="A309">
        <v>38</v>
      </c>
      <c r="B309" t="s">
        <v>51</v>
      </c>
      <c r="C309" t="s">
        <v>39</v>
      </c>
      <c r="D309">
        <v>849</v>
      </c>
      <c r="E309" t="s">
        <v>53</v>
      </c>
      <c r="F309">
        <v>25</v>
      </c>
      <c r="G309">
        <v>2</v>
      </c>
      <c r="H309" t="s">
        <v>41</v>
      </c>
      <c r="I309">
        <v>421</v>
      </c>
      <c r="J309">
        <v>1</v>
      </c>
      <c r="K309" t="s">
        <v>42</v>
      </c>
      <c r="L309">
        <v>81</v>
      </c>
      <c r="M309">
        <v>2</v>
      </c>
      <c r="N309">
        <v>3</v>
      </c>
      <c r="O309" t="s">
        <v>83</v>
      </c>
      <c r="P309">
        <v>2</v>
      </c>
      <c r="Q309" t="s">
        <v>56</v>
      </c>
      <c r="R309">
        <v>12061</v>
      </c>
      <c r="S309">
        <v>26707</v>
      </c>
      <c r="T309">
        <v>3</v>
      </c>
      <c r="U309" t="s">
        <v>51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  <c r="AG309" t="s">
        <v>45</v>
      </c>
      <c r="AH309" t="s">
        <v>46</v>
      </c>
      <c r="AI309">
        <v>0</v>
      </c>
      <c r="AJ309" t="s">
        <v>58</v>
      </c>
      <c r="AK309" t="s">
        <v>48</v>
      </c>
      <c r="AL309" t="s">
        <v>60</v>
      </c>
      <c r="AM309" t="s">
        <v>61</v>
      </c>
      <c r="AN309">
        <f t="shared" si="4"/>
        <v>3</v>
      </c>
    </row>
    <row r="310" spans="1:40">
      <c r="A310">
        <v>58</v>
      </c>
      <c r="B310" t="s">
        <v>51</v>
      </c>
      <c r="C310" t="s">
        <v>77</v>
      </c>
      <c r="D310">
        <v>390</v>
      </c>
      <c r="E310" t="s">
        <v>53</v>
      </c>
      <c r="F310">
        <v>1</v>
      </c>
      <c r="G310">
        <v>4</v>
      </c>
      <c r="H310" t="s">
        <v>41</v>
      </c>
      <c r="I310">
        <v>422</v>
      </c>
      <c r="J310">
        <v>4</v>
      </c>
      <c r="K310" t="s">
        <v>54</v>
      </c>
      <c r="L310">
        <v>32</v>
      </c>
      <c r="M310">
        <v>1</v>
      </c>
      <c r="N310">
        <v>2</v>
      </c>
      <c r="O310" t="s">
        <v>76</v>
      </c>
      <c r="P310">
        <v>3</v>
      </c>
      <c r="Q310" t="s">
        <v>74</v>
      </c>
      <c r="R310">
        <v>5660</v>
      </c>
      <c r="S310">
        <v>17056</v>
      </c>
      <c r="T310">
        <v>2</v>
      </c>
      <c r="U310" t="s">
        <v>38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  <c r="AG310" t="s">
        <v>57</v>
      </c>
      <c r="AH310" t="s">
        <v>46</v>
      </c>
      <c r="AI310">
        <v>0</v>
      </c>
      <c r="AJ310" t="s">
        <v>65</v>
      </c>
      <c r="AK310" t="s">
        <v>68</v>
      </c>
      <c r="AL310" t="s">
        <v>66</v>
      </c>
      <c r="AM310" t="s">
        <v>61</v>
      </c>
      <c r="AN310">
        <f t="shared" si="4"/>
        <v>1</v>
      </c>
    </row>
    <row r="311" spans="1:40">
      <c r="A311">
        <v>31</v>
      </c>
      <c r="B311" t="s">
        <v>51</v>
      </c>
      <c r="C311" t="s">
        <v>39</v>
      </c>
      <c r="D311">
        <v>691</v>
      </c>
      <c r="E311" t="s">
        <v>53</v>
      </c>
      <c r="F311">
        <v>5</v>
      </c>
      <c r="G311">
        <v>4</v>
      </c>
      <c r="H311" t="s">
        <v>86</v>
      </c>
      <c r="I311">
        <v>423</v>
      </c>
      <c r="J311">
        <v>3</v>
      </c>
      <c r="K311" t="s">
        <v>54</v>
      </c>
      <c r="L311">
        <v>86</v>
      </c>
      <c r="M311">
        <v>3</v>
      </c>
      <c r="N311">
        <v>1</v>
      </c>
      <c r="O311" t="s">
        <v>55</v>
      </c>
      <c r="P311">
        <v>4</v>
      </c>
      <c r="Q311" t="s">
        <v>56</v>
      </c>
      <c r="R311">
        <v>4821</v>
      </c>
      <c r="S311">
        <v>10077</v>
      </c>
      <c r="T311">
        <v>0</v>
      </c>
      <c r="U311" t="s">
        <v>38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  <c r="AG311" t="s">
        <v>67</v>
      </c>
      <c r="AH311" t="s">
        <v>46</v>
      </c>
      <c r="AI311">
        <v>0</v>
      </c>
      <c r="AJ311" t="s">
        <v>65</v>
      </c>
      <c r="AK311" t="s">
        <v>68</v>
      </c>
      <c r="AL311" t="s">
        <v>49</v>
      </c>
      <c r="AM311" t="s">
        <v>61</v>
      </c>
      <c r="AN311">
        <f t="shared" si="4"/>
        <v>-3</v>
      </c>
    </row>
    <row r="312" spans="1:40">
      <c r="A312">
        <v>31</v>
      </c>
      <c r="B312" t="s">
        <v>51</v>
      </c>
      <c r="C312" t="s">
        <v>39</v>
      </c>
      <c r="D312">
        <v>106</v>
      </c>
      <c r="E312" t="s">
        <v>88</v>
      </c>
      <c r="F312">
        <v>2</v>
      </c>
      <c r="G312">
        <v>3</v>
      </c>
      <c r="H312" t="s">
        <v>88</v>
      </c>
      <c r="I312">
        <v>424</v>
      </c>
      <c r="J312">
        <v>1</v>
      </c>
      <c r="K312" t="s">
        <v>54</v>
      </c>
      <c r="L312">
        <v>62</v>
      </c>
      <c r="M312">
        <v>2</v>
      </c>
      <c r="N312">
        <v>2</v>
      </c>
      <c r="O312" t="s">
        <v>88</v>
      </c>
      <c r="P312">
        <v>1</v>
      </c>
      <c r="Q312" t="s">
        <v>56</v>
      </c>
      <c r="R312">
        <v>6410</v>
      </c>
      <c r="S312">
        <v>17822</v>
      </c>
      <c r="T312">
        <v>3</v>
      </c>
      <c r="U312" t="s">
        <v>51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  <c r="AG312" t="s">
        <v>67</v>
      </c>
      <c r="AH312" t="s">
        <v>46</v>
      </c>
      <c r="AI312">
        <v>0</v>
      </c>
      <c r="AJ312" t="s">
        <v>65</v>
      </c>
      <c r="AK312" t="s">
        <v>72</v>
      </c>
      <c r="AL312" t="s">
        <v>73</v>
      </c>
      <c r="AM312" t="s">
        <v>61</v>
      </c>
      <c r="AN312">
        <f t="shared" si="4"/>
        <v>7</v>
      </c>
    </row>
    <row r="313" spans="1:40">
      <c r="A313">
        <v>45</v>
      </c>
      <c r="B313" t="s">
        <v>51</v>
      </c>
      <c r="C313" t="s">
        <v>52</v>
      </c>
      <c r="D313">
        <v>1249</v>
      </c>
      <c r="E313" t="s">
        <v>53</v>
      </c>
      <c r="F313">
        <v>7</v>
      </c>
      <c r="G313">
        <v>3</v>
      </c>
      <c r="H313" t="s">
        <v>41</v>
      </c>
      <c r="I313">
        <v>425</v>
      </c>
      <c r="J313">
        <v>1</v>
      </c>
      <c r="K313" t="s">
        <v>54</v>
      </c>
      <c r="L313">
        <v>97</v>
      </c>
      <c r="M313">
        <v>3</v>
      </c>
      <c r="N313">
        <v>3</v>
      </c>
      <c r="O313" t="s">
        <v>63</v>
      </c>
      <c r="P313">
        <v>1</v>
      </c>
      <c r="Q313" t="s">
        <v>74</v>
      </c>
      <c r="R313">
        <v>5210</v>
      </c>
      <c r="S313">
        <v>20308</v>
      </c>
      <c r="T313">
        <v>1</v>
      </c>
      <c r="U313" t="s">
        <v>51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  <c r="AG313" t="s">
        <v>45</v>
      </c>
      <c r="AH313" t="s">
        <v>46</v>
      </c>
      <c r="AI313">
        <v>0</v>
      </c>
      <c r="AJ313" t="s">
        <v>80</v>
      </c>
      <c r="AK313" t="s">
        <v>72</v>
      </c>
      <c r="AL313" t="s">
        <v>73</v>
      </c>
      <c r="AM313" t="s">
        <v>61</v>
      </c>
      <c r="AN313">
        <f t="shared" si="4"/>
        <v>15</v>
      </c>
    </row>
    <row r="314" spans="1:40">
      <c r="A314">
        <v>31</v>
      </c>
      <c r="B314" t="s">
        <v>51</v>
      </c>
      <c r="C314" t="s">
        <v>39</v>
      </c>
      <c r="D314">
        <v>192</v>
      </c>
      <c r="E314" t="s">
        <v>53</v>
      </c>
      <c r="F314">
        <v>2</v>
      </c>
      <c r="G314">
        <v>4</v>
      </c>
      <c r="H314" t="s">
        <v>41</v>
      </c>
      <c r="I314">
        <v>426</v>
      </c>
      <c r="J314">
        <v>3</v>
      </c>
      <c r="K314" t="s">
        <v>54</v>
      </c>
      <c r="L314">
        <v>32</v>
      </c>
      <c r="M314">
        <v>3</v>
      </c>
      <c r="N314">
        <v>1</v>
      </c>
      <c r="O314" t="s">
        <v>55</v>
      </c>
      <c r="P314">
        <v>4</v>
      </c>
      <c r="Q314" t="s">
        <v>74</v>
      </c>
      <c r="R314">
        <v>2695</v>
      </c>
      <c r="S314">
        <v>7747</v>
      </c>
      <c r="T314">
        <v>0</v>
      </c>
      <c r="U314" t="s">
        <v>38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  <c r="AG314" t="s">
        <v>67</v>
      </c>
      <c r="AH314" t="s">
        <v>71</v>
      </c>
      <c r="AI314">
        <v>0</v>
      </c>
      <c r="AJ314" t="s">
        <v>47</v>
      </c>
      <c r="AK314" t="s">
        <v>68</v>
      </c>
      <c r="AL314" t="s">
        <v>49</v>
      </c>
      <c r="AM314" t="s">
        <v>50</v>
      </c>
      <c r="AN314">
        <f t="shared" si="4"/>
        <v>3</v>
      </c>
    </row>
    <row r="315" spans="1:40">
      <c r="A315">
        <v>33</v>
      </c>
      <c r="B315" t="s">
        <v>51</v>
      </c>
      <c r="C315" t="s">
        <v>52</v>
      </c>
      <c r="D315">
        <v>553</v>
      </c>
      <c r="E315" t="s">
        <v>53</v>
      </c>
      <c r="F315">
        <v>5</v>
      </c>
      <c r="G315">
        <v>4</v>
      </c>
      <c r="H315" t="s">
        <v>41</v>
      </c>
      <c r="I315">
        <v>428</v>
      </c>
      <c r="J315">
        <v>4</v>
      </c>
      <c r="K315" t="s">
        <v>42</v>
      </c>
      <c r="L315">
        <v>74</v>
      </c>
      <c r="M315">
        <v>3</v>
      </c>
      <c r="N315">
        <v>3</v>
      </c>
      <c r="O315" t="s">
        <v>79</v>
      </c>
      <c r="P315">
        <v>2</v>
      </c>
      <c r="Q315" t="s">
        <v>56</v>
      </c>
      <c r="R315">
        <v>11878</v>
      </c>
      <c r="S315">
        <v>23364</v>
      </c>
      <c r="T315">
        <v>6</v>
      </c>
      <c r="U315" t="s">
        <v>51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  <c r="AG315" t="s">
        <v>67</v>
      </c>
      <c r="AH315" t="s">
        <v>46</v>
      </c>
      <c r="AI315">
        <v>0</v>
      </c>
      <c r="AJ315" t="s">
        <v>58</v>
      </c>
      <c r="AK315" t="s">
        <v>68</v>
      </c>
      <c r="AL315" t="s">
        <v>60</v>
      </c>
      <c r="AM315" t="s">
        <v>61</v>
      </c>
      <c r="AN315">
        <f t="shared" si="4"/>
        <v>11</v>
      </c>
    </row>
    <row r="316" spans="1:40">
      <c r="A316">
        <v>39</v>
      </c>
      <c r="B316" t="s">
        <v>51</v>
      </c>
      <c r="C316" t="s">
        <v>39</v>
      </c>
      <c r="D316">
        <v>117</v>
      </c>
      <c r="E316" t="s">
        <v>53</v>
      </c>
      <c r="F316">
        <v>10</v>
      </c>
      <c r="G316">
        <v>1</v>
      </c>
      <c r="H316" t="s">
        <v>69</v>
      </c>
      <c r="I316">
        <v>429</v>
      </c>
      <c r="J316">
        <v>3</v>
      </c>
      <c r="K316" t="s">
        <v>54</v>
      </c>
      <c r="L316">
        <v>99</v>
      </c>
      <c r="M316">
        <v>3</v>
      </c>
      <c r="N316">
        <v>4</v>
      </c>
      <c r="O316" t="s">
        <v>79</v>
      </c>
      <c r="P316">
        <v>1</v>
      </c>
      <c r="Q316" t="s">
        <v>56</v>
      </c>
      <c r="R316">
        <v>17068</v>
      </c>
      <c r="S316">
        <v>5355</v>
      </c>
      <c r="T316">
        <v>1</v>
      </c>
      <c r="U316" t="s">
        <v>38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  <c r="AG316" t="s">
        <v>45</v>
      </c>
      <c r="AH316" t="s">
        <v>81</v>
      </c>
      <c r="AI316">
        <v>0</v>
      </c>
      <c r="AJ316" t="s">
        <v>80</v>
      </c>
      <c r="AK316" t="s">
        <v>59</v>
      </c>
      <c r="AL316" t="s">
        <v>73</v>
      </c>
      <c r="AM316" t="s">
        <v>61</v>
      </c>
      <c r="AN316">
        <f t="shared" si="4"/>
        <v>17</v>
      </c>
    </row>
    <row r="317" spans="1:40">
      <c r="A317">
        <v>43</v>
      </c>
      <c r="B317" t="s">
        <v>51</v>
      </c>
      <c r="C317" t="s">
        <v>52</v>
      </c>
      <c r="D317">
        <v>185</v>
      </c>
      <c r="E317" t="s">
        <v>53</v>
      </c>
      <c r="F317">
        <v>10</v>
      </c>
      <c r="G317">
        <v>4</v>
      </c>
      <c r="H317" t="s">
        <v>41</v>
      </c>
      <c r="I317">
        <v>430</v>
      </c>
      <c r="J317">
        <v>3</v>
      </c>
      <c r="K317" t="s">
        <v>42</v>
      </c>
      <c r="L317">
        <v>33</v>
      </c>
      <c r="M317">
        <v>3</v>
      </c>
      <c r="N317">
        <v>1</v>
      </c>
      <c r="O317" t="s">
        <v>63</v>
      </c>
      <c r="P317">
        <v>4</v>
      </c>
      <c r="Q317" t="s">
        <v>44</v>
      </c>
      <c r="R317">
        <v>2455</v>
      </c>
      <c r="S317">
        <v>10675</v>
      </c>
      <c r="T317">
        <v>0</v>
      </c>
      <c r="U317" t="s">
        <v>51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  <c r="AG317" t="s">
        <v>45</v>
      </c>
      <c r="AH317" t="s">
        <v>46</v>
      </c>
      <c r="AI317">
        <v>0</v>
      </c>
      <c r="AJ317" t="s">
        <v>58</v>
      </c>
      <c r="AK317" t="s">
        <v>68</v>
      </c>
      <c r="AL317" t="s">
        <v>49</v>
      </c>
      <c r="AM317" t="s">
        <v>61</v>
      </c>
      <c r="AN317">
        <f t="shared" si="4"/>
        <v>-2</v>
      </c>
    </row>
    <row r="318" spans="1:40">
      <c r="A318">
        <v>49</v>
      </c>
      <c r="B318" t="s">
        <v>51</v>
      </c>
      <c r="C318" t="s">
        <v>39</v>
      </c>
      <c r="D318">
        <v>1091</v>
      </c>
      <c r="E318" t="s">
        <v>53</v>
      </c>
      <c r="F318">
        <v>1</v>
      </c>
      <c r="G318">
        <v>2</v>
      </c>
      <c r="H318" t="s">
        <v>86</v>
      </c>
      <c r="I318">
        <v>431</v>
      </c>
      <c r="J318">
        <v>3</v>
      </c>
      <c r="K318" t="s">
        <v>42</v>
      </c>
      <c r="L318">
        <v>90</v>
      </c>
      <c r="M318">
        <v>2</v>
      </c>
      <c r="N318">
        <v>4</v>
      </c>
      <c r="O318" t="s">
        <v>76</v>
      </c>
      <c r="P318">
        <v>3</v>
      </c>
      <c r="Q318" t="s">
        <v>44</v>
      </c>
      <c r="R318">
        <v>13964</v>
      </c>
      <c r="S318">
        <v>17810</v>
      </c>
      <c r="T318">
        <v>7</v>
      </c>
      <c r="U318" t="s">
        <v>38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  <c r="AG318" t="s">
        <v>57</v>
      </c>
      <c r="AH318" t="s">
        <v>46</v>
      </c>
      <c r="AI318">
        <v>0</v>
      </c>
      <c r="AJ318" t="s">
        <v>58</v>
      </c>
      <c r="AK318" t="s">
        <v>48</v>
      </c>
      <c r="AL318" t="s">
        <v>66</v>
      </c>
      <c r="AM318" t="s">
        <v>61</v>
      </c>
      <c r="AN318">
        <f t="shared" si="4"/>
        <v>0</v>
      </c>
    </row>
    <row r="319" spans="1:40">
      <c r="A319">
        <v>52</v>
      </c>
      <c r="B319" t="s">
        <v>38</v>
      </c>
      <c r="C319" t="s">
        <v>39</v>
      </c>
      <c r="D319">
        <v>723</v>
      </c>
      <c r="E319" t="s">
        <v>53</v>
      </c>
      <c r="F319">
        <v>8</v>
      </c>
      <c r="G319">
        <v>4</v>
      </c>
      <c r="H319" t="s">
        <v>69</v>
      </c>
      <c r="I319">
        <v>433</v>
      </c>
      <c r="J319">
        <v>3</v>
      </c>
      <c r="K319" t="s">
        <v>54</v>
      </c>
      <c r="L319">
        <v>85</v>
      </c>
      <c r="M319">
        <v>2</v>
      </c>
      <c r="N319">
        <v>2</v>
      </c>
      <c r="O319" t="s">
        <v>55</v>
      </c>
      <c r="P319">
        <v>2</v>
      </c>
      <c r="Q319" t="s">
        <v>56</v>
      </c>
      <c r="R319">
        <v>4941</v>
      </c>
      <c r="S319">
        <v>17747</v>
      </c>
      <c r="T319">
        <v>2</v>
      </c>
      <c r="U319" t="s">
        <v>51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  <c r="AG319" t="s">
        <v>57</v>
      </c>
      <c r="AH319" t="s">
        <v>46</v>
      </c>
      <c r="AI319">
        <v>1</v>
      </c>
      <c r="AJ319" t="s">
        <v>47</v>
      </c>
      <c r="AK319" t="s">
        <v>68</v>
      </c>
      <c r="AL319" t="s">
        <v>60</v>
      </c>
      <c r="AM319" t="s">
        <v>70</v>
      </c>
      <c r="AN319">
        <f t="shared" si="4"/>
        <v>12</v>
      </c>
    </row>
    <row r="320" spans="1:40">
      <c r="A320">
        <v>27</v>
      </c>
      <c r="B320" t="s">
        <v>51</v>
      </c>
      <c r="C320" t="s">
        <v>39</v>
      </c>
      <c r="D320">
        <v>1220</v>
      </c>
      <c r="E320" t="s">
        <v>53</v>
      </c>
      <c r="F320">
        <v>5</v>
      </c>
      <c r="G320">
        <v>3</v>
      </c>
      <c r="H320" t="s">
        <v>41</v>
      </c>
      <c r="I320">
        <v>434</v>
      </c>
      <c r="J320">
        <v>3</v>
      </c>
      <c r="K320" t="s">
        <v>42</v>
      </c>
      <c r="L320">
        <v>85</v>
      </c>
      <c r="M320">
        <v>3</v>
      </c>
      <c r="N320">
        <v>1</v>
      </c>
      <c r="O320" t="s">
        <v>55</v>
      </c>
      <c r="P320">
        <v>2</v>
      </c>
      <c r="Q320" t="s">
        <v>44</v>
      </c>
      <c r="R320">
        <v>2478</v>
      </c>
      <c r="S320">
        <v>20938</v>
      </c>
      <c r="T320">
        <v>1</v>
      </c>
      <c r="U320" t="s">
        <v>38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  <c r="AG320" t="s">
        <v>67</v>
      </c>
      <c r="AH320" t="s">
        <v>46</v>
      </c>
      <c r="AI320">
        <v>0</v>
      </c>
      <c r="AJ320" t="s">
        <v>47</v>
      </c>
      <c r="AK320" t="s">
        <v>72</v>
      </c>
      <c r="AL320" t="s">
        <v>60</v>
      </c>
      <c r="AM320" t="s">
        <v>70</v>
      </c>
      <c r="AN320">
        <f t="shared" si="4"/>
        <v>6</v>
      </c>
    </row>
    <row r="321" spans="1:40">
      <c r="A321">
        <v>32</v>
      </c>
      <c r="B321" t="s">
        <v>51</v>
      </c>
      <c r="C321" t="s">
        <v>39</v>
      </c>
      <c r="D321">
        <v>588</v>
      </c>
      <c r="E321" t="s">
        <v>40</v>
      </c>
      <c r="F321">
        <v>8</v>
      </c>
      <c r="G321">
        <v>2</v>
      </c>
      <c r="H321" t="s">
        <v>86</v>
      </c>
      <c r="I321">
        <v>436</v>
      </c>
      <c r="J321">
        <v>3</v>
      </c>
      <c r="K321" t="s">
        <v>42</v>
      </c>
      <c r="L321">
        <v>65</v>
      </c>
      <c r="M321">
        <v>2</v>
      </c>
      <c r="N321">
        <v>2</v>
      </c>
      <c r="O321" t="s">
        <v>43</v>
      </c>
      <c r="P321">
        <v>2</v>
      </c>
      <c r="Q321" t="s">
        <v>56</v>
      </c>
      <c r="R321">
        <v>5228</v>
      </c>
      <c r="S321">
        <v>24624</v>
      </c>
      <c r="T321">
        <v>1</v>
      </c>
      <c r="U321" t="s">
        <v>38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  <c r="AG321" t="s">
        <v>67</v>
      </c>
      <c r="AH321" t="s">
        <v>46</v>
      </c>
      <c r="AI321">
        <v>0</v>
      </c>
      <c r="AJ321" t="s">
        <v>80</v>
      </c>
      <c r="AK321" t="s">
        <v>48</v>
      </c>
      <c r="AL321" t="s">
        <v>60</v>
      </c>
      <c r="AM321" t="s">
        <v>61</v>
      </c>
      <c r="AN321">
        <f t="shared" si="4"/>
        <v>14</v>
      </c>
    </row>
    <row r="322" spans="1:40">
      <c r="A322">
        <v>27</v>
      </c>
      <c r="B322" t="s">
        <v>51</v>
      </c>
      <c r="C322" t="s">
        <v>39</v>
      </c>
      <c r="D322">
        <v>1377</v>
      </c>
      <c r="E322" t="s">
        <v>40</v>
      </c>
      <c r="F322">
        <v>2</v>
      </c>
      <c r="G322">
        <v>3</v>
      </c>
      <c r="H322" t="s">
        <v>41</v>
      </c>
      <c r="I322">
        <v>437</v>
      </c>
      <c r="J322">
        <v>4</v>
      </c>
      <c r="K322" t="s">
        <v>54</v>
      </c>
      <c r="L322">
        <v>74</v>
      </c>
      <c r="M322">
        <v>3</v>
      </c>
      <c r="N322">
        <v>2</v>
      </c>
      <c r="O322" t="s">
        <v>43</v>
      </c>
      <c r="P322">
        <v>3</v>
      </c>
      <c r="Q322" t="s">
        <v>44</v>
      </c>
      <c r="R322">
        <v>4478</v>
      </c>
      <c r="S322">
        <v>5242</v>
      </c>
      <c r="T322">
        <v>1</v>
      </c>
      <c r="U322" t="s">
        <v>38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  <c r="AG322" t="s">
        <v>67</v>
      </c>
      <c r="AH322" t="s">
        <v>81</v>
      </c>
      <c r="AI322">
        <v>0</v>
      </c>
      <c r="AJ322" t="s">
        <v>65</v>
      </c>
      <c r="AK322" t="s">
        <v>72</v>
      </c>
      <c r="AL322" t="s">
        <v>66</v>
      </c>
      <c r="AM322" t="s">
        <v>61</v>
      </c>
      <c r="AN322">
        <f t="shared" si="4"/>
        <v>0</v>
      </c>
    </row>
    <row r="323" spans="1:40">
      <c r="A323">
        <v>31</v>
      </c>
      <c r="B323" t="s">
        <v>51</v>
      </c>
      <c r="C323" t="s">
        <v>39</v>
      </c>
      <c r="D323">
        <v>691</v>
      </c>
      <c r="E323" t="s">
        <v>40</v>
      </c>
      <c r="F323">
        <v>7</v>
      </c>
      <c r="G323">
        <v>3</v>
      </c>
      <c r="H323" t="s">
        <v>84</v>
      </c>
      <c r="I323">
        <v>438</v>
      </c>
      <c r="J323">
        <v>4</v>
      </c>
      <c r="K323" t="s">
        <v>54</v>
      </c>
      <c r="L323">
        <v>73</v>
      </c>
      <c r="M323">
        <v>3</v>
      </c>
      <c r="N323">
        <v>2</v>
      </c>
      <c r="O323" t="s">
        <v>43</v>
      </c>
      <c r="P323">
        <v>4</v>
      </c>
      <c r="Q323" t="s">
        <v>74</v>
      </c>
      <c r="R323">
        <v>7547</v>
      </c>
      <c r="S323">
        <v>7143</v>
      </c>
      <c r="T323">
        <v>4</v>
      </c>
      <c r="U323" t="s">
        <v>51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  <c r="AG323" t="s">
        <v>67</v>
      </c>
      <c r="AH323" t="s">
        <v>71</v>
      </c>
      <c r="AI323">
        <v>0</v>
      </c>
      <c r="AJ323" t="s">
        <v>58</v>
      </c>
      <c r="AK323" t="s">
        <v>72</v>
      </c>
      <c r="AL323" t="s">
        <v>49</v>
      </c>
      <c r="AM323" t="s">
        <v>61</v>
      </c>
      <c r="AN323">
        <f t="shared" ref="AN323:AN386" si="5">((3-P323)*3+((3-AB323)*2+AE323))</f>
        <v>-2</v>
      </c>
    </row>
    <row r="324" spans="1:40">
      <c r="A324">
        <v>32</v>
      </c>
      <c r="B324" t="s">
        <v>51</v>
      </c>
      <c r="C324" t="s">
        <v>39</v>
      </c>
      <c r="D324">
        <v>1018</v>
      </c>
      <c r="E324" t="s">
        <v>53</v>
      </c>
      <c r="F324">
        <v>2</v>
      </c>
      <c r="G324">
        <v>4</v>
      </c>
      <c r="H324" t="s">
        <v>69</v>
      </c>
      <c r="I324">
        <v>439</v>
      </c>
      <c r="J324">
        <v>1</v>
      </c>
      <c r="K324" t="s">
        <v>42</v>
      </c>
      <c r="L324">
        <v>74</v>
      </c>
      <c r="M324">
        <v>4</v>
      </c>
      <c r="N324">
        <v>2</v>
      </c>
      <c r="O324" t="s">
        <v>55</v>
      </c>
      <c r="P324">
        <v>4</v>
      </c>
      <c r="Q324" t="s">
        <v>44</v>
      </c>
      <c r="R324">
        <v>5055</v>
      </c>
      <c r="S324">
        <v>10557</v>
      </c>
      <c r="T324">
        <v>7</v>
      </c>
      <c r="U324" t="s">
        <v>51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  <c r="AG324" t="s">
        <v>67</v>
      </c>
      <c r="AH324" t="s">
        <v>46</v>
      </c>
      <c r="AI324">
        <v>0</v>
      </c>
      <c r="AJ324" t="s">
        <v>47</v>
      </c>
      <c r="AK324" t="s">
        <v>68</v>
      </c>
      <c r="AL324" t="s">
        <v>49</v>
      </c>
      <c r="AM324" t="s">
        <v>70</v>
      </c>
      <c r="AN324">
        <f t="shared" si="5"/>
        <v>-1</v>
      </c>
    </row>
    <row r="325" spans="1:40">
      <c r="A325">
        <v>28</v>
      </c>
      <c r="B325" t="s">
        <v>38</v>
      </c>
      <c r="C325" t="s">
        <v>39</v>
      </c>
      <c r="D325">
        <v>1157</v>
      </c>
      <c r="E325" t="s">
        <v>53</v>
      </c>
      <c r="F325">
        <v>2</v>
      </c>
      <c r="G325">
        <v>4</v>
      </c>
      <c r="H325" t="s">
        <v>69</v>
      </c>
      <c r="I325">
        <v>440</v>
      </c>
      <c r="J325">
        <v>1</v>
      </c>
      <c r="K325" t="s">
        <v>54</v>
      </c>
      <c r="L325">
        <v>84</v>
      </c>
      <c r="M325">
        <v>1</v>
      </c>
      <c r="N325">
        <v>1</v>
      </c>
      <c r="O325" t="s">
        <v>55</v>
      </c>
      <c r="P325">
        <v>4</v>
      </c>
      <c r="Q325" t="s">
        <v>56</v>
      </c>
      <c r="R325">
        <v>3464</v>
      </c>
      <c r="S325">
        <v>24737</v>
      </c>
      <c r="T325">
        <v>5</v>
      </c>
      <c r="U325" t="s">
        <v>38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  <c r="AG325" t="s">
        <v>67</v>
      </c>
      <c r="AH325" t="s">
        <v>46</v>
      </c>
      <c r="AI325">
        <v>1</v>
      </c>
      <c r="AJ325" t="s">
        <v>47</v>
      </c>
      <c r="AK325" t="s">
        <v>68</v>
      </c>
      <c r="AL325" t="s">
        <v>49</v>
      </c>
      <c r="AM325" t="s">
        <v>70</v>
      </c>
      <c r="AN325">
        <f t="shared" si="5"/>
        <v>1</v>
      </c>
    </row>
    <row r="326" spans="1:40">
      <c r="A326">
        <v>30</v>
      </c>
      <c r="B326" t="s">
        <v>51</v>
      </c>
      <c r="C326" t="s">
        <v>39</v>
      </c>
      <c r="D326">
        <v>1275</v>
      </c>
      <c r="E326" t="s">
        <v>53</v>
      </c>
      <c r="F326">
        <v>28</v>
      </c>
      <c r="G326">
        <v>2</v>
      </c>
      <c r="H326" t="s">
        <v>69</v>
      </c>
      <c r="I326">
        <v>441</v>
      </c>
      <c r="J326">
        <v>4</v>
      </c>
      <c r="K326" t="s">
        <v>42</v>
      </c>
      <c r="L326">
        <v>64</v>
      </c>
      <c r="M326">
        <v>3</v>
      </c>
      <c r="N326">
        <v>2</v>
      </c>
      <c r="O326" t="s">
        <v>55</v>
      </c>
      <c r="P326">
        <v>4</v>
      </c>
      <c r="Q326" t="s">
        <v>56</v>
      </c>
      <c r="R326">
        <v>5775</v>
      </c>
      <c r="S326">
        <v>11934</v>
      </c>
      <c r="T326">
        <v>1</v>
      </c>
      <c r="U326" t="s">
        <v>51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  <c r="AG326" t="s">
        <v>67</v>
      </c>
      <c r="AH326" t="s">
        <v>46</v>
      </c>
      <c r="AI326">
        <v>0</v>
      </c>
      <c r="AJ326" t="s">
        <v>58</v>
      </c>
      <c r="AK326" t="s">
        <v>48</v>
      </c>
      <c r="AL326" t="s">
        <v>49</v>
      </c>
      <c r="AM326" t="s">
        <v>61</v>
      </c>
      <c r="AN326">
        <f t="shared" si="5"/>
        <v>-2</v>
      </c>
    </row>
    <row r="327" spans="1:40">
      <c r="A327">
        <v>31</v>
      </c>
      <c r="B327" t="s">
        <v>51</v>
      </c>
      <c r="C327" t="s">
        <v>52</v>
      </c>
      <c r="D327">
        <v>798</v>
      </c>
      <c r="E327" t="s">
        <v>53</v>
      </c>
      <c r="F327">
        <v>7</v>
      </c>
      <c r="G327">
        <v>2</v>
      </c>
      <c r="H327" t="s">
        <v>41</v>
      </c>
      <c r="I327">
        <v>442</v>
      </c>
      <c r="J327">
        <v>3</v>
      </c>
      <c r="K327" t="s">
        <v>42</v>
      </c>
      <c r="L327">
        <v>48</v>
      </c>
      <c r="M327">
        <v>2</v>
      </c>
      <c r="N327">
        <v>3</v>
      </c>
      <c r="O327" t="s">
        <v>75</v>
      </c>
      <c r="P327">
        <v>3</v>
      </c>
      <c r="Q327" t="s">
        <v>56</v>
      </c>
      <c r="R327">
        <v>8943</v>
      </c>
      <c r="S327">
        <v>14034</v>
      </c>
      <c r="T327">
        <v>1</v>
      </c>
      <c r="U327" t="s">
        <v>51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  <c r="AG327" t="s">
        <v>67</v>
      </c>
      <c r="AH327" t="s">
        <v>46</v>
      </c>
      <c r="AI327">
        <v>0</v>
      </c>
      <c r="AJ327" t="s">
        <v>58</v>
      </c>
      <c r="AK327" t="s">
        <v>48</v>
      </c>
      <c r="AL327" t="s">
        <v>66</v>
      </c>
      <c r="AM327" t="s">
        <v>61</v>
      </c>
      <c r="AN327">
        <f t="shared" si="5"/>
        <v>8</v>
      </c>
    </row>
    <row r="328" spans="1:40">
      <c r="A328">
        <v>39</v>
      </c>
      <c r="B328" t="s">
        <v>51</v>
      </c>
      <c r="C328" t="s">
        <v>52</v>
      </c>
      <c r="D328">
        <v>672</v>
      </c>
      <c r="E328" t="s">
        <v>53</v>
      </c>
      <c r="F328">
        <v>7</v>
      </c>
      <c r="G328">
        <v>2</v>
      </c>
      <c r="H328" t="s">
        <v>69</v>
      </c>
      <c r="I328">
        <v>444</v>
      </c>
      <c r="J328">
        <v>3</v>
      </c>
      <c r="K328" t="s">
        <v>54</v>
      </c>
      <c r="L328">
        <v>54</v>
      </c>
      <c r="M328">
        <v>2</v>
      </c>
      <c r="N328">
        <v>5</v>
      </c>
      <c r="O328" t="s">
        <v>79</v>
      </c>
      <c r="P328">
        <v>4</v>
      </c>
      <c r="Q328" t="s">
        <v>56</v>
      </c>
      <c r="R328">
        <v>19272</v>
      </c>
      <c r="S328">
        <v>21141</v>
      </c>
      <c r="T328">
        <v>1</v>
      </c>
      <c r="U328" t="s">
        <v>51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  <c r="AG328" t="s">
        <v>45</v>
      </c>
      <c r="AH328" t="s">
        <v>46</v>
      </c>
      <c r="AI328">
        <v>0</v>
      </c>
      <c r="AJ328" t="s">
        <v>80</v>
      </c>
      <c r="AK328" t="s">
        <v>48</v>
      </c>
      <c r="AL328" t="s">
        <v>49</v>
      </c>
      <c r="AM328" t="s">
        <v>61</v>
      </c>
      <c r="AN328">
        <f t="shared" si="5"/>
        <v>10</v>
      </c>
    </row>
    <row r="329" spans="1:40">
      <c r="A329">
        <v>39</v>
      </c>
      <c r="B329" t="s">
        <v>38</v>
      </c>
      <c r="C329" t="s">
        <v>39</v>
      </c>
      <c r="D329">
        <v>1162</v>
      </c>
      <c r="E329" t="s">
        <v>40</v>
      </c>
      <c r="F329">
        <v>3</v>
      </c>
      <c r="G329">
        <v>2</v>
      </c>
      <c r="H329" t="s">
        <v>69</v>
      </c>
      <c r="I329">
        <v>445</v>
      </c>
      <c r="J329">
        <v>4</v>
      </c>
      <c r="K329" t="s">
        <v>42</v>
      </c>
      <c r="L329">
        <v>41</v>
      </c>
      <c r="M329">
        <v>3</v>
      </c>
      <c r="N329">
        <v>2</v>
      </c>
      <c r="O329" t="s">
        <v>43</v>
      </c>
      <c r="P329">
        <v>3</v>
      </c>
      <c r="Q329" t="s">
        <v>56</v>
      </c>
      <c r="R329">
        <v>5238</v>
      </c>
      <c r="S329">
        <v>17778</v>
      </c>
      <c r="T329">
        <v>4</v>
      </c>
      <c r="U329" t="s">
        <v>38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  <c r="AG329" t="s">
        <v>45</v>
      </c>
      <c r="AH329" t="s">
        <v>46</v>
      </c>
      <c r="AI329">
        <v>1</v>
      </c>
      <c r="AJ329" t="s">
        <v>47</v>
      </c>
      <c r="AK329" t="s">
        <v>48</v>
      </c>
      <c r="AL329" t="s">
        <v>66</v>
      </c>
      <c r="AM329" t="s">
        <v>70</v>
      </c>
      <c r="AN329">
        <f t="shared" si="5"/>
        <v>2</v>
      </c>
    </row>
    <row r="330" spans="1:40">
      <c r="A330">
        <v>33</v>
      </c>
      <c r="B330" t="s">
        <v>51</v>
      </c>
      <c r="C330" t="s">
        <v>52</v>
      </c>
      <c r="D330">
        <v>508</v>
      </c>
      <c r="E330" t="s">
        <v>40</v>
      </c>
      <c r="F330">
        <v>10</v>
      </c>
      <c r="G330">
        <v>3</v>
      </c>
      <c r="H330" t="s">
        <v>84</v>
      </c>
      <c r="I330">
        <v>446</v>
      </c>
      <c r="J330">
        <v>2</v>
      </c>
      <c r="K330" t="s">
        <v>54</v>
      </c>
      <c r="L330">
        <v>46</v>
      </c>
      <c r="M330">
        <v>2</v>
      </c>
      <c r="N330">
        <v>2</v>
      </c>
      <c r="O330" t="s">
        <v>43</v>
      </c>
      <c r="P330">
        <v>4</v>
      </c>
      <c r="Q330" t="s">
        <v>44</v>
      </c>
      <c r="R330">
        <v>4682</v>
      </c>
      <c r="S330">
        <v>4317</v>
      </c>
      <c r="T330">
        <v>3</v>
      </c>
      <c r="U330" t="s">
        <v>51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  <c r="AG330" t="s">
        <v>67</v>
      </c>
      <c r="AH330" t="s">
        <v>81</v>
      </c>
      <c r="AI330">
        <v>0</v>
      </c>
      <c r="AJ330" t="s">
        <v>47</v>
      </c>
      <c r="AK330" t="s">
        <v>72</v>
      </c>
      <c r="AL330" t="s">
        <v>49</v>
      </c>
      <c r="AM330" t="s">
        <v>70</v>
      </c>
      <c r="AN330">
        <f t="shared" si="5"/>
        <v>-1</v>
      </c>
    </row>
    <row r="331" spans="1:40">
      <c r="A331">
        <v>47</v>
      </c>
      <c r="B331" t="s">
        <v>51</v>
      </c>
      <c r="C331" t="s">
        <v>39</v>
      </c>
      <c r="D331">
        <v>1482</v>
      </c>
      <c r="E331" t="s">
        <v>53</v>
      </c>
      <c r="F331">
        <v>5</v>
      </c>
      <c r="G331">
        <v>5</v>
      </c>
      <c r="H331" t="s">
        <v>41</v>
      </c>
      <c r="I331">
        <v>447</v>
      </c>
      <c r="J331">
        <v>4</v>
      </c>
      <c r="K331" t="s">
        <v>54</v>
      </c>
      <c r="L331">
        <v>42</v>
      </c>
      <c r="M331">
        <v>3</v>
      </c>
      <c r="N331">
        <v>5</v>
      </c>
      <c r="O331" t="s">
        <v>83</v>
      </c>
      <c r="P331">
        <v>3</v>
      </c>
      <c r="Q331" t="s">
        <v>56</v>
      </c>
      <c r="R331">
        <v>18300</v>
      </c>
      <c r="S331">
        <v>16375</v>
      </c>
      <c r="T331">
        <v>4</v>
      </c>
      <c r="U331" t="s">
        <v>51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  <c r="AG331" t="s">
        <v>57</v>
      </c>
      <c r="AH331" t="s">
        <v>46</v>
      </c>
      <c r="AI331">
        <v>0</v>
      </c>
      <c r="AJ331" t="s">
        <v>65</v>
      </c>
      <c r="AK331" t="s">
        <v>87</v>
      </c>
      <c r="AL331" t="s">
        <v>66</v>
      </c>
      <c r="AM331" t="s">
        <v>61</v>
      </c>
      <c r="AN331">
        <f t="shared" si="5"/>
        <v>1</v>
      </c>
    </row>
    <row r="332" spans="1:40">
      <c r="A332">
        <v>43</v>
      </c>
      <c r="B332" t="s">
        <v>51</v>
      </c>
      <c r="C332" t="s">
        <v>52</v>
      </c>
      <c r="D332">
        <v>559</v>
      </c>
      <c r="E332" t="s">
        <v>53</v>
      </c>
      <c r="F332">
        <v>10</v>
      </c>
      <c r="G332">
        <v>4</v>
      </c>
      <c r="H332" t="s">
        <v>41</v>
      </c>
      <c r="I332">
        <v>448</v>
      </c>
      <c r="J332">
        <v>3</v>
      </c>
      <c r="K332" t="s">
        <v>42</v>
      </c>
      <c r="L332">
        <v>82</v>
      </c>
      <c r="M332">
        <v>2</v>
      </c>
      <c r="N332">
        <v>2</v>
      </c>
      <c r="O332" t="s">
        <v>63</v>
      </c>
      <c r="P332">
        <v>3</v>
      </c>
      <c r="Q332" t="s">
        <v>74</v>
      </c>
      <c r="R332">
        <v>5257</v>
      </c>
      <c r="S332">
        <v>6227</v>
      </c>
      <c r="T332">
        <v>1</v>
      </c>
      <c r="U332" t="s">
        <v>51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  <c r="AG332" t="s">
        <v>45</v>
      </c>
      <c r="AH332" t="s">
        <v>71</v>
      </c>
      <c r="AI332">
        <v>0</v>
      </c>
      <c r="AJ332" t="s">
        <v>58</v>
      </c>
      <c r="AK332" t="s">
        <v>68</v>
      </c>
      <c r="AL332" t="s">
        <v>66</v>
      </c>
      <c r="AM332" t="s">
        <v>85</v>
      </c>
      <c r="AN332">
        <f t="shared" si="5"/>
        <v>-2</v>
      </c>
    </row>
    <row r="333" spans="1:40">
      <c r="A333">
        <v>27</v>
      </c>
      <c r="B333" t="s">
        <v>51</v>
      </c>
      <c r="C333" t="s">
        <v>77</v>
      </c>
      <c r="D333">
        <v>210</v>
      </c>
      <c r="E333" t="s">
        <v>40</v>
      </c>
      <c r="F333">
        <v>1</v>
      </c>
      <c r="G333">
        <v>1</v>
      </c>
      <c r="H333" t="s">
        <v>84</v>
      </c>
      <c r="I333">
        <v>449</v>
      </c>
      <c r="J333">
        <v>3</v>
      </c>
      <c r="K333" t="s">
        <v>54</v>
      </c>
      <c r="L333">
        <v>73</v>
      </c>
      <c r="M333">
        <v>3</v>
      </c>
      <c r="N333">
        <v>2</v>
      </c>
      <c r="O333" t="s">
        <v>43</v>
      </c>
      <c r="P333">
        <v>2</v>
      </c>
      <c r="Q333" t="s">
        <v>56</v>
      </c>
      <c r="R333">
        <v>6349</v>
      </c>
      <c r="S333">
        <v>22107</v>
      </c>
      <c r="T333">
        <v>0</v>
      </c>
      <c r="U333" t="s">
        <v>38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  <c r="AG333" t="s">
        <v>67</v>
      </c>
      <c r="AH333" t="s">
        <v>46</v>
      </c>
      <c r="AI333">
        <v>0</v>
      </c>
      <c r="AJ333" t="s">
        <v>65</v>
      </c>
      <c r="AK333" t="s">
        <v>59</v>
      </c>
      <c r="AL333" t="s">
        <v>60</v>
      </c>
      <c r="AM333" t="s">
        <v>61</v>
      </c>
      <c r="AN333">
        <f t="shared" si="5"/>
        <v>4</v>
      </c>
    </row>
    <row r="334" spans="1:40">
      <c r="A334">
        <v>54</v>
      </c>
      <c r="B334" t="s">
        <v>51</v>
      </c>
      <c r="C334" t="s">
        <v>52</v>
      </c>
      <c r="D334">
        <v>928</v>
      </c>
      <c r="E334" t="s">
        <v>53</v>
      </c>
      <c r="F334">
        <v>20</v>
      </c>
      <c r="G334">
        <v>4</v>
      </c>
      <c r="H334" t="s">
        <v>41</v>
      </c>
      <c r="I334">
        <v>450</v>
      </c>
      <c r="J334">
        <v>4</v>
      </c>
      <c r="K334" t="s">
        <v>42</v>
      </c>
      <c r="L334">
        <v>31</v>
      </c>
      <c r="M334">
        <v>3</v>
      </c>
      <c r="N334">
        <v>2</v>
      </c>
      <c r="O334" t="s">
        <v>55</v>
      </c>
      <c r="P334">
        <v>3</v>
      </c>
      <c r="Q334" t="s">
        <v>44</v>
      </c>
      <c r="R334">
        <v>4869</v>
      </c>
      <c r="S334">
        <v>16885</v>
      </c>
      <c r="T334">
        <v>3</v>
      </c>
      <c r="U334" t="s">
        <v>51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  <c r="AG334" t="s">
        <v>57</v>
      </c>
      <c r="AH334" t="s">
        <v>46</v>
      </c>
      <c r="AI334">
        <v>0</v>
      </c>
      <c r="AJ334" t="s">
        <v>47</v>
      </c>
      <c r="AK334" t="s">
        <v>68</v>
      </c>
      <c r="AL334" t="s">
        <v>66</v>
      </c>
      <c r="AM334" t="s">
        <v>70</v>
      </c>
      <c r="AN334">
        <f t="shared" si="5"/>
        <v>2</v>
      </c>
    </row>
    <row r="335" spans="1:40">
      <c r="A335">
        <v>43</v>
      </c>
      <c r="B335" t="s">
        <v>51</v>
      </c>
      <c r="C335" t="s">
        <v>39</v>
      </c>
      <c r="D335">
        <v>1001</v>
      </c>
      <c r="E335" t="s">
        <v>53</v>
      </c>
      <c r="F335">
        <v>7</v>
      </c>
      <c r="G335">
        <v>3</v>
      </c>
      <c r="H335" t="s">
        <v>41</v>
      </c>
      <c r="I335">
        <v>451</v>
      </c>
      <c r="J335">
        <v>3</v>
      </c>
      <c r="K335" t="s">
        <v>42</v>
      </c>
      <c r="L335">
        <v>43</v>
      </c>
      <c r="M335">
        <v>3</v>
      </c>
      <c r="N335">
        <v>3</v>
      </c>
      <c r="O335" t="s">
        <v>76</v>
      </c>
      <c r="P335">
        <v>1</v>
      </c>
      <c r="Q335" t="s">
        <v>56</v>
      </c>
      <c r="R335">
        <v>9985</v>
      </c>
      <c r="S335">
        <v>9262</v>
      </c>
      <c r="T335">
        <v>8</v>
      </c>
      <c r="U335" t="s">
        <v>51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  <c r="AG335" t="s">
        <v>45</v>
      </c>
      <c r="AH335" t="s">
        <v>71</v>
      </c>
      <c r="AI335">
        <v>0</v>
      </c>
      <c r="AJ335" t="s">
        <v>47</v>
      </c>
      <c r="AK335" t="s">
        <v>72</v>
      </c>
      <c r="AL335" t="s">
        <v>73</v>
      </c>
      <c r="AM335" t="s">
        <v>70</v>
      </c>
      <c r="AN335">
        <f t="shared" si="5"/>
        <v>8</v>
      </c>
    </row>
    <row r="336" spans="1:40">
      <c r="A336">
        <v>45</v>
      </c>
      <c r="B336" t="s">
        <v>51</v>
      </c>
      <c r="C336" t="s">
        <v>39</v>
      </c>
      <c r="D336">
        <v>549</v>
      </c>
      <c r="E336" t="s">
        <v>53</v>
      </c>
      <c r="F336">
        <v>8</v>
      </c>
      <c r="G336">
        <v>4</v>
      </c>
      <c r="H336" t="s">
        <v>62</v>
      </c>
      <c r="I336">
        <v>452</v>
      </c>
      <c r="J336">
        <v>4</v>
      </c>
      <c r="K336" t="s">
        <v>54</v>
      </c>
      <c r="L336">
        <v>75</v>
      </c>
      <c r="M336">
        <v>3</v>
      </c>
      <c r="N336">
        <v>2</v>
      </c>
      <c r="O336" t="s">
        <v>55</v>
      </c>
      <c r="P336">
        <v>4</v>
      </c>
      <c r="Q336" t="s">
        <v>56</v>
      </c>
      <c r="R336">
        <v>3697</v>
      </c>
      <c r="S336">
        <v>9278</v>
      </c>
      <c r="T336">
        <v>9</v>
      </c>
      <c r="U336" t="s">
        <v>51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  <c r="AG336" t="s">
        <v>45</v>
      </c>
      <c r="AH336" t="s">
        <v>71</v>
      </c>
      <c r="AI336">
        <v>0</v>
      </c>
      <c r="AJ336" t="s">
        <v>58</v>
      </c>
      <c r="AK336" t="s">
        <v>68</v>
      </c>
      <c r="AL336" t="s">
        <v>49</v>
      </c>
      <c r="AM336" t="s">
        <v>61</v>
      </c>
      <c r="AN336">
        <f t="shared" si="5"/>
        <v>6</v>
      </c>
    </row>
    <row r="337" spans="1:40">
      <c r="A337">
        <v>40</v>
      </c>
      <c r="B337" t="s">
        <v>51</v>
      </c>
      <c r="C337" t="s">
        <v>39</v>
      </c>
      <c r="D337">
        <v>1124</v>
      </c>
      <c r="E337" t="s">
        <v>40</v>
      </c>
      <c r="F337">
        <v>1</v>
      </c>
      <c r="G337">
        <v>2</v>
      </c>
      <c r="H337" t="s">
        <v>69</v>
      </c>
      <c r="I337">
        <v>453</v>
      </c>
      <c r="J337">
        <v>2</v>
      </c>
      <c r="K337" t="s">
        <v>54</v>
      </c>
      <c r="L337">
        <v>57</v>
      </c>
      <c r="M337">
        <v>1</v>
      </c>
      <c r="N337">
        <v>2</v>
      </c>
      <c r="O337" t="s">
        <v>43</v>
      </c>
      <c r="P337">
        <v>4</v>
      </c>
      <c r="Q337" t="s">
        <v>56</v>
      </c>
      <c r="R337">
        <v>7457</v>
      </c>
      <c r="S337">
        <v>13273</v>
      </c>
      <c r="T337">
        <v>2</v>
      </c>
      <c r="U337" t="s">
        <v>38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  <c r="AG337" t="s">
        <v>45</v>
      </c>
      <c r="AH337" t="s">
        <v>46</v>
      </c>
      <c r="AI337">
        <v>0</v>
      </c>
      <c r="AJ337" t="s">
        <v>47</v>
      </c>
      <c r="AK337" t="s">
        <v>48</v>
      </c>
      <c r="AL337" t="s">
        <v>49</v>
      </c>
      <c r="AM337" t="s">
        <v>70</v>
      </c>
      <c r="AN337">
        <f t="shared" si="5"/>
        <v>-1</v>
      </c>
    </row>
    <row r="338" spans="1:40">
      <c r="A338">
        <v>29</v>
      </c>
      <c r="B338" t="s">
        <v>38</v>
      </c>
      <c r="C338" t="s">
        <v>39</v>
      </c>
      <c r="D338">
        <v>318</v>
      </c>
      <c r="E338" t="s">
        <v>53</v>
      </c>
      <c r="F338">
        <v>8</v>
      </c>
      <c r="G338">
        <v>4</v>
      </c>
      <c r="H338" t="s">
        <v>62</v>
      </c>
      <c r="I338">
        <v>454</v>
      </c>
      <c r="J338">
        <v>2</v>
      </c>
      <c r="K338" t="s">
        <v>54</v>
      </c>
      <c r="L338">
        <v>77</v>
      </c>
      <c r="M338">
        <v>1</v>
      </c>
      <c r="N338">
        <v>1</v>
      </c>
      <c r="O338" t="s">
        <v>63</v>
      </c>
      <c r="P338">
        <v>1</v>
      </c>
      <c r="Q338" t="s">
        <v>56</v>
      </c>
      <c r="R338">
        <v>2119</v>
      </c>
      <c r="S338">
        <v>4759</v>
      </c>
      <c r="T338">
        <v>1</v>
      </c>
      <c r="U338" t="s">
        <v>38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  <c r="AG338" t="s">
        <v>67</v>
      </c>
      <c r="AH338" t="s">
        <v>81</v>
      </c>
      <c r="AI338">
        <v>1</v>
      </c>
      <c r="AJ338" t="s">
        <v>47</v>
      </c>
      <c r="AK338" t="s">
        <v>68</v>
      </c>
      <c r="AL338" t="s">
        <v>73</v>
      </c>
      <c r="AM338" t="s">
        <v>70</v>
      </c>
      <c r="AN338">
        <f t="shared" si="5"/>
        <v>8</v>
      </c>
    </row>
    <row r="339" spans="1:40">
      <c r="A339">
        <v>29</v>
      </c>
      <c r="B339" t="s">
        <v>51</v>
      </c>
      <c r="C339" t="s">
        <v>39</v>
      </c>
      <c r="D339">
        <v>738</v>
      </c>
      <c r="E339" t="s">
        <v>53</v>
      </c>
      <c r="F339">
        <v>9</v>
      </c>
      <c r="G339">
        <v>5</v>
      </c>
      <c r="H339" t="s">
        <v>62</v>
      </c>
      <c r="I339">
        <v>455</v>
      </c>
      <c r="J339">
        <v>2</v>
      </c>
      <c r="K339" t="s">
        <v>54</v>
      </c>
      <c r="L339">
        <v>30</v>
      </c>
      <c r="M339">
        <v>2</v>
      </c>
      <c r="N339">
        <v>1</v>
      </c>
      <c r="O339" t="s">
        <v>63</v>
      </c>
      <c r="P339">
        <v>4</v>
      </c>
      <c r="Q339" t="s">
        <v>44</v>
      </c>
      <c r="R339">
        <v>3983</v>
      </c>
      <c r="S339">
        <v>7621</v>
      </c>
      <c r="T339">
        <v>0</v>
      </c>
      <c r="U339" t="s">
        <v>51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  <c r="AG339" t="s">
        <v>67</v>
      </c>
      <c r="AH339" t="s">
        <v>71</v>
      </c>
      <c r="AI339">
        <v>0</v>
      </c>
      <c r="AJ339" t="s">
        <v>65</v>
      </c>
      <c r="AK339" t="s">
        <v>87</v>
      </c>
      <c r="AL339" t="s">
        <v>49</v>
      </c>
      <c r="AM339" t="s">
        <v>61</v>
      </c>
      <c r="AN339">
        <f t="shared" si="5"/>
        <v>-1</v>
      </c>
    </row>
    <row r="340" spans="1:40">
      <c r="A340">
        <v>30</v>
      </c>
      <c r="B340" t="s">
        <v>51</v>
      </c>
      <c r="C340" t="s">
        <v>39</v>
      </c>
      <c r="D340">
        <v>570</v>
      </c>
      <c r="E340" t="s">
        <v>40</v>
      </c>
      <c r="F340">
        <v>5</v>
      </c>
      <c r="G340">
        <v>3</v>
      </c>
      <c r="H340" t="s">
        <v>84</v>
      </c>
      <c r="I340">
        <v>456</v>
      </c>
      <c r="J340">
        <v>4</v>
      </c>
      <c r="K340" t="s">
        <v>42</v>
      </c>
      <c r="L340">
        <v>30</v>
      </c>
      <c r="M340">
        <v>2</v>
      </c>
      <c r="N340">
        <v>2</v>
      </c>
      <c r="O340" t="s">
        <v>43</v>
      </c>
      <c r="P340">
        <v>3</v>
      </c>
      <c r="Q340" t="s">
        <v>74</v>
      </c>
      <c r="R340">
        <v>6118</v>
      </c>
      <c r="S340">
        <v>5431</v>
      </c>
      <c r="T340">
        <v>1</v>
      </c>
      <c r="U340" t="s">
        <v>51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  <c r="AG340" t="s">
        <v>67</v>
      </c>
      <c r="AH340" t="s">
        <v>81</v>
      </c>
      <c r="AI340">
        <v>0</v>
      </c>
      <c r="AJ340" t="s">
        <v>58</v>
      </c>
      <c r="AK340" t="s">
        <v>72</v>
      </c>
      <c r="AL340" t="s">
        <v>66</v>
      </c>
      <c r="AM340" t="s">
        <v>61</v>
      </c>
      <c r="AN340">
        <f t="shared" si="5"/>
        <v>1</v>
      </c>
    </row>
    <row r="341" spans="1:40">
      <c r="A341">
        <v>27</v>
      </c>
      <c r="B341" t="s">
        <v>51</v>
      </c>
      <c r="C341" t="s">
        <v>39</v>
      </c>
      <c r="D341">
        <v>1130</v>
      </c>
      <c r="E341" t="s">
        <v>40</v>
      </c>
      <c r="F341">
        <v>8</v>
      </c>
      <c r="G341">
        <v>4</v>
      </c>
      <c r="H341" t="s">
        <v>84</v>
      </c>
      <c r="I341">
        <v>458</v>
      </c>
      <c r="J341">
        <v>2</v>
      </c>
      <c r="K341" t="s">
        <v>42</v>
      </c>
      <c r="L341">
        <v>56</v>
      </c>
      <c r="M341">
        <v>3</v>
      </c>
      <c r="N341">
        <v>2</v>
      </c>
      <c r="O341" t="s">
        <v>43</v>
      </c>
      <c r="P341">
        <v>2</v>
      </c>
      <c r="Q341" t="s">
        <v>56</v>
      </c>
      <c r="R341">
        <v>6214</v>
      </c>
      <c r="S341">
        <v>3415</v>
      </c>
      <c r="T341">
        <v>1</v>
      </c>
      <c r="U341" t="s">
        <v>51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  <c r="AG341" t="s">
        <v>67</v>
      </c>
      <c r="AH341" t="s">
        <v>81</v>
      </c>
      <c r="AI341">
        <v>0</v>
      </c>
      <c r="AJ341" t="s">
        <v>58</v>
      </c>
      <c r="AK341" t="s">
        <v>68</v>
      </c>
      <c r="AL341" t="s">
        <v>60</v>
      </c>
      <c r="AM341" t="s">
        <v>61</v>
      </c>
      <c r="AN341">
        <f t="shared" si="5"/>
        <v>3</v>
      </c>
    </row>
    <row r="342" spans="1:40">
      <c r="A342">
        <v>37</v>
      </c>
      <c r="B342" t="s">
        <v>51</v>
      </c>
      <c r="C342" t="s">
        <v>39</v>
      </c>
      <c r="D342">
        <v>1192</v>
      </c>
      <c r="E342" t="s">
        <v>53</v>
      </c>
      <c r="F342">
        <v>5</v>
      </c>
      <c r="G342">
        <v>2</v>
      </c>
      <c r="H342" t="s">
        <v>69</v>
      </c>
      <c r="I342">
        <v>460</v>
      </c>
      <c r="J342">
        <v>4</v>
      </c>
      <c r="K342" t="s">
        <v>54</v>
      </c>
      <c r="L342">
        <v>61</v>
      </c>
      <c r="M342">
        <v>3</v>
      </c>
      <c r="N342">
        <v>2</v>
      </c>
      <c r="O342" t="s">
        <v>75</v>
      </c>
      <c r="P342">
        <v>4</v>
      </c>
      <c r="Q342" t="s">
        <v>74</v>
      </c>
      <c r="R342">
        <v>6347</v>
      </c>
      <c r="S342">
        <v>23177</v>
      </c>
      <c r="T342">
        <v>7</v>
      </c>
      <c r="U342" t="s">
        <v>51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  <c r="AG342" t="s">
        <v>45</v>
      </c>
      <c r="AH342" t="s">
        <v>46</v>
      </c>
      <c r="AI342">
        <v>0</v>
      </c>
      <c r="AJ342" t="s">
        <v>47</v>
      </c>
      <c r="AK342" t="s">
        <v>48</v>
      </c>
      <c r="AL342" t="s">
        <v>49</v>
      </c>
      <c r="AM342" t="s">
        <v>70</v>
      </c>
      <c r="AN342">
        <f t="shared" si="5"/>
        <v>-1</v>
      </c>
    </row>
    <row r="343" spans="1:40">
      <c r="A343">
        <v>38</v>
      </c>
      <c r="B343" t="s">
        <v>51</v>
      </c>
      <c r="C343" t="s">
        <v>39</v>
      </c>
      <c r="D343">
        <v>343</v>
      </c>
      <c r="E343" t="s">
        <v>53</v>
      </c>
      <c r="F343">
        <v>15</v>
      </c>
      <c r="G343">
        <v>2</v>
      </c>
      <c r="H343" t="s">
        <v>41</v>
      </c>
      <c r="I343">
        <v>461</v>
      </c>
      <c r="J343">
        <v>3</v>
      </c>
      <c r="K343" t="s">
        <v>54</v>
      </c>
      <c r="L343">
        <v>92</v>
      </c>
      <c r="M343">
        <v>2</v>
      </c>
      <c r="N343">
        <v>3</v>
      </c>
      <c r="O343" t="s">
        <v>83</v>
      </c>
      <c r="P343">
        <v>4</v>
      </c>
      <c r="Q343" t="s">
        <v>74</v>
      </c>
      <c r="R343">
        <v>11510</v>
      </c>
      <c r="S343">
        <v>15682</v>
      </c>
      <c r="T343">
        <v>0</v>
      </c>
      <c r="U343" t="s">
        <v>38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  <c r="AG343" t="s">
        <v>45</v>
      </c>
      <c r="AH343" t="s">
        <v>46</v>
      </c>
      <c r="AI343">
        <v>0</v>
      </c>
      <c r="AJ343" t="s">
        <v>80</v>
      </c>
      <c r="AK343" t="s">
        <v>48</v>
      </c>
      <c r="AL343" t="s">
        <v>49</v>
      </c>
      <c r="AM343" t="s">
        <v>61</v>
      </c>
      <c r="AN343">
        <f t="shared" si="5"/>
        <v>-1</v>
      </c>
    </row>
    <row r="344" spans="1:40">
      <c r="A344">
        <v>31</v>
      </c>
      <c r="B344" t="s">
        <v>51</v>
      </c>
      <c r="C344" t="s">
        <v>39</v>
      </c>
      <c r="D344">
        <v>1232</v>
      </c>
      <c r="E344" t="s">
        <v>53</v>
      </c>
      <c r="F344">
        <v>7</v>
      </c>
      <c r="G344">
        <v>4</v>
      </c>
      <c r="H344" t="s">
        <v>69</v>
      </c>
      <c r="I344">
        <v>462</v>
      </c>
      <c r="J344">
        <v>3</v>
      </c>
      <c r="K344" t="s">
        <v>42</v>
      </c>
      <c r="L344">
        <v>39</v>
      </c>
      <c r="M344">
        <v>3</v>
      </c>
      <c r="N344">
        <v>3</v>
      </c>
      <c r="O344" t="s">
        <v>75</v>
      </c>
      <c r="P344">
        <v>4</v>
      </c>
      <c r="Q344" t="s">
        <v>44</v>
      </c>
      <c r="R344">
        <v>7143</v>
      </c>
      <c r="S344">
        <v>25713</v>
      </c>
      <c r="T344">
        <v>1</v>
      </c>
      <c r="U344" t="s">
        <v>38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  <c r="AG344" t="s">
        <v>67</v>
      </c>
      <c r="AH344" t="s">
        <v>46</v>
      </c>
      <c r="AI344">
        <v>0</v>
      </c>
      <c r="AJ344" t="s">
        <v>47</v>
      </c>
      <c r="AK344" t="s">
        <v>68</v>
      </c>
      <c r="AL344" t="s">
        <v>49</v>
      </c>
      <c r="AM344" t="s">
        <v>70</v>
      </c>
      <c r="AN344">
        <f t="shared" si="5"/>
        <v>3</v>
      </c>
    </row>
    <row r="345" spans="1:40">
      <c r="A345">
        <v>29</v>
      </c>
      <c r="B345" t="s">
        <v>51</v>
      </c>
      <c r="C345" t="s">
        <v>39</v>
      </c>
      <c r="D345">
        <v>144</v>
      </c>
      <c r="E345" t="s">
        <v>40</v>
      </c>
      <c r="F345">
        <v>10</v>
      </c>
      <c r="G345">
        <v>1</v>
      </c>
      <c r="H345" t="s">
        <v>84</v>
      </c>
      <c r="I345">
        <v>463</v>
      </c>
      <c r="J345">
        <v>4</v>
      </c>
      <c r="K345" t="s">
        <v>42</v>
      </c>
      <c r="L345">
        <v>39</v>
      </c>
      <c r="M345">
        <v>2</v>
      </c>
      <c r="N345">
        <v>2</v>
      </c>
      <c r="O345" t="s">
        <v>43</v>
      </c>
      <c r="P345">
        <v>2</v>
      </c>
      <c r="Q345" t="s">
        <v>74</v>
      </c>
      <c r="R345">
        <v>8268</v>
      </c>
      <c r="S345">
        <v>11866</v>
      </c>
      <c r="T345">
        <v>1</v>
      </c>
      <c r="U345" t="s">
        <v>38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  <c r="AG345" t="s">
        <v>67</v>
      </c>
      <c r="AH345" t="s">
        <v>46</v>
      </c>
      <c r="AI345">
        <v>0</v>
      </c>
      <c r="AJ345" t="s">
        <v>58</v>
      </c>
      <c r="AK345" t="s">
        <v>59</v>
      </c>
      <c r="AL345" t="s">
        <v>60</v>
      </c>
      <c r="AM345" t="s">
        <v>61</v>
      </c>
      <c r="AN345">
        <f t="shared" si="5"/>
        <v>4</v>
      </c>
    </row>
    <row r="346" spans="1:40">
      <c r="A346">
        <v>35</v>
      </c>
      <c r="B346" t="s">
        <v>51</v>
      </c>
      <c r="C346" t="s">
        <v>39</v>
      </c>
      <c r="D346">
        <v>1296</v>
      </c>
      <c r="E346" t="s">
        <v>53</v>
      </c>
      <c r="F346">
        <v>5</v>
      </c>
      <c r="G346">
        <v>4</v>
      </c>
      <c r="H346" t="s">
        <v>86</v>
      </c>
      <c r="I346">
        <v>464</v>
      </c>
      <c r="J346">
        <v>3</v>
      </c>
      <c r="K346" t="s">
        <v>54</v>
      </c>
      <c r="L346">
        <v>62</v>
      </c>
      <c r="M346">
        <v>3</v>
      </c>
      <c r="N346">
        <v>3</v>
      </c>
      <c r="O346" t="s">
        <v>75</v>
      </c>
      <c r="P346">
        <v>2</v>
      </c>
      <c r="Q346" t="s">
        <v>44</v>
      </c>
      <c r="R346">
        <v>8095</v>
      </c>
      <c r="S346">
        <v>18264</v>
      </c>
      <c r="T346">
        <v>0</v>
      </c>
      <c r="U346" t="s">
        <v>51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  <c r="AG346" t="s">
        <v>67</v>
      </c>
      <c r="AH346" t="s">
        <v>46</v>
      </c>
      <c r="AI346">
        <v>0</v>
      </c>
      <c r="AJ346" t="s">
        <v>80</v>
      </c>
      <c r="AK346" t="s">
        <v>68</v>
      </c>
      <c r="AL346" t="s">
        <v>60</v>
      </c>
      <c r="AM346" t="s">
        <v>61</v>
      </c>
      <c r="AN346">
        <f t="shared" si="5"/>
        <v>3</v>
      </c>
    </row>
    <row r="347" spans="1:40">
      <c r="A347">
        <v>23</v>
      </c>
      <c r="B347" t="s">
        <v>51</v>
      </c>
      <c r="C347" t="s">
        <v>39</v>
      </c>
      <c r="D347">
        <v>1309</v>
      </c>
      <c r="E347" t="s">
        <v>53</v>
      </c>
      <c r="F347">
        <v>26</v>
      </c>
      <c r="G347">
        <v>1</v>
      </c>
      <c r="H347" t="s">
        <v>41</v>
      </c>
      <c r="I347">
        <v>465</v>
      </c>
      <c r="J347">
        <v>3</v>
      </c>
      <c r="K347" t="s">
        <v>54</v>
      </c>
      <c r="L347">
        <v>83</v>
      </c>
      <c r="M347">
        <v>3</v>
      </c>
      <c r="N347">
        <v>1</v>
      </c>
      <c r="O347" t="s">
        <v>55</v>
      </c>
      <c r="P347">
        <v>4</v>
      </c>
      <c r="Q347" t="s">
        <v>74</v>
      </c>
      <c r="R347">
        <v>2904</v>
      </c>
      <c r="S347">
        <v>16092</v>
      </c>
      <c r="T347">
        <v>1</v>
      </c>
      <c r="U347" t="s">
        <v>51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  <c r="AG347" t="s">
        <v>78</v>
      </c>
      <c r="AH347" t="s">
        <v>46</v>
      </c>
      <c r="AI347">
        <v>0</v>
      </c>
      <c r="AJ347" t="s">
        <v>47</v>
      </c>
      <c r="AK347" t="s">
        <v>59</v>
      </c>
      <c r="AL347" t="s">
        <v>49</v>
      </c>
      <c r="AM347" t="s">
        <v>70</v>
      </c>
      <c r="AN347">
        <f t="shared" si="5"/>
        <v>-1</v>
      </c>
    </row>
    <row r="348" spans="1:40">
      <c r="A348">
        <v>41</v>
      </c>
      <c r="B348" t="s">
        <v>51</v>
      </c>
      <c r="C348" t="s">
        <v>39</v>
      </c>
      <c r="D348">
        <v>483</v>
      </c>
      <c r="E348" t="s">
        <v>53</v>
      </c>
      <c r="F348">
        <v>6</v>
      </c>
      <c r="G348">
        <v>3</v>
      </c>
      <c r="H348" t="s">
        <v>69</v>
      </c>
      <c r="I348">
        <v>466</v>
      </c>
      <c r="J348">
        <v>4</v>
      </c>
      <c r="K348" t="s">
        <v>54</v>
      </c>
      <c r="L348">
        <v>95</v>
      </c>
      <c r="M348">
        <v>2</v>
      </c>
      <c r="N348">
        <v>2</v>
      </c>
      <c r="O348" t="s">
        <v>75</v>
      </c>
      <c r="P348">
        <v>2</v>
      </c>
      <c r="Q348" t="s">
        <v>44</v>
      </c>
      <c r="R348">
        <v>6032</v>
      </c>
      <c r="S348">
        <v>10110</v>
      </c>
      <c r="T348">
        <v>6</v>
      </c>
      <c r="U348" t="s">
        <v>38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  <c r="AG348" t="s">
        <v>45</v>
      </c>
      <c r="AH348" t="s">
        <v>46</v>
      </c>
      <c r="AI348">
        <v>0</v>
      </c>
      <c r="AJ348" t="s">
        <v>65</v>
      </c>
      <c r="AK348" t="s">
        <v>72</v>
      </c>
      <c r="AL348" t="s">
        <v>60</v>
      </c>
      <c r="AM348" t="s">
        <v>61</v>
      </c>
      <c r="AN348">
        <f t="shared" si="5"/>
        <v>4</v>
      </c>
    </row>
    <row r="349" spans="1:40">
      <c r="A349">
        <v>47</v>
      </c>
      <c r="B349" t="s">
        <v>51</v>
      </c>
      <c r="C349" t="s">
        <v>52</v>
      </c>
      <c r="D349">
        <v>1309</v>
      </c>
      <c r="E349" t="s">
        <v>40</v>
      </c>
      <c r="F349">
        <v>4</v>
      </c>
      <c r="G349">
        <v>1</v>
      </c>
      <c r="H349" t="s">
        <v>69</v>
      </c>
      <c r="I349">
        <v>467</v>
      </c>
      <c r="J349">
        <v>2</v>
      </c>
      <c r="K349" t="s">
        <v>54</v>
      </c>
      <c r="L349">
        <v>99</v>
      </c>
      <c r="M349">
        <v>3</v>
      </c>
      <c r="N349">
        <v>2</v>
      </c>
      <c r="O349" t="s">
        <v>82</v>
      </c>
      <c r="P349">
        <v>3</v>
      </c>
      <c r="Q349" t="s">
        <v>44</v>
      </c>
      <c r="R349">
        <v>2976</v>
      </c>
      <c r="S349">
        <v>25751</v>
      </c>
      <c r="T349">
        <v>3</v>
      </c>
      <c r="U349" t="s">
        <v>51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  <c r="AG349" t="s">
        <v>57</v>
      </c>
      <c r="AH349" t="s">
        <v>46</v>
      </c>
      <c r="AI349">
        <v>0</v>
      </c>
      <c r="AJ349" t="s">
        <v>65</v>
      </c>
      <c r="AK349" t="s">
        <v>59</v>
      </c>
      <c r="AL349" t="s">
        <v>66</v>
      </c>
      <c r="AM349" t="s">
        <v>61</v>
      </c>
      <c r="AN349">
        <f t="shared" si="5"/>
        <v>0</v>
      </c>
    </row>
    <row r="350" spans="1:40">
      <c r="A350">
        <v>42</v>
      </c>
      <c r="B350" t="s">
        <v>51</v>
      </c>
      <c r="C350" t="s">
        <v>39</v>
      </c>
      <c r="D350">
        <v>810</v>
      </c>
      <c r="E350" t="s">
        <v>53</v>
      </c>
      <c r="F350">
        <v>23</v>
      </c>
      <c r="G350">
        <v>5</v>
      </c>
      <c r="H350" t="s">
        <v>41</v>
      </c>
      <c r="I350">
        <v>468</v>
      </c>
      <c r="J350">
        <v>1</v>
      </c>
      <c r="K350" t="s">
        <v>42</v>
      </c>
      <c r="L350">
        <v>44</v>
      </c>
      <c r="M350">
        <v>3</v>
      </c>
      <c r="N350">
        <v>4</v>
      </c>
      <c r="O350" t="s">
        <v>83</v>
      </c>
      <c r="P350">
        <v>4</v>
      </c>
      <c r="Q350" t="s">
        <v>44</v>
      </c>
      <c r="R350">
        <v>15992</v>
      </c>
      <c r="S350">
        <v>15901</v>
      </c>
      <c r="T350">
        <v>2</v>
      </c>
      <c r="U350" t="s">
        <v>51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  <c r="AG350" t="s">
        <v>45</v>
      </c>
      <c r="AH350" t="s">
        <v>46</v>
      </c>
      <c r="AI350">
        <v>0</v>
      </c>
      <c r="AJ350" t="s">
        <v>65</v>
      </c>
      <c r="AK350" t="s">
        <v>87</v>
      </c>
      <c r="AL350" t="s">
        <v>49</v>
      </c>
      <c r="AM350" t="s">
        <v>61</v>
      </c>
      <c r="AN350">
        <f t="shared" si="5"/>
        <v>-3</v>
      </c>
    </row>
    <row r="351" spans="1:40">
      <c r="A351">
        <v>29</v>
      </c>
      <c r="B351" t="s">
        <v>51</v>
      </c>
      <c r="C351" t="s">
        <v>77</v>
      </c>
      <c r="D351">
        <v>746</v>
      </c>
      <c r="E351" t="s">
        <v>40</v>
      </c>
      <c r="F351">
        <v>2</v>
      </c>
      <c r="G351">
        <v>3</v>
      </c>
      <c r="H351" t="s">
        <v>41</v>
      </c>
      <c r="I351">
        <v>469</v>
      </c>
      <c r="J351">
        <v>4</v>
      </c>
      <c r="K351" t="s">
        <v>54</v>
      </c>
      <c r="L351">
        <v>61</v>
      </c>
      <c r="M351">
        <v>3</v>
      </c>
      <c r="N351">
        <v>2</v>
      </c>
      <c r="O351" t="s">
        <v>43</v>
      </c>
      <c r="P351">
        <v>3</v>
      </c>
      <c r="Q351" t="s">
        <v>56</v>
      </c>
      <c r="R351">
        <v>4649</v>
      </c>
      <c r="S351">
        <v>16928</v>
      </c>
      <c r="T351">
        <v>1</v>
      </c>
      <c r="U351" t="s">
        <v>51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  <c r="AG351" t="s">
        <v>67</v>
      </c>
      <c r="AH351" t="s">
        <v>46</v>
      </c>
      <c r="AI351">
        <v>0</v>
      </c>
      <c r="AJ351" t="s">
        <v>47</v>
      </c>
      <c r="AK351" t="s">
        <v>72</v>
      </c>
      <c r="AL351" t="s">
        <v>66</v>
      </c>
      <c r="AM351" t="s">
        <v>70</v>
      </c>
      <c r="AN351">
        <f t="shared" si="5"/>
        <v>2</v>
      </c>
    </row>
    <row r="352" spans="1:40">
      <c r="A352">
        <v>42</v>
      </c>
      <c r="B352" t="s">
        <v>51</v>
      </c>
      <c r="C352" t="s">
        <v>39</v>
      </c>
      <c r="D352">
        <v>544</v>
      </c>
      <c r="E352" t="s">
        <v>88</v>
      </c>
      <c r="F352">
        <v>2</v>
      </c>
      <c r="G352">
        <v>1</v>
      </c>
      <c r="H352" t="s">
        <v>86</v>
      </c>
      <c r="I352">
        <v>470</v>
      </c>
      <c r="J352">
        <v>3</v>
      </c>
      <c r="K352" t="s">
        <v>54</v>
      </c>
      <c r="L352">
        <v>52</v>
      </c>
      <c r="M352">
        <v>3</v>
      </c>
      <c r="N352">
        <v>1</v>
      </c>
      <c r="O352" t="s">
        <v>88</v>
      </c>
      <c r="P352">
        <v>3</v>
      </c>
      <c r="Q352" t="s">
        <v>74</v>
      </c>
      <c r="R352">
        <v>2696</v>
      </c>
      <c r="S352">
        <v>24017</v>
      </c>
      <c r="T352">
        <v>0</v>
      </c>
      <c r="U352" t="s">
        <v>38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  <c r="AG352" t="s">
        <v>45</v>
      </c>
      <c r="AH352" t="s">
        <v>46</v>
      </c>
      <c r="AI352">
        <v>0</v>
      </c>
      <c r="AJ352" t="s">
        <v>65</v>
      </c>
      <c r="AK352" t="s">
        <v>59</v>
      </c>
      <c r="AL352" t="s">
        <v>66</v>
      </c>
      <c r="AM352" t="s">
        <v>61</v>
      </c>
      <c r="AN352">
        <f t="shared" si="5"/>
        <v>1</v>
      </c>
    </row>
    <row r="353" spans="1:40">
      <c r="A353">
        <v>32</v>
      </c>
      <c r="B353" t="s">
        <v>51</v>
      </c>
      <c r="C353" t="s">
        <v>39</v>
      </c>
      <c r="D353">
        <v>1062</v>
      </c>
      <c r="E353" t="s">
        <v>53</v>
      </c>
      <c r="F353">
        <v>2</v>
      </c>
      <c r="G353">
        <v>3</v>
      </c>
      <c r="H353" t="s">
        <v>69</v>
      </c>
      <c r="I353">
        <v>471</v>
      </c>
      <c r="J353">
        <v>3</v>
      </c>
      <c r="K353" t="s">
        <v>42</v>
      </c>
      <c r="L353">
        <v>75</v>
      </c>
      <c r="M353">
        <v>3</v>
      </c>
      <c r="N353">
        <v>1</v>
      </c>
      <c r="O353" t="s">
        <v>63</v>
      </c>
      <c r="P353">
        <v>2</v>
      </c>
      <c r="Q353" t="s">
        <v>56</v>
      </c>
      <c r="R353">
        <v>2370</v>
      </c>
      <c r="S353">
        <v>3956</v>
      </c>
      <c r="T353">
        <v>1</v>
      </c>
      <c r="U353" t="s">
        <v>51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  <c r="AG353" t="s">
        <v>67</v>
      </c>
      <c r="AH353" t="s">
        <v>81</v>
      </c>
      <c r="AI353">
        <v>0</v>
      </c>
      <c r="AJ353" t="s">
        <v>58</v>
      </c>
      <c r="AK353" t="s">
        <v>72</v>
      </c>
      <c r="AL353" t="s">
        <v>60</v>
      </c>
      <c r="AM353" t="s">
        <v>61</v>
      </c>
      <c r="AN353">
        <f t="shared" si="5"/>
        <v>3</v>
      </c>
    </row>
    <row r="354" spans="1:40">
      <c r="A354">
        <v>48</v>
      </c>
      <c r="B354" t="s">
        <v>51</v>
      </c>
      <c r="C354" t="s">
        <v>39</v>
      </c>
      <c r="D354">
        <v>530</v>
      </c>
      <c r="E354" t="s">
        <v>40</v>
      </c>
      <c r="F354">
        <v>29</v>
      </c>
      <c r="G354">
        <v>1</v>
      </c>
      <c r="H354" t="s">
        <v>69</v>
      </c>
      <c r="I354">
        <v>473</v>
      </c>
      <c r="J354">
        <v>1</v>
      </c>
      <c r="K354" t="s">
        <v>42</v>
      </c>
      <c r="L354">
        <v>91</v>
      </c>
      <c r="M354">
        <v>3</v>
      </c>
      <c r="N354">
        <v>3</v>
      </c>
      <c r="O354" t="s">
        <v>79</v>
      </c>
      <c r="P354">
        <v>3</v>
      </c>
      <c r="Q354" t="s">
        <v>56</v>
      </c>
      <c r="R354">
        <v>12504</v>
      </c>
      <c r="S354">
        <v>23978</v>
      </c>
      <c r="T354">
        <v>3</v>
      </c>
      <c r="U354" t="s">
        <v>51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  <c r="AG354" t="s">
        <v>57</v>
      </c>
      <c r="AH354" t="s">
        <v>46</v>
      </c>
      <c r="AI354">
        <v>0</v>
      </c>
      <c r="AJ354" t="s">
        <v>47</v>
      </c>
      <c r="AK354" t="s">
        <v>59</v>
      </c>
      <c r="AL354" t="s">
        <v>66</v>
      </c>
      <c r="AM354" t="s">
        <v>50</v>
      </c>
      <c r="AN354">
        <f t="shared" si="5"/>
        <v>4</v>
      </c>
    </row>
    <row r="355" spans="1:40">
      <c r="A355">
        <v>37</v>
      </c>
      <c r="B355" t="s">
        <v>51</v>
      </c>
      <c r="C355" t="s">
        <v>39</v>
      </c>
      <c r="D355">
        <v>1319</v>
      </c>
      <c r="E355" t="s">
        <v>53</v>
      </c>
      <c r="F355">
        <v>6</v>
      </c>
      <c r="G355">
        <v>3</v>
      </c>
      <c r="H355" t="s">
        <v>69</v>
      </c>
      <c r="I355">
        <v>474</v>
      </c>
      <c r="J355">
        <v>3</v>
      </c>
      <c r="K355" t="s">
        <v>54</v>
      </c>
      <c r="L355">
        <v>51</v>
      </c>
      <c r="M355">
        <v>4</v>
      </c>
      <c r="N355">
        <v>2</v>
      </c>
      <c r="O355" t="s">
        <v>55</v>
      </c>
      <c r="P355">
        <v>1</v>
      </c>
      <c r="Q355" t="s">
        <v>74</v>
      </c>
      <c r="R355">
        <v>5974</v>
      </c>
      <c r="S355">
        <v>17001</v>
      </c>
      <c r="T355">
        <v>4</v>
      </c>
      <c r="U355" t="s">
        <v>38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  <c r="AG355" t="s">
        <v>45</v>
      </c>
      <c r="AH355" t="s">
        <v>46</v>
      </c>
      <c r="AI355">
        <v>0</v>
      </c>
      <c r="AJ355" t="s">
        <v>58</v>
      </c>
      <c r="AK355" t="s">
        <v>72</v>
      </c>
      <c r="AL355" t="s">
        <v>73</v>
      </c>
      <c r="AM355" t="s">
        <v>61</v>
      </c>
      <c r="AN355">
        <f t="shared" si="5"/>
        <v>12</v>
      </c>
    </row>
    <row r="356" spans="1:40">
      <c r="A356">
        <v>30</v>
      </c>
      <c r="B356" t="s">
        <v>51</v>
      </c>
      <c r="C356" t="s">
        <v>77</v>
      </c>
      <c r="D356">
        <v>641</v>
      </c>
      <c r="E356" t="s">
        <v>40</v>
      </c>
      <c r="F356">
        <v>25</v>
      </c>
      <c r="G356">
        <v>2</v>
      </c>
      <c r="H356" t="s">
        <v>86</v>
      </c>
      <c r="I356">
        <v>475</v>
      </c>
      <c r="J356">
        <v>4</v>
      </c>
      <c r="K356" t="s">
        <v>42</v>
      </c>
      <c r="L356">
        <v>85</v>
      </c>
      <c r="M356">
        <v>3</v>
      </c>
      <c r="N356">
        <v>2</v>
      </c>
      <c r="O356" t="s">
        <v>43</v>
      </c>
      <c r="P356">
        <v>3</v>
      </c>
      <c r="Q356" t="s">
        <v>56</v>
      </c>
      <c r="R356">
        <v>4736</v>
      </c>
      <c r="S356">
        <v>6069</v>
      </c>
      <c r="T356">
        <v>7</v>
      </c>
      <c r="U356" t="s">
        <v>38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  <c r="AG356" t="s">
        <v>67</v>
      </c>
      <c r="AH356" t="s">
        <v>71</v>
      </c>
      <c r="AI356">
        <v>0</v>
      </c>
      <c r="AJ356" t="s">
        <v>65</v>
      </c>
      <c r="AK356" t="s">
        <v>48</v>
      </c>
      <c r="AL356" t="s">
        <v>66</v>
      </c>
      <c r="AM356" t="s">
        <v>85</v>
      </c>
      <c r="AN356">
        <f t="shared" si="5"/>
        <v>0</v>
      </c>
    </row>
    <row r="357" spans="1:40">
      <c r="A357">
        <v>26</v>
      </c>
      <c r="B357" t="s">
        <v>51</v>
      </c>
      <c r="C357" t="s">
        <v>39</v>
      </c>
      <c r="D357">
        <v>933</v>
      </c>
      <c r="E357" t="s">
        <v>40</v>
      </c>
      <c r="F357">
        <v>1</v>
      </c>
      <c r="G357">
        <v>3</v>
      </c>
      <c r="H357" t="s">
        <v>41</v>
      </c>
      <c r="I357">
        <v>476</v>
      </c>
      <c r="J357">
        <v>3</v>
      </c>
      <c r="K357" t="s">
        <v>54</v>
      </c>
      <c r="L357">
        <v>57</v>
      </c>
      <c r="M357">
        <v>3</v>
      </c>
      <c r="N357">
        <v>2</v>
      </c>
      <c r="O357" t="s">
        <v>43</v>
      </c>
      <c r="P357">
        <v>3</v>
      </c>
      <c r="Q357" t="s">
        <v>56</v>
      </c>
      <c r="R357">
        <v>5296</v>
      </c>
      <c r="S357">
        <v>20156</v>
      </c>
      <c r="T357">
        <v>1</v>
      </c>
      <c r="U357" t="s">
        <v>51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  <c r="AG357" t="s">
        <v>67</v>
      </c>
      <c r="AH357" t="s">
        <v>46</v>
      </c>
      <c r="AI357">
        <v>0</v>
      </c>
      <c r="AJ357" t="s">
        <v>58</v>
      </c>
      <c r="AK357" t="s">
        <v>72</v>
      </c>
      <c r="AL357" t="s">
        <v>66</v>
      </c>
      <c r="AM357" t="s">
        <v>61</v>
      </c>
      <c r="AN357">
        <f t="shared" si="5"/>
        <v>7</v>
      </c>
    </row>
    <row r="358" spans="1:40">
      <c r="A358">
        <v>42</v>
      </c>
      <c r="B358" t="s">
        <v>51</v>
      </c>
      <c r="C358" t="s">
        <v>39</v>
      </c>
      <c r="D358">
        <v>1332</v>
      </c>
      <c r="E358" t="s">
        <v>53</v>
      </c>
      <c r="F358">
        <v>2</v>
      </c>
      <c r="G358">
        <v>4</v>
      </c>
      <c r="H358" t="s">
        <v>62</v>
      </c>
      <c r="I358">
        <v>477</v>
      </c>
      <c r="J358">
        <v>1</v>
      </c>
      <c r="K358" t="s">
        <v>54</v>
      </c>
      <c r="L358">
        <v>98</v>
      </c>
      <c r="M358">
        <v>2</v>
      </c>
      <c r="N358">
        <v>2</v>
      </c>
      <c r="O358" t="s">
        <v>76</v>
      </c>
      <c r="P358">
        <v>4</v>
      </c>
      <c r="Q358" t="s">
        <v>44</v>
      </c>
      <c r="R358">
        <v>6781</v>
      </c>
      <c r="S358">
        <v>17078</v>
      </c>
      <c r="T358">
        <v>3</v>
      </c>
      <c r="U358" t="s">
        <v>51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  <c r="AG358" t="s">
        <v>45</v>
      </c>
      <c r="AH358" t="s">
        <v>46</v>
      </c>
      <c r="AI358">
        <v>0</v>
      </c>
      <c r="AJ358" t="s">
        <v>65</v>
      </c>
      <c r="AK358" t="s">
        <v>68</v>
      </c>
      <c r="AL358" t="s">
        <v>49</v>
      </c>
      <c r="AM358" t="s">
        <v>61</v>
      </c>
      <c r="AN358">
        <f t="shared" si="5"/>
        <v>-3</v>
      </c>
    </row>
    <row r="359" spans="1:40">
      <c r="A359">
        <v>21</v>
      </c>
      <c r="B359" t="s">
        <v>38</v>
      </c>
      <c r="C359" t="s">
        <v>52</v>
      </c>
      <c r="D359">
        <v>756</v>
      </c>
      <c r="E359" t="s">
        <v>40</v>
      </c>
      <c r="F359">
        <v>1</v>
      </c>
      <c r="G359">
        <v>1</v>
      </c>
      <c r="H359" t="s">
        <v>86</v>
      </c>
      <c r="I359">
        <v>478</v>
      </c>
      <c r="J359">
        <v>1</v>
      </c>
      <c r="K359" t="s">
        <v>42</v>
      </c>
      <c r="L359">
        <v>99</v>
      </c>
      <c r="M359">
        <v>2</v>
      </c>
      <c r="N359">
        <v>1</v>
      </c>
      <c r="O359" t="s">
        <v>82</v>
      </c>
      <c r="P359">
        <v>2</v>
      </c>
      <c r="Q359" t="s">
        <v>44</v>
      </c>
      <c r="R359">
        <v>2174</v>
      </c>
      <c r="S359">
        <v>9150</v>
      </c>
      <c r="T359">
        <v>1</v>
      </c>
      <c r="U359" t="s">
        <v>38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  <c r="AG359" t="s">
        <v>78</v>
      </c>
      <c r="AH359" t="s">
        <v>71</v>
      </c>
      <c r="AI359">
        <v>1</v>
      </c>
      <c r="AJ359" t="s">
        <v>65</v>
      </c>
      <c r="AK359" t="s">
        <v>59</v>
      </c>
      <c r="AL359" t="s">
        <v>60</v>
      </c>
      <c r="AM359" t="s">
        <v>61</v>
      </c>
      <c r="AN359">
        <f t="shared" si="5"/>
        <v>4</v>
      </c>
    </row>
    <row r="360" spans="1:40">
      <c r="A360">
        <v>36</v>
      </c>
      <c r="B360" t="s">
        <v>51</v>
      </c>
      <c r="C360" t="s">
        <v>77</v>
      </c>
      <c r="D360">
        <v>845</v>
      </c>
      <c r="E360" t="s">
        <v>40</v>
      </c>
      <c r="F360">
        <v>1</v>
      </c>
      <c r="G360">
        <v>5</v>
      </c>
      <c r="H360" t="s">
        <v>69</v>
      </c>
      <c r="I360">
        <v>479</v>
      </c>
      <c r="J360">
        <v>4</v>
      </c>
      <c r="K360" t="s">
        <v>42</v>
      </c>
      <c r="L360">
        <v>45</v>
      </c>
      <c r="M360">
        <v>3</v>
      </c>
      <c r="N360">
        <v>2</v>
      </c>
      <c r="O360" t="s">
        <v>43</v>
      </c>
      <c r="P360">
        <v>4</v>
      </c>
      <c r="Q360" t="s">
        <v>44</v>
      </c>
      <c r="R360">
        <v>6653</v>
      </c>
      <c r="S360">
        <v>15276</v>
      </c>
      <c r="T360">
        <v>4</v>
      </c>
      <c r="U360" t="s">
        <v>51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  <c r="AG360" t="s">
        <v>45</v>
      </c>
      <c r="AH360" t="s">
        <v>46</v>
      </c>
      <c r="AI360">
        <v>0</v>
      </c>
      <c r="AJ360" t="s">
        <v>65</v>
      </c>
      <c r="AK360" t="s">
        <v>87</v>
      </c>
      <c r="AL360" t="s">
        <v>49</v>
      </c>
      <c r="AM360" t="s">
        <v>61</v>
      </c>
      <c r="AN360">
        <f t="shared" si="5"/>
        <v>-3</v>
      </c>
    </row>
    <row r="361" spans="1:40">
      <c r="A361">
        <v>36</v>
      </c>
      <c r="B361" t="s">
        <v>51</v>
      </c>
      <c r="C361" t="s">
        <v>52</v>
      </c>
      <c r="D361">
        <v>541</v>
      </c>
      <c r="E361" t="s">
        <v>40</v>
      </c>
      <c r="F361">
        <v>3</v>
      </c>
      <c r="G361">
        <v>4</v>
      </c>
      <c r="H361" t="s">
        <v>69</v>
      </c>
      <c r="I361">
        <v>481</v>
      </c>
      <c r="J361">
        <v>1</v>
      </c>
      <c r="K361" t="s">
        <v>54</v>
      </c>
      <c r="L361">
        <v>48</v>
      </c>
      <c r="M361">
        <v>2</v>
      </c>
      <c r="N361">
        <v>3</v>
      </c>
      <c r="O361" t="s">
        <v>43</v>
      </c>
      <c r="P361">
        <v>4</v>
      </c>
      <c r="Q361" t="s">
        <v>56</v>
      </c>
      <c r="R361">
        <v>9699</v>
      </c>
      <c r="S361">
        <v>7246</v>
      </c>
      <c r="T361">
        <v>4</v>
      </c>
      <c r="U361" t="s">
        <v>51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  <c r="AG361" t="s">
        <v>45</v>
      </c>
      <c r="AH361" t="s">
        <v>71</v>
      </c>
      <c r="AI361">
        <v>0</v>
      </c>
      <c r="AJ361" t="s">
        <v>80</v>
      </c>
      <c r="AK361" t="s">
        <v>68</v>
      </c>
      <c r="AL361" t="s">
        <v>49</v>
      </c>
      <c r="AM361" t="s">
        <v>61</v>
      </c>
      <c r="AN361">
        <f t="shared" si="5"/>
        <v>-2</v>
      </c>
    </row>
    <row r="362" spans="1:40">
      <c r="A362">
        <v>57</v>
      </c>
      <c r="B362" t="s">
        <v>51</v>
      </c>
      <c r="C362" t="s">
        <v>39</v>
      </c>
      <c r="D362">
        <v>593</v>
      </c>
      <c r="E362" t="s">
        <v>53</v>
      </c>
      <c r="F362">
        <v>1</v>
      </c>
      <c r="G362">
        <v>4</v>
      </c>
      <c r="H362" t="s">
        <v>69</v>
      </c>
      <c r="I362">
        <v>482</v>
      </c>
      <c r="J362">
        <v>4</v>
      </c>
      <c r="K362" t="s">
        <v>54</v>
      </c>
      <c r="L362">
        <v>88</v>
      </c>
      <c r="M362">
        <v>3</v>
      </c>
      <c r="N362">
        <v>2</v>
      </c>
      <c r="O362" t="s">
        <v>76</v>
      </c>
      <c r="P362">
        <v>3</v>
      </c>
      <c r="Q362" t="s">
        <v>56</v>
      </c>
      <c r="R362">
        <v>6755</v>
      </c>
      <c r="S362">
        <v>2967</v>
      </c>
      <c r="T362">
        <v>2</v>
      </c>
      <c r="U362" t="s">
        <v>51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  <c r="AG362" t="s">
        <v>57</v>
      </c>
      <c r="AH362" t="s">
        <v>64</v>
      </c>
      <c r="AI362">
        <v>0</v>
      </c>
      <c r="AJ362" t="s">
        <v>65</v>
      </c>
      <c r="AK362" t="s">
        <v>68</v>
      </c>
      <c r="AL362" t="s">
        <v>66</v>
      </c>
      <c r="AM362" t="s">
        <v>61</v>
      </c>
      <c r="AN362">
        <f t="shared" si="5"/>
        <v>1</v>
      </c>
    </row>
    <row r="363" spans="1:40">
      <c r="A363">
        <v>40</v>
      </c>
      <c r="B363" t="s">
        <v>51</v>
      </c>
      <c r="C363" t="s">
        <v>39</v>
      </c>
      <c r="D363">
        <v>1171</v>
      </c>
      <c r="E363" t="s">
        <v>53</v>
      </c>
      <c r="F363">
        <v>10</v>
      </c>
      <c r="G363">
        <v>4</v>
      </c>
      <c r="H363" t="s">
        <v>41</v>
      </c>
      <c r="I363">
        <v>483</v>
      </c>
      <c r="J363">
        <v>4</v>
      </c>
      <c r="K363" t="s">
        <v>42</v>
      </c>
      <c r="L363">
        <v>46</v>
      </c>
      <c r="M363">
        <v>4</v>
      </c>
      <c r="N363">
        <v>1</v>
      </c>
      <c r="O363" t="s">
        <v>63</v>
      </c>
      <c r="P363">
        <v>3</v>
      </c>
      <c r="Q363" t="s">
        <v>56</v>
      </c>
      <c r="R363">
        <v>2213</v>
      </c>
      <c r="S363">
        <v>22495</v>
      </c>
      <c r="T363">
        <v>3</v>
      </c>
      <c r="U363" t="s">
        <v>38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  <c r="AG363" t="s">
        <v>45</v>
      </c>
      <c r="AH363" t="s">
        <v>46</v>
      </c>
      <c r="AI363">
        <v>0</v>
      </c>
      <c r="AJ363" t="s">
        <v>58</v>
      </c>
      <c r="AK363" t="s">
        <v>68</v>
      </c>
      <c r="AL363" t="s">
        <v>66</v>
      </c>
      <c r="AM363" t="s">
        <v>61</v>
      </c>
      <c r="AN363">
        <f t="shared" si="5"/>
        <v>1</v>
      </c>
    </row>
    <row r="364" spans="1:40">
      <c r="A364">
        <v>21</v>
      </c>
      <c r="B364" t="s">
        <v>51</v>
      </c>
      <c r="C364" t="s">
        <v>77</v>
      </c>
      <c r="D364">
        <v>895</v>
      </c>
      <c r="E364" t="s">
        <v>40</v>
      </c>
      <c r="F364">
        <v>9</v>
      </c>
      <c r="G364">
        <v>2</v>
      </c>
      <c r="H364" t="s">
        <v>69</v>
      </c>
      <c r="I364">
        <v>484</v>
      </c>
      <c r="J364">
        <v>1</v>
      </c>
      <c r="K364" t="s">
        <v>54</v>
      </c>
      <c r="L364">
        <v>39</v>
      </c>
      <c r="M364">
        <v>3</v>
      </c>
      <c r="N364">
        <v>1</v>
      </c>
      <c r="O364" t="s">
        <v>82</v>
      </c>
      <c r="P364">
        <v>4</v>
      </c>
      <c r="Q364" t="s">
        <v>44</v>
      </c>
      <c r="R364">
        <v>2610</v>
      </c>
      <c r="S364">
        <v>2851</v>
      </c>
      <c r="T364">
        <v>1</v>
      </c>
      <c r="U364" t="s">
        <v>51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  <c r="AG364" t="s">
        <v>78</v>
      </c>
      <c r="AH364" t="s">
        <v>64</v>
      </c>
      <c r="AI364">
        <v>0</v>
      </c>
      <c r="AJ364" t="s">
        <v>47</v>
      </c>
      <c r="AK364" t="s">
        <v>48</v>
      </c>
      <c r="AL364" t="s">
        <v>49</v>
      </c>
      <c r="AM364" t="s">
        <v>70</v>
      </c>
      <c r="AN364">
        <f t="shared" si="5"/>
        <v>1</v>
      </c>
    </row>
    <row r="365" spans="1:40">
      <c r="A365">
        <v>33</v>
      </c>
      <c r="B365" t="s">
        <v>38</v>
      </c>
      <c r="C365" t="s">
        <v>39</v>
      </c>
      <c r="D365">
        <v>350</v>
      </c>
      <c r="E365" t="s">
        <v>40</v>
      </c>
      <c r="F365">
        <v>5</v>
      </c>
      <c r="G365">
        <v>3</v>
      </c>
      <c r="H365" t="s">
        <v>84</v>
      </c>
      <c r="I365">
        <v>485</v>
      </c>
      <c r="J365">
        <v>4</v>
      </c>
      <c r="K365" t="s">
        <v>42</v>
      </c>
      <c r="L365">
        <v>34</v>
      </c>
      <c r="M365">
        <v>3</v>
      </c>
      <c r="N365">
        <v>1</v>
      </c>
      <c r="O365" t="s">
        <v>82</v>
      </c>
      <c r="P365">
        <v>3</v>
      </c>
      <c r="Q365" t="s">
        <v>44</v>
      </c>
      <c r="R365">
        <v>2851</v>
      </c>
      <c r="S365">
        <v>9150</v>
      </c>
      <c r="T365">
        <v>1</v>
      </c>
      <c r="U365" t="s">
        <v>38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  <c r="AG365" t="s">
        <v>67</v>
      </c>
      <c r="AH365" t="s">
        <v>71</v>
      </c>
      <c r="AI365">
        <v>1</v>
      </c>
      <c r="AJ365" t="s">
        <v>65</v>
      </c>
      <c r="AK365" t="s">
        <v>72</v>
      </c>
      <c r="AL365" t="s">
        <v>66</v>
      </c>
      <c r="AM365" t="s">
        <v>61</v>
      </c>
      <c r="AN365">
        <f t="shared" si="5"/>
        <v>0</v>
      </c>
    </row>
    <row r="366" spans="1:40">
      <c r="A366">
        <v>37</v>
      </c>
      <c r="B366" t="s">
        <v>51</v>
      </c>
      <c r="C366" t="s">
        <v>39</v>
      </c>
      <c r="D366">
        <v>921</v>
      </c>
      <c r="E366" t="s">
        <v>53</v>
      </c>
      <c r="F366">
        <v>10</v>
      </c>
      <c r="G366">
        <v>3</v>
      </c>
      <c r="H366" t="s">
        <v>69</v>
      </c>
      <c r="I366">
        <v>486</v>
      </c>
      <c r="J366">
        <v>3</v>
      </c>
      <c r="K366" t="s">
        <v>42</v>
      </c>
      <c r="L366">
        <v>98</v>
      </c>
      <c r="M366">
        <v>3</v>
      </c>
      <c r="N366">
        <v>1</v>
      </c>
      <c r="O366" t="s">
        <v>63</v>
      </c>
      <c r="P366">
        <v>1</v>
      </c>
      <c r="Q366" t="s">
        <v>56</v>
      </c>
      <c r="R366">
        <v>3452</v>
      </c>
      <c r="S366">
        <v>17663</v>
      </c>
      <c r="T366">
        <v>6</v>
      </c>
      <c r="U366" t="s">
        <v>51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  <c r="AG366" t="s">
        <v>45</v>
      </c>
      <c r="AH366" t="s">
        <v>46</v>
      </c>
      <c r="AI366">
        <v>0</v>
      </c>
      <c r="AJ366" t="s">
        <v>65</v>
      </c>
      <c r="AK366" t="s">
        <v>72</v>
      </c>
      <c r="AL366" t="s">
        <v>73</v>
      </c>
      <c r="AM366" t="s">
        <v>61</v>
      </c>
      <c r="AN366">
        <f t="shared" si="5"/>
        <v>6</v>
      </c>
    </row>
    <row r="367" spans="1:40">
      <c r="A367">
        <v>46</v>
      </c>
      <c r="B367" t="s">
        <v>51</v>
      </c>
      <c r="C367" t="s">
        <v>77</v>
      </c>
      <c r="D367">
        <v>1144</v>
      </c>
      <c r="E367" t="s">
        <v>53</v>
      </c>
      <c r="F367">
        <v>7</v>
      </c>
      <c r="G367">
        <v>4</v>
      </c>
      <c r="H367" t="s">
        <v>69</v>
      </c>
      <c r="I367">
        <v>487</v>
      </c>
      <c r="J367">
        <v>3</v>
      </c>
      <c r="K367" t="s">
        <v>42</v>
      </c>
      <c r="L367">
        <v>30</v>
      </c>
      <c r="M367">
        <v>3</v>
      </c>
      <c r="N367">
        <v>2</v>
      </c>
      <c r="O367" t="s">
        <v>75</v>
      </c>
      <c r="P367">
        <v>3</v>
      </c>
      <c r="Q367" t="s">
        <v>56</v>
      </c>
      <c r="R367">
        <v>5258</v>
      </c>
      <c r="S367">
        <v>16044</v>
      </c>
      <c r="T367">
        <v>2</v>
      </c>
      <c r="U367" t="s">
        <v>51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  <c r="AG367" t="s">
        <v>57</v>
      </c>
      <c r="AH367" t="s">
        <v>46</v>
      </c>
      <c r="AI367">
        <v>0</v>
      </c>
      <c r="AJ367" t="s">
        <v>65</v>
      </c>
      <c r="AK367" t="s">
        <v>68</v>
      </c>
      <c r="AL367" t="s">
        <v>66</v>
      </c>
      <c r="AM367" t="s">
        <v>85</v>
      </c>
      <c r="AN367">
        <f t="shared" si="5"/>
        <v>-2</v>
      </c>
    </row>
    <row r="368" spans="1:40">
      <c r="A368">
        <v>41</v>
      </c>
      <c r="B368" t="s">
        <v>38</v>
      </c>
      <c r="C368" t="s">
        <v>52</v>
      </c>
      <c r="D368">
        <v>143</v>
      </c>
      <c r="E368" t="s">
        <v>40</v>
      </c>
      <c r="F368">
        <v>4</v>
      </c>
      <c r="G368">
        <v>3</v>
      </c>
      <c r="H368" t="s">
        <v>84</v>
      </c>
      <c r="I368">
        <v>488</v>
      </c>
      <c r="J368">
        <v>1</v>
      </c>
      <c r="K368" t="s">
        <v>54</v>
      </c>
      <c r="L368">
        <v>56</v>
      </c>
      <c r="M368">
        <v>3</v>
      </c>
      <c r="N368">
        <v>2</v>
      </c>
      <c r="O368" t="s">
        <v>43</v>
      </c>
      <c r="P368">
        <v>2</v>
      </c>
      <c r="Q368" t="s">
        <v>44</v>
      </c>
      <c r="R368">
        <v>9355</v>
      </c>
      <c r="S368">
        <v>9558</v>
      </c>
      <c r="T368">
        <v>1</v>
      </c>
      <c r="U368" t="s">
        <v>51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  <c r="AG368" t="s">
        <v>45</v>
      </c>
      <c r="AH368" t="s">
        <v>71</v>
      </c>
      <c r="AI368">
        <v>1</v>
      </c>
      <c r="AJ368" t="s">
        <v>58</v>
      </c>
      <c r="AK368" t="s">
        <v>72</v>
      </c>
      <c r="AL368" t="s">
        <v>60</v>
      </c>
      <c r="AM368" t="s">
        <v>61</v>
      </c>
      <c r="AN368">
        <f t="shared" si="5"/>
        <v>10</v>
      </c>
    </row>
    <row r="369" spans="1:40">
      <c r="A369">
        <v>50</v>
      </c>
      <c r="B369" t="s">
        <v>51</v>
      </c>
      <c r="C369" t="s">
        <v>39</v>
      </c>
      <c r="D369">
        <v>1046</v>
      </c>
      <c r="E369" t="s">
        <v>53</v>
      </c>
      <c r="F369">
        <v>10</v>
      </c>
      <c r="G369">
        <v>3</v>
      </c>
      <c r="H369" t="s">
        <v>86</v>
      </c>
      <c r="I369">
        <v>491</v>
      </c>
      <c r="J369">
        <v>4</v>
      </c>
      <c r="K369" t="s">
        <v>54</v>
      </c>
      <c r="L369">
        <v>100</v>
      </c>
      <c r="M369">
        <v>2</v>
      </c>
      <c r="N369">
        <v>3</v>
      </c>
      <c r="O369" t="s">
        <v>76</v>
      </c>
      <c r="P369">
        <v>4</v>
      </c>
      <c r="Q369" t="s">
        <v>44</v>
      </c>
      <c r="R369">
        <v>10496</v>
      </c>
      <c r="S369">
        <v>2755</v>
      </c>
      <c r="T369">
        <v>6</v>
      </c>
      <c r="U369" t="s">
        <v>51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  <c r="AG369" t="s">
        <v>57</v>
      </c>
      <c r="AH369" t="s">
        <v>64</v>
      </c>
      <c r="AI369">
        <v>0</v>
      </c>
      <c r="AJ369" t="s">
        <v>65</v>
      </c>
      <c r="AK369" t="s">
        <v>72</v>
      </c>
      <c r="AL369" t="s">
        <v>49</v>
      </c>
      <c r="AM369" t="s">
        <v>61</v>
      </c>
      <c r="AN369">
        <f t="shared" si="5"/>
        <v>-2</v>
      </c>
    </row>
    <row r="370" spans="1:40">
      <c r="A370">
        <v>40</v>
      </c>
      <c r="B370" t="s">
        <v>38</v>
      </c>
      <c r="C370" t="s">
        <v>39</v>
      </c>
      <c r="D370">
        <v>575</v>
      </c>
      <c r="E370" t="s">
        <v>40</v>
      </c>
      <c r="F370">
        <v>22</v>
      </c>
      <c r="G370">
        <v>2</v>
      </c>
      <c r="H370" t="s">
        <v>84</v>
      </c>
      <c r="I370">
        <v>492</v>
      </c>
      <c r="J370">
        <v>3</v>
      </c>
      <c r="K370" t="s">
        <v>54</v>
      </c>
      <c r="L370">
        <v>68</v>
      </c>
      <c r="M370">
        <v>2</v>
      </c>
      <c r="N370">
        <v>2</v>
      </c>
      <c r="O370" t="s">
        <v>43</v>
      </c>
      <c r="P370">
        <v>3</v>
      </c>
      <c r="Q370" t="s">
        <v>56</v>
      </c>
      <c r="R370">
        <v>6380</v>
      </c>
      <c r="S370">
        <v>6110</v>
      </c>
      <c r="T370">
        <v>2</v>
      </c>
      <c r="U370" t="s">
        <v>38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  <c r="AG370" t="s">
        <v>45</v>
      </c>
      <c r="AH370" t="s">
        <v>71</v>
      </c>
      <c r="AI370">
        <v>1</v>
      </c>
      <c r="AJ370" t="s">
        <v>58</v>
      </c>
      <c r="AK370" t="s">
        <v>48</v>
      </c>
      <c r="AL370" t="s">
        <v>66</v>
      </c>
      <c r="AM370" t="s">
        <v>61</v>
      </c>
      <c r="AN370">
        <f t="shared" si="5"/>
        <v>1</v>
      </c>
    </row>
    <row r="371" spans="1:40">
      <c r="A371">
        <v>31</v>
      </c>
      <c r="B371" t="s">
        <v>51</v>
      </c>
      <c r="C371" t="s">
        <v>39</v>
      </c>
      <c r="D371">
        <v>408</v>
      </c>
      <c r="E371" t="s">
        <v>53</v>
      </c>
      <c r="F371">
        <v>9</v>
      </c>
      <c r="G371">
        <v>4</v>
      </c>
      <c r="H371" t="s">
        <v>41</v>
      </c>
      <c r="I371">
        <v>493</v>
      </c>
      <c r="J371">
        <v>3</v>
      </c>
      <c r="K371" t="s">
        <v>54</v>
      </c>
      <c r="L371">
        <v>42</v>
      </c>
      <c r="M371">
        <v>2</v>
      </c>
      <c r="N371">
        <v>1</v>
      </c>
      <c r="O371" t="s">
        <v>55</v>
      </c>
      <c r="P371">
        <v>2</v>
      </c>
      <c r="Q371" t="s">
        <v>44</v>
      </c>
      <c r="R371">
        <v>2657</v>
      </c>
      <c r="S371">
        <v>7551</v>
      </c>
      <c r="T371">
        <v>0</v>
      </c>
      <c r="U371" t="s">
        <v>38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  <c r="AG371" t="s">
        <v>67</v>
      </c>
      <c r="AH371" t="s">
        <v>71</v>
      </c>
      <c r="AI371">
        <v>0</v>
      </c>
      <c r="AJ371" t="s">
        <v>65</v>
      </c>
      <c r="AK371" t="s">
        <v>68</v>
      </c>
      <c r="AL371" t="s">
        <v>60</v>
      </c>
      <c r="AM371" t="s">
        <v>61</v>
      </c>
      <c r="AN371">
        <f t="shared" si="5"/>
        <v>5</v>
      </c>
    </row>
    <row r="372" spans="1:40">
      <c r="A372">
        <v>21</v>
      </c>
      <c r="B372" t="s">
        <v>38</v>
      </c>
      <c r="C372" t="s">
        <v>39</v>
      </c>
      <c r="D372">
        <v>156</v>
      </c>
      <c r="E372" t="s">
        <v>40</v>
      </c>
      <c r="F372">
        <v>12</v>
      </c>
      <c r="G372">
        <v>3</v>
      </c>
      <c r="H372" t="s">
        <v>41</v>
      </c>
      <c r="I372">
        <v>494</v>
      </c>
      <c r="J372">
        <v>3</v>
      </c>
      <c r="K372" t="s">
        <v>42</v>
      </c>
      <c r="L372">
        <v>90</v>
      </c>
      <c r="M372">
        <v>4</v>
      </c>
      <c r="N372">
        <v>1</v>
      </c>
      <c r="O372" t="s">
        <v>82</v>
      </c>
      <c r="P372">
        <v>2</v>
      </c>
      <c r="Q372" t="s">
        <v>44</v>
      </c>
      <c r="R372">
        <v>2716</v>
      </c>
      <c r="S372">
        <v>25422</v>
      </c>
      <c r="T372">
        <v>1</v>
      </c>
      <c r="U372" t="s">
        <v>51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  <c r="AG372" t="s">
        <v>78</v>
      </c>
      <c r="AH372" t="s">
        <v>46</v>
      </c>
      <c r="AI372">
        <v>1</v>
      </c>
      <c r="AJ372" t="s">
        <v>65</v>
      </c>
      <c r="AK372" t="s">
        <v>72</v>
      </c>
      <c r="AL372" t="s">
        <v>60</v>
      </c>
      <c r="AM372" t="s">
        <v>61</v>
      </c>
      <c r="AN372">
        <f t="shared" si="5"/>
        <v>3</v>
      </c>
    </row>
    <row r="373" spans="1:40">
      <c r="A373">
        <v>29</v>
      </c>
      <c r="B373" t="s">
        <v>51</v>
      </c>
      <c r="C373" t="s">
        <v>39</v>
      </c>
      <c r="D373">
        <v>1283</v>
      </c>
      <c r="E373" t="s">
        <v>53</v>
      </c>
      <c r="F373">
        <v>23</v>
      </c>
      <c r="G373">
        <v>3</v>
      </c>
      <c r="H373" t="s">
        <v>41</v>
      </c>
      <c r="I373">
        <v>495</v>
      </c>
      <c r="J373">
        <v>4</v>
      </c>
      <c r="K373" t="s">
        <v>54</v>
      </c>
      <c r="L373">
        <v>54</v>
      </c>
      <c r="M373">
        <v>3</v>
      </c>
      <c r="N373">
        <v>1</v>
      </c>
      <c r="O373" t="s">
        <v>55</v>
      </c>
      <c r="P373">
        <v>4</v>
      </c>
      <c r="Q373" t="s">
        <v>44</v>
      </c>
      <c r="R373">
        <v>2201</v>
      </c>
      <c r="S373">
        <v>18168</v>
      </c>
      <c r="T373">
        <v>9</v>
      </c>
      <c r="U373" t="s">
        <v>51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  <c r="AG373" t="s">
        <v>67</v>
      </c>
      <c r="AH373" t="s">
        <v>46</v>
      </c>
      <c r="AI373">
        <v>0</v>
      </c>
      <c r="AJ373" t="s">
        <v>65</v>
      </c>
      <c r="AK373" t="s">
        <v>72</v>
      </c>
      <c r="AL373" t="s">
        <v>49</v>
      </c>
      <c r="AM373" t="s">
        <v>61</v>
      </c>
      <c r="AN373">
        <f t="shared" si="5"/>
        <v>-2</v>
      </c>
    </row>
    <row r="374" spans="1:40">
      <c r="A374">
        <v>35</v>
      </c>
      <c r="B374" t="s">
        <v>51</v>
      </c>
      <c r="C374" t="s">
        <v>39</v>
      </c>
      <c r="D374">
        <v>755</v>
      </c>
      <c r="E374" t="s">
        <v>53</v>
      </c>
      <c r="F374">
        <v>9</v>
      </c>
      <c r="G374">
        <v>4</v>
      </c>
      <c r="H374" t="s">
        <v>41</v>
      </c>
      <c r="I374">
        <v>496</v>
      </c>
      <c r="J374">
        <v>3</v>
      </c>
      <c r="K374" t="s">
        <v>54</v>
      </c>
      <c r="L374">
        <v>97</v>
      </c>
      <c r="M374">
        <v>2</v>
      </c>
      <c r="N374">
        <v>2</v>
      </c>
      <c r="O374" t="s">
        <v>76</v>
      </c>
      <c r="P374">
        <v>2</v>
      </c>
      <c r="Q374" t="s">
        <v>44</v>
      </c>
      <c r="R374">
        <v>6540</v>
      </c>
      <c r="S374">
        <v>19394</v>
      </c>
      <c r="T374">
        <v>9</v>
      </c>
      <c r="U374" t="s">
        <v>51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  <c r="AG374" t="s">
        <v>67</v>
      </c>
      <c r="AH374" t="s">
        <v>46</v>
      </c>
      <c r="AI374">
        <v>0</v>
      </c>
      <c r="AJ374" t="s">
        <v>65</v>
      </c>
      <c r="AK374" t="s">
        <v>68</v>
      </c>
      <c r="AL374" t="s">
        <v>60</v>
      </c>
      <c r="AM374" t="s">
        <v>61</v>
      </c>
      <c r="AN374">
        <f t="shared" si="5"/>
        <v>3</v>
      </c>
    </row>
    <row r="375" spans="1:40">
      <c r="A375">
        <v>27</v>
      </c>
      <c r="B375" t="s">
        <v>51</v>
      </c>
      <c r="C375" t="s">
        <v>39</v>
      </c>
      <c r="D375">
        <v>1469</v>
      </c>
      <c r="E375" t="s">
        <v>53</v>
      </c>
      <c r="F375">
        <v>1</v>
      </c>
      <c r="G375">
        <v>2</v>
      </c>
      <c r="H375" t="s">
        <v>69</v>
      </c>
      <c r="I375">
        <v>497</v>
      </c>
      <c r="J375">
        <v>4</v>
      </c>
      <c r="K375" t="s">
        <v>54</v>
      </c>
      <c r="L375">
        <v>82</v>
      </c>
      <c r="M375">
        <v>3</v>
      </c>
      <c r="N375">
        <v>1</v>
      </c>
      <c r="O375" t="s">
        <v>63</v>
      </c>
      <c r="P375">
        <v>2</v>
      </c>
      <c r="Q375" t="s">
        <v>74</v>
      </c>
      <c r="R375">
        <v>3816</v>
      </c>
      <c r="S375">
        <v>17881</v>
      </c>
      <c r="T375">
        <v>1</v>
      </c>
      <c r="U375" t="s">
        <v>51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  <c r="AG375" t="s">
        <v>67</v>
      </c>
      <c r="AH375" t="s">
        <v>46</v>
      </c>
      <c r="AI375">
        <v>0</v>
      </c>
      <c r="AJ375" t="s">
        <v>65</v>
      </c>
      <c r="AK375" t="s">
        <v>48</v>
      </c>
      <c r="AL375" t="s">
        <v>60</v>
      </c>
      <c r="AM375" t="s">
        <v>61</v>
      </c>
      <c r="AN375">
        <f t="shared" si="5"/>
        <v>3</v>
      </c>
    </row>
    <row r="376" spans="1:40">
      <c r="A376">
        <v>28</v>
      </c>
      <c r="B376" t="s">
        <v>51</v>
      </c>
      <c r="C376" t="s">
        <v>39</v>
      </c>
      <c r="D376">
        <v>304</v>
      </c>
      <c r="E376" t="s">
        <v>40</v>
      </c>
      <c r="F376">
        <v>9</v>
      </c>
      <c r="G376">
        <v>4</v>
      </c>
      <c r="H376" t="s">
        <v>41</v>
      </c>
      <c r="I376">
        <v>498</v>
      </c>
      <c r="J376">
        <v>2</v>
      </c>
      <c r="K376" t="s">
        <v>54</v>
      </c>
      <c r="L376">
        <v>92</v>
      </c>
      <c r="M376">
        <v>3</v>
      </c>
      <c r="N376">
        <v>2</v>
      </c>
      <c r="O376" t="s">
        <v>43</v>
      </c>
      <c r="P376">
        <v>4</v>
      </c>
      <c r="Q376" t="s">
        <v>44</v>
      </c>
      <c r="R376">
        <v>5253</v>
      </c>
      <c r="S376">
        <v>20750</v>
      </c>
      <c r="T376">
        <v>1</v>
      </c>
      <c r="U376" t="s">
        <v>51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  <c r="AG376" t="s">
        <v>67</v>
      </c>
      <c r="AH376" t="s">
        <v>46</v>
      </c>
      <c r="AI376">
        <v>0</v>
      </c>
      <c r="AJ376" t="s">
        <v>58</v>
      </c>
      <c r="AK376" t="s">
        <v>68</v>
      </c>
      <c r="AL376" t="s">
        <v>49</v>
      </c>
      <c r="AM376" t="s">
        <v>61</v>
      </c>
      <c r="AN376">
        <f t="shared" si="5"/>
        <v>-3</v>
      </c>
    </row>
    <row r="377" spans="1:40">
      <c r="A377">
        <v>49</v>
      </c>
      <c r="B377" t="s">
        <v>51</v>
      </c>
      <c r="C377" t="s">
        <v>39</v>
      </c>
      <c r="D377">
        <v>1261</v>
      </c>
      <c r="E377" t="s">
        <v>53</v>
      </c>
      <c r="F377">
        <v>7</v>
      </c>
      <c r="G377">
        <v>3</v>
      </c>
      <c r="H377" t="s">
        <v>62</v>
      </c>
      <c r="I377">
        <v>499</v>
      </c>
      <c r="J377">
        <v>2</v>
      </c>
      <c r="K377" t="s">
        <v>54</v>
      </c>
      <c r="L377">
        <v>31</v>
      </c>
      <c r="M377">
        <v>2</v>
      </c>
      <c r="N377">
        <v>3</v>
      </c>
      <c r="O377" t="s">
        <v>76</v>
      </c>
      <c r="P377">
        <v>3</v>
      </c>
      <c r="Q377" t="s">
        <v>44</v>
      </c>
      <c r="R377">
        <v>10965</v>
      </c>
      <c r="S377">
        <v>12066</v>
      </c>
      <c r="T377">
        <v>8</v>
      </c>
      <c r="U377" t="s">
        <v>51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  <c r="AG377" t="s">
        <v>57</v>
      </c>
      <c r="AH377" t="s">
        <v>46</v>
      </c>
      <c r="AI377">
        <v>0</v>
      </c>
      <c r="AJ377" t="s">
        <v>65</v>
      </c>
      <c r="AK377" t="s">
        <v>72</v>
      </c>
      <c r="AL377" t="s">
        <v>66</v>
      </c>
      <c r="AM377" t="s">
        <v>61</v>
      </c>
      <c r="AN377">
        <f t="shared" si="5"/>
        <v>0</v>
      </c>
    </row>
    <row r="378" spans="1:40">
      <c r="A378">
        <v>51</v>
      </c>
      <c r="B378" t="s">
        <v>51</v>
      </c>
      <c r="C378" t="s">
        <v>39</v>
      </c>
      <c r="D378">
        <v>1178</v>
      </c>
      <c r="E378" t="s">
        <v>40</v>
      </c>
      <c r="F378">
        <v>14</v>
      </c>
      <c r="G378">
        <v>2</v>
      </c>
      <c r="H378" t="s">
        <v>41</v>
      </c>
      <c r="I378">
        <v>500</v>
      </c>
      <c r="J378">
        <v>3</v>
      </c>
      <c r="K378" t="s">
        <v>42</v>
      </c>
      <c r="L378">
        <v>87</v>
      </c>
      <c r="M378">
        <v>3</v>
      </c>
      <c r="N378">
        <v>2</v>
      </c>
      <c r="O378" t="s">
        <v>43</v>
      </c>
      <c r="P378">
        <v>4</v>
      </c>
      <c r="Q378" t="s">
        <v>56</v>
      </c>
      <c r="R378">
        <v>4936</v>
      </c>
      <c r="S378">
        <v>14862</v>
      </c>
      <c r="T378">
        <v>4</v>
      </c>
      <c r="U378" t="s">
        <v>51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  <c r="AG378" t="s">
        <v>57</v>
      </c>
      <c r="AH378" t="s">
        <v>46</v>
      </c>
      <c r="AI378">
        <v>0</v>
      </c>
      <c r="AJ378" t="s">
        <v>47</v>
      </c>
      <c r="AK378" t="s">
        <v>48</v>
      </c>
      <c r="AL378" t="s">
        <v>49</v>
      </c>
      <c r="AM378" t="s">
        <v>70</v>
      </c>
      <c r="AN378">
        <f t="shared" si="5"/>
        <v>-1</v>
      </c>
    </row>
    <row r="379" spans="1:40">
      <c r="A379">
        <v>36</v>
      </c>
      <c r="B379" t="s">
        <v>51</v>
      </c>
      <c r="C379" t="s">
        <v>39</v>
      </c>
      <c r="D379">
        <v>329</v>
      </c>
      <c r="E379" t="s">
        <v>53</v>
      </c>
      <c r="F379">
        <v>2</v>
      </c>
      <c r="G379">
        <v>3</v>
      </c>
      <c r="H379" t="s">
        <v>41</v>
      </c>
      <c r="I379">
        <v>501</v>
      </c>
      <c r="J379">
        <v>4</v>
      </c>
      <c r="K379" t="s">
        <v>42</v>
      </c>
      <c r="L379">
        <v>96</v>
      </c>
      <c r="M379">
        <v>3</v>
      </c>
      <c r="N379">
        <v>1</v>
      </c>
      <c r="O379" t="s">
        <v>55</v>
      </c>
      <c r="P379">
        <v>3</v>
      </c>
      <c r="Q379" t="s">
        <v>56</v>
      </c>
      <c r="R379">
        <v>2543</v>
      </c>
      <c r="S379">
        <v>11868</v>
      </c>
      <c r="T379">
        <v>4</v>
      </c>
      <c r="U379" t="s">
        <v>51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  <c r="AG379" t="s">
        <v>45</v>
      </c>
      <c r="AH379" t="s">
        <v>46</v>
      </c>
      <c r="AI379">
        <v>0</v>
      </c>
      <c r="AJ379" t="s">
        <v>65</v>
      </c>
      <c r="AK379" t="s">
        <v>72</v>
      </c>
      <c r="AL379" t="s">
        <v>66</v>
      </c>
      <c r="AM379" t="s">
        <v>61</v>
      </c>
      <c r="AN379">
        <f t="shared" si="5"/>
        <v>2</v>
      </c>
    </row>
    <row r="380" spans="1:40">
      <c r="A380">
        <v>34</v>
      </c>
      <c r="B380" t="s">
        <v>38</v>
      </c>
      <c r="C380" t="s">
        <v>77</v>
      </c>
      <c r="D380">
        <v>1362</v>
      </c>
      <c r="E380" t="s">
        <v>40</v>
      </c>
      <c r="F380">
        <v>19</v>
      </c>
      <c r="G380">
        <v>3</v>
      </c>
      <c r="H380" t="s">
        <v>84</v>
      </c>
      <c r="I380">
        <v>502</v>
      </c>
      <c r="J380">
        <v>1</v>
      </c>
      <c r="K380" t="s">
        <v>54</v>
      </c>
      <c r="L380">
        <v>67</v>
      </c>
      <c r="M380">
        <v>4</v>
      </c>
      <c r="N380">
        <v>2</v>
      </c>
      <c r="O380" t="s">
        <v>43</v>
      </c>
      <c r="P380">
        <v>4</v>
      </c>
      <c r="Q380" t="s">
        <v>44</v>
      </c>
      <c r="R380">
        <v>5304</v>
      </c>
      <c r="S380">
        <v>4652</v>
      </c>
      <c r="T380">
        <v>8</v>
      </c>
      <c r="U380" t="s">
        <v>38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  <c r="AG380" t="s">
        <v>67</v>
      </c>
      <c r="AH380" t="s">
        <v>81</v>
      </c>
      <c r="AI380">
        <v>1</v>
      </c>
      <c r="AJ380" t="s">
        <v>47</v>
      </c>
      <c r="AK380" t="s">
        <v>72</v>
      </c>
      <c r="AL380" t="s">
        <v>49</v>
      </c>
      <c r="AM380" t="s">
        <v>70</v>
      </c>
      <c r="AN380">
        <f t="shared" si="5"/>
        <v>-1</v>
      </c>
    </row>
    <row r="381" spans="1:40">
      <c r="A381">
        <v>55</v>
      </c>
      <c r="B381" t="s">
        <v>51</v>
      </c>
      <c r="C381" t="s">
        <v>39</v>
      </c>
      <c r="D381">
        <v>1311</v>
      </c>
      <c r="E381" t="s">
        <v>53</v>
      </c>
      <c r="F381">
        <v>2</v>
      </c>
      <c r="G381">
        <v>3</v>
      </c>
      <c r="H381" t="s">
        <v>41</v>
      </c>
      <c r="I381">
        <v>505</v>
      </c>
      <c r="J381">
        <v>3</v>
      </c>
      <c r="K381" t="s">
        <v>42</v>
      </c>
      <c r="L381">
        <v>97</v>
      </c>
      <c r="M381">
        <v>3</v>
      </c>
      <c r="N381">
        <v>4</v>
      </c>
      <c r="O381" t="s">
        <v>79</v>
      </c>
      <c r="P381">
        <v>4</v>
      </c>
      <c r="Q381" t="s">
        <v>44</v>
      </c>
      <c r="R381">
        <v>16659</v>
      </c>
      <c r="S381">
        <v>23258</v>
      </c>
      <c r="T381">
        <v>2</v>
      </c>
      <c r="U381" t="s">
        <v>38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  <c r="AG381" t="s">
        <v>57</v>
      </c>
      <c r="AH381" t="s">
        <v>46</v>
      </c>
      <c r="AI381">
        <v>0</v>
      </c>
      <c r="AJ381" t="s">
        <v>65</v>
      </c>
      <c r="AK381" t="s">
        <v>72</v>
      </c>
      <c r="AL381" t="s">
        <v>49</v>
      </c>
      <c r="AM381" t="s">
        <v>61</v>
      </c>
      <c r="AN381">
        <f t="shared" si="5"/>
        <v>-2</v>
      </c>
    </row>
    <row r="382" spans="1:40">
      <c r="A382">
        <v>24</v>
      </c>
      <c r="B382" t="s">
        <v>51</v>
      </c>
      <c r="C382" t="s">
        <v>39</v>
      </c>
      <c r="D382">
        <v>1371</v>
      </c>
      <c r="E382" t="s">
        <v>40</v>
      </c>
      <c r="F382">
        <v>10</v>
      </c>
      <c r="G382">
        <v>4</v>
      </c>
      <c r="H382" t="s">
        <v>84</v>
      </c>
      <c r="I382">
        <v>507</v>
      </c>
      <c r="J382">
        <v>4</v>
      </c>
      <c r="K382" t="s">
        <v>42</v>
      </c>
      <c r="L382">
        <v>77</v>
      </c>
      <c r="M382">
        <v>3</v>
      </c>
      <c r="N382">
        <v>2</v>
      </c>
      <c r="O382" t="s">
        <v>43</v>
      </c>
      <c r="P382">
        <v>3</v>
      </c>
      <c r="Q382" t="s">
        <v>74</v>
      </c>
      <c r="R382">
        <v>4260</v>
      </c>
      <c r="S382">
        <v>5915</v>
      </c>
      <c r="T382">
        <v>1</v>
      </c>
      <c r="U382" t="s">
        <v>38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  <c r="AG382" t="s">
        <v>78</v>
      </c>
      <c r="AH382" t="s">
        <v>81</v>
      </c>
      <c r="AI382">
        <v>0</v>
      </c>
      <c r="AJ382" t="s">
        <v>65</v>
      </c>
      <c r="AK382" t="s">
        <v>68</v>
      </c>
      <c r="AL382" t="s">
        <v>66</v>
      </c>
      <c r="AM382" t="s">
        <v>85</v>
      </c>
      <c r="AN382">
        <f t="shared" si="5"/>
        <v>-2</v>
      </c>
    </row>
    <row r="383" spans="1:40">
      <c r="A383">
        <v>30</v>
      </c>
      <c r="B383" t="s">
        <v>51</v>
      </c>
      <c r="C383" t="s">
        <v>39</v>
      </c>
      <c r="D383">
        <v>202</v>
      </c>
      <c r="E383" t="s">
        <v>40</v>
      </c>
      <c r="F383">
        <v>2</v>
      </c>
      <c r="G383">
        <v>1</v>
      </c>
      <c r="H383" t="s">
        <v>86</v>
      </c>
      <c r="I383">
        <v>508</v>
      </c>
      <c r="J383">
        <v>3</v>
      </c>
      <c r="K383" t="s">
        <v>54</v>
      </c>
      <c r="L383">
        <v>72</v>
      </c>
      <c r="M383">
        <v>3</v>
      </c>
      <c r="N383">
        <v>1</v>
      </c>
      <c r="O383" t="s">
        <v>82</v>
      </c>
      <c r="P383">
        <v>2</v>
      </c>
      <c r="Q383" t="s">
        <v>56</v>
      </c>
      <c r="R383">
        <v>2476</v>
      </c>
      <c r="S383">
        <v>17434</v>
      </c>
      <c r="T383">
        <v>1</v>
      </c>
      <c r="U383" t="s">
        <v>51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  <c r="AG383" t="s">
        <v>67</v>
      </c>
      <c r="AH383" t="s">
        <v>46</v>
      </c>
      <c r="AI383">
        <v>0</v>
      </c>
      <c r="AJ383" t="s">
        <v>65</v>
      </c>
      <c r="AK383" t="s">
        <v>59</v>
      </c>
      <c r="AL383" t="s">
        <v>60</v>
      </c>
      <c r="AM383" t="s">
        <v>61</v>
      </c>
      <c r="AN383">
        <f t="shared" si="5"/>
        <v>3</v>
      </c>
    </row>
    <row r="384" spans="1:40">
      <c r="A384">
        <v>26</v>
      </c>
      <c r="B384" t="s">
        <v>38</v>
      </c>
      <c r="C384" t="s">
        <v>52</v>
      </c>
      <c r="D384">
        <v>575</v>
      </c>
      <c r="E384" t="s">
        <v>53</v>
      </c>
      <c r="F384">
        <v>3</v>
      </c>
      <c r="G384">
        <v>1</v>
      </c>
      <c r="H384" t="s">
        <v>86</v>
      </c>
      <c r="I384">
        <v>510</v>
      </c>
      <c r="J384">
        <v>3</v>
      </c>
      <c r="K384" t="s">
        <v>54</v>
      </c>
      <c r="L384">
        <v>73</v>
      </c>
      <c r="M384">
        <v>3</v>
      </c>
      <c r="N384">
        <v>1</v>
      </c>
      <c r="O384" t="s">
        <v>55</v>
      </c>
      <c r="P384">
        <v>1</v>
      </c>
      <c r="Q384" t="s">
        <v>44</v>
      </c>
      <c r="R384">
        <v>3102</v>
      </c>
      <c r="S384">
        <v>6582</v>
      </c>
      <c r="T384">
        <v>0</v>
      </c>
      <c r="U384" t="s">
        <v>51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  <c r="AG384" t="s">
        <v>67</v>
      </c>
      <c r="AH384" t="s">
        <v>71</v>
      </c>
      <c r="AI384">
        <v>1</v>
      </c>
      <c r="AJ384" t="s">
        <v>58</v>
      </c>
      <c r="AK384" t="s">
        <v>59</v>
      </c>
      <c r="AL384" t="s">
        <v>73</v>
      </c>
      <c r="AM384" t="s">
        <v>61</v>
      </c>
      <c r="AN384">
        <f t="shared" si="5"/>
        <v>6</v>
      </c>
    </row>
    <row r="385" spans="1:40">
      <c r="A385">
        <v>22</v>
      </c>
      <c r="B385" t="s">
        <v>51</v>
      </c>
      <c r="C385" t="s">
        <v>39</v>
      </c>
      <c r="D385">
        <v>253</v>
      </c>
      <c r="E385" t="s">
        <v>53</v>
      </c>
      <c r="F385">
        <v>11</v>
      </c>
      <c r="G385">
        <v>3</v>
      </c>
      <c r="H385" t="s">
        <v>69</v>
      </c>
      <c r="I385">
        <v>511</v>
      </c>
      <c r="J385">
        <v>1</v>
      </c>
      <c r="K385" t="s">
        <v>42</v>
      </c>
      <c r="L385">
        <v>43</v>
      </c>
      <c r="M385">
        <v>3</v>
      </c>
      <c r="N385">
        <v>1</v>
      </c>
      <c r="O385" t="s">
        <v>55</v>
      </c>
      <c r="P385">
        <v>2</v>
      </c>
      <c r="Q385" t="s">
        <v>56</v>
      </c>
      <c r="R385">
        <v>2244</v>
      </c>
      <c r="S385">
        <v>24440</v>
      </c>
      <c r="T385">
        <v>1</v>
      </c>
      <c r="U385" t="s">
        <v>51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  <c r="AG385" t="s">
        <v>78</v>
      </c>
      <c r="AH385" t="s">
        <v>46</v>
      </c>
      <c r="AI385">
        <v>0</v>
      </c>
      <c r="AJ385" t="s">
        <v>65</v>
      </c>
      <c r="AK385" t="s">
        <v>72</v>
      </c>
      <c r="AL385" t="s">
        <v>60</v>
      </c>
      <c r="AM385" t="s">
        <v>61</v>
      </c>
      <c r="AN385">
        <f t="shared" si="5"/>
        <v>4</v>
      </c>
    </row>
    <row r="386" spans="1:40">
      <c r="A386">
        <v>36</v>
      </c>
      <c r="B386" t="s">
        <v>51</v>
      </c>
      <c r="C386" t="s">
        <v>39</v>
      </c>
      <c r="D386">
        <v>164</v>
      </c>
      <c r="E386" t="s">
        <v>40</v>
      </c>
      <c r="F386">
        <v>2</v>
      </c>
      <c r="G386">
        <v>2</v>
      </c>
      <c r="H386" t="s">
        <v>69</v>
      </c>
      <c r="I386">
        <v>513</v>
      </c>
      <c r="J386">
        <v>2</v>
      </c>
      <c r="K386" t="s">
        <v>54</v>
      </c>
      <c r="L386">
        <v>61</v>
      </c>
      <c r="M386">
        <v>2</v>
      </c>
      <c r="N386">
        <v>3</v>
      </c>
      <c r="O386" t="s">
        <v>43</v>
      </c>
      <c r="P386">
        <v>3</v>
      </c>
      <c r="Q386" t="s">
        <v>56</v>
      </c>
      <c r="R386">
        <v>7596</v>
      </c>
      <c r="S386">
        <v>3809</v>
      </c>
      <c r="T386">
        <v>1</v>
      </c>
      <c r="U386" t="s">
        <v>51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  <c r="AG386" t="s">
        <v>45</v>
      </c>
      <c r="AH386" t="s">
        <v>81</v>
      </c>
      <c r="AI386">
        <v>0</v>
      </c>
      <c r="AJ386" t="s">
        <v>58</v>
      </c>
      <c r="AK386" t="s">
        <v>48</v>
      </c>
      <c r="AL386" t="s">
        <v>66</v>
      </c>
      <c r="AM386" t="s">
        <v>61</v>
      </c>
      <c r="AN386">
        <f t="shared" si="5"/>
        <v>9</v>
      </c>
    </row>
    <row r="387" spans="1:40">
      <c r="A387">
        <v>30</v>
      </c>
      <c r="B387" t="s">
        <v>38</v>
      </c>
      <c r="C387" t="s">
        <v>52</v>
      </c>
      <c r="D387">
        <v>464</v>
      </c>
      <c r="E387" t="s">
        <v>53</v>
      </c>
      <c r="F387">
        <v>4</v>
      </c>
      <c r="G387">
        <v>3</v>
      </c>
      <c r="H387" t="s">
        <v>86</v>
      </c>
      <c r="I387">
        <v>514</v>
      </c>
      <c r="J387">
        <v>3</v>
      </c>
      <c r="K387" t="s">
        <v>54</v>
      </c>
      <c r="L387">
        <v>40</v>
      </c>
      <c r="M387">
        <v>3</v>
      </c>
      <c r="N387">
        <v>1</v>
      </c>
      <c r="O387" t="s">
        <v>55</v>
      </c>
      <c r="P387">
        <v>4</v>
      </c>
      <c r="Q387" t="s">
        <v>44</v>
      </c>
      <c r="R387">
        <v>2285</v>
      </c>
      <c r="S387">
        <v>3427</v>
      </c>
      <c r="T387">
        <v>9</v>
      </c>
      <c r="U387" t="s">
        <v>38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  <c r="AG387" t="s">
        <v>67</v>
      </c>
      <c r="AH387" t="s">
        <v>81</v>
      </c>
      <c r="AI387">
        <v>1</v>
      </c>
      <c r="AJ387" t="s">
        <v>65</v>
      </c>
      <c r="AK387" t="s">
        <v>72</v>
      </c>
      <c r="AL387" t="s">
        <v>49</v>
      </c>
      <c r="AM387" t="s">
        <v>61</v>
      </c>
      <c r="AN387">
        <f t="shared" ref="AN387:AN450" si="6">((3-P387)*3+((3-AB387)*2+AE387))</f>
        <v>-3</v>
      </c>
    </row>
    <row r="388" spans="1:40">
      <c r="A388">
        <v>37</v>
      </c>
      <c r="B388" t="s">
        <v>51</v>
      </c>
      <c r="C388" t="s">
        <v>39</v>
      </c>
      <c r="D388">
        <v>1107</v>
      </c>
      <c r="E388" t="s">
        <v>53</v>
      </c>
      <c r="F388">
        <v>14</v>
      </c>
      <c r="G388">
        <v>3</v>
      </c>
      <c r="H388" t="s">
        <v>41</v>
      </c>
      <c r="I388">
        <v>515</v>
      </c>
      <c r="J388">
        <v>4</v>
      </c>
      <c r="K388" t="s">
        <v>42</v>
      </c>
      <c r="L388">
        <v>95</v>
      </c>
      <c r="M388">
        <v>3</v>
      </c>
      <c r="N388">
        <v>1</v>
      </c>
      <c r="O388" t="s">
        <v>63</v>
      </c>
      <c r="P388">
        <v>1</v>
      </c>
      <c r="Q388" t="s">
        <v>74</v>
      </c>
      <c r="R388">
        <v>3034</v>
      </c>
      <c r="S388">
        <v>26914</v>
      </c>
      <c r="T388">
        <v>1</v>
      </c>
      <c r="U388" t="s">
        <v>51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  <c r="AG388" t="s">
        <v>45</v>
      </c>
      <c r="AH388" t="s">
        <v>46</v>
      </c>
      <c r="AI388">
        <v>0</v>
      </c>
      <c r="AJ388" t="s">
        <v>47</v>
      </c>
      <c r="AK388" t="s">
        <v>72</v>
      </c>
      <c r="AL388" t="s">
        <v>73</v>
      </c>
      <c r="AM388" t="s">
        <v>70</v>
      </c>
      <c r="AN388">
        <f t="shared" si="6"/>
        <v>20</v>
      </c>
    </row>
    <row r="389" spans="1:40">
      <c r="A389">
        <v>40</v>
      </c>
      <c r="B389" t="s">
        <v>51</v>
      </c>
      <c r="C389" t="s">
        <v>39</v>
      </c>
      <c r="D389">
        <v>759</v>
      </c>
      <c r="E389" t="s">
        <v>40</v>
      </c>
      <c r="F389">
        <v>2</v>
      </c>
      <c r="G389">
        <v>2</v>
      </c>
      <c r="H389" t="s">
        <v>84</v>
      </c>
      <c r="I389">
        <v>516</v>
      </c>
      <c r="J389">
        <v>4</v>
      </c>
      <c r="K389" t="s">
        <v>42</v>
      </c>
      <c r="L389">
        <v>46</v>
      </c>
      <c r="M389">
        <v>3</v>
      </c>
      <c r="N389">
        <v>2</v>
      </c>
      <c r="O389" t="s">
        <v>43</v>
      </c>
      <c r="P389">
        <v>2</v>
      </c>
      <c r="Q389" t="s">
        <v>74</v>
      </c>
      <c r="R389">
        <v>5715</v>
      </c>
      <c r="S389">
        <v>22553</v>
      </c>
      <c r="T389">
        <v>7</v>
      </c>
      <c r="U389" t="s">
        <v>51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  <c r="AG389" t="s">
        <v>45</v>
      </c>
      <c r="AH389" t="s">
        <v>46</v>
      </c>
      <c r="AI389">
        <v>0</v>
      </c>
      <c r="AJ389" t="s">
        <v>65</v>
      </c>
      <c r="AK389" t="s">
        <v>48</v>
      </c>
      <c r="AL389" t="s">
        <v>60</v>
      </c>
      <c r="AM389" t="s">
        <v>61</v>
      </c>
      <c r="AN389">
        <f t="shared" si="6"/>
        <v>4</v>
      </c>
    </row>
    <row r="390" spans="1:40">
      <c r="A390">
        <v>42</v>
      </c>
      <c r="B390" t="s">
        <v>51</v>
      </c>
      <c r="C390" t="s">
        <v>39</v>
      </c>
      <c r="D390">
        <v>201</v>
      </c>
      <c r="E390" t="s">
        <v>53</v>
      </c>
      <c r="F390">
        <v>1</v>
      </c>
      <c r="G390">
        <v>4</v>
      </c>
      <c r="H390" t="s">
        <v>41</v>
      </c>
      <c r="I390">
        <v>517</v>
      </c>
      <c r="J390">
        <v>2</v>
      </c>
      <c r="K390" t="s">
        <v>42</v>
      </c>
      <c r="L390">
        <v>95</v>
      </c>
      <c r="M390">
        <v>3</v>
      </c>
      <c r="N390">
        <v>1</v>
      </c>
      <c r="O390" t="s">
        <v>63</v>
      </c>
      <c r="P390">
        <v>1</v>
      </c>
      <c r="Q390" t="s">
        <v>74</v>
      </c>
      <c r="R390">
        <v>2576</v>
      </c>
      <c r="S390">
        <v>20490</v>
      </c>
      <c r="T390">
        <v>3</v>
      </c>
      <c r="U390" t="s">
        <v>51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  <c r="AG390" t="s">
        <v>45</v>
      </c>
      <c r="AH390" t="s">
        <v>46</v>
      </c>
      <c r="AI390">
        <v>0</v>
      </c>
      <c r="AJ390" t="s">
        <v>65</v>
      </c>
      <c r="AK390" t="s">
        <v>68</v>
      </c>
      <c r="AL390" t="s">
        <v>73</v>
      </c>
      <c r="AM390" t="s">
        <v>61</v>
      </c>
      <c r="AN390">
        <f t="shared" si="6"/>
        <v>7</v>
      </c>
    </row>
    <row r="391" spans="1:40">
      <c r="A391">
        <v>37</v>
      </c>
      <c r="B391" t="s">
        <v>51</v>
      </c>
      <c r="C391" t="s">
        <v>39</v>
      </c>
      <c r="D391">
        <v>1305</v>
      </c>
      <c r="E391" t="s">
        <v>53</v>
      </c>
      <c r="F391">
        <v>10</v>
      </c>
      <c r="G391">
        <v>4</v>
      </c>
      <c r="H391" t="s">
        <v>41</v>
      </c>
      <c r="I391">
        <v>518</v>
      </c>
      <c r="J391">
        <v>3</v>
      </c>
      <c r="K391" t="s">
        <v>54</v>
      </c>
      <c r="L391">
        <v>49</v>
      </c>
      <c r="M391">
        <v>3</v>
      </c>
      <c r="N391">
        <v>2</v>
      </c>
      <c r="O391" t="s">
        <v>75</v>
      </c>
      <c r="P391">
        <v>2</v>
      </c>
      <c r="Q391" t="s">
        <v>44</v>
      </c>
      <c r="R391">
        <v>4197</v>
      </c>
      <c r="S391">
        <v>21123</v>
      </c>
      <c r="T391">
        <v>2</v>
      </c>
      <c r="U391" t="s">
        <v>38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  <c r="AG391" t="s">
        <v>45</v>
      </c>
      <c r="AH391" t="s">
        <v>46</v>
      </c>
      <c r="AI391">
        <v>0</v>
      </c>
      <c r="AJ391" t="s">
        <v>47</v>
      </c>
      <c r="AK391" t="s">
        <v>68</v>
      </c>
      <c r="AL391" t="s">
        <v>60</v>
      </c>
      <c r="AM391" t="s">
        <v>70</v>
      </c>
      <c r="AN391">
        <f t="shared" si="6"/>
        <v>5</v>
      </c>
    </row>
    <row r="392" spans="1:40">
      <c r="A392">
        <v>43</v>
      </c>
      <c r="B392" t="s">
        <v>51</v>
      </c>
      <c r="C392" t="s">
        <v>39</v>
      </c>
      <c r="D392">
        <v>982</v>
      </c>
      <c r="E392" t="s">
        <v>53</v>
      </c>
      <c r="F392">
        <v>12</v>
      </c>
      <c r="G392">
        <v>3</v>
      </c>
      <c r="H392" t="s">
        <v>41</v>
      </c>
      <c r="I392">
        <v>520</v>
      </c>
      <c r="J392">
        <v>1</v>
      </c>
      <c r="K392" t="s">
        <v>54</v>
      </c>
      <c r="L392">
        <v>59</v>
      </c>
      <c r="M392">
        <v>2</v>
      </c>
      <c r="N392">
        <v>4</v>
      </c>
      <c r="O392" t="s">
        <v>83</v>
      </c>
      <c r="P392">
        <v>2</v>
      </c>
      <c r="Q392" t="s">
        <v>74</v>
      </c>
      <c r="R392">
        <v>14336</v>
      </c>
      <c r="S392">
        <v>4345</v>
      </c>
      <c r="T392">
        <v>1</v>
      </c>
      <c r="U392" t="s">
        <v>51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  <c r="AG392" t="s">
        <v>45</v>
      </c>
      <c r="AH392" t="s">
        <v>81</v>
      </c>
      <c r="AI392">
        <v>0</v>
      </c>
      <c r="AJ392" t="s">
        <v>80</v>
      </c>
      <c r="AK392" t="s">
        <v>72</v>
      </c>
      <c r="AL392" t="s">
        <v>60</v>
      </c>
      <c r="AM392" t="s">
        <v>61</v>
      </c>
      <c r="AN392">
        <f t="shared" si="6"/>
        <v>6</v>
      </c>
    </row>
    <row r="393" spans="1:40">
      <c r="A393">
        <v>40</v>
      </c>
      <c r="B393" t="s">
        <v>51</v>
      </c>
      <c r="C393" t="s">
        <v>39</v>
      </c>
      <c r="D393">
        <v>555</v>
      </c>
      <c r="E393" t="s">
        <v>53</v>
      </c>
      <c r="F393">
        <v>2</v>
      </c>
      <c r="G393">
        <v>3</v>
      </c>
      <c r="H393" t="s">
        <v>69</v>
      </c>
      <c r="I393">
        <v>521</v>
      </c>
      <c r="J393">
        <v>2</v>
      </c>
      <c r="K393" t="s">
        <v>42</v>
      </c>
      <c r="L393">
        <v>78</v>
      </c>
      <c r="M393">
        <v>2</v>
      </c>
      <c r="N393">
        <v>2</v>
      </c>
      <c r="O393" t="s">
        <v>63</v>
      </c>
      <c r="P393">
        <v>3</v>
      </c>
      <c r="Q393" t="s">
        <v>56</v>
      </c>
      <c r="R393">
        <v>3448</v>
      </c>
      <c r="S393">
        <v>13436</v>
      </c>
      <c r="T393">
        <v>6</v>
      </c>
      <c r="U393" t="s">
        <v>51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  <c r="AG393" t="s">
        <v>45</v>
      </c>
      <c r="AH393" t="s">
        <v>46</v>
      </c>
      <c r="AI393">
        <v>0</v>
      </c>
      <c r="AJ393" t="s">
        <v>65</v>
      </c>
      <c r="AK393" t="s">
        <v>72</v>
      </c>
      <c r="AL393" t="s">
        <v>66</v>
      </c>
      <c r="AM393" t="s">
        <v>61</v>
      </c>
      <c r="AN393">
        <f t="shared" si="6"/>
        <v>0</v>
      </c>
    </row>
    <row r="394" spans="1:40">
      <c r="A394">
        <v>54</v>
      </c>
      <c r="B394" t="s">
        <v>51</v>
      </c>
      <c r="C394" t="s">
        <v>39</v>
      </c>
      <c r="D394">
        <v>821</v>
      </c>
      <c r="E394" t="s">
        <v>53</v>
      </c>
      <c r="F394">
        <v>5</v>
      </c>
      <c r="G394">
        <v>2</v>
      </c>
      <c r="H394" t="s">
        <v>69</v>
      </c>
      <c r="I394">
        <v>522</v>
      </c>
      <c r="J394">
        <v>1</v>
      </c>
      <c r="K394" t="s">
        <v>54</v>
      </c>
      <c r="L394">
        <v>86</v>
      </c>
      <c r="M394">
        <v>3</v>
      </c>
      <c r="N394">
        <v>5</v>
      </c>
      <c r="O394" t="s">
        <v>83</v>
      </c>
      <c r="P394">
        <v>1</v>
      </c>
      <c r="Q394" t="s">
        <v>56</v>
      </c>
      <c r="R394">
        <v>19406</v>
      </c>
      <c r="S394">
        <v>8509</v>
      </c>
      <c r="T394">
        <v>4</v>
      </c>
      <c r="U394" t="s">
        <v>51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  <c r="AG394" t="s">
        <v>57</v>
      </c>
      <c r="AH394" t="s">
        <v>71</v>
      </c>
      <c r="AI394">
        <v>0</v>
      </c>
      <c r="AJ394" t="s">
        <v>47</v>
      </c>
      <c r="AK394" t="s">
        <v>48</v>
      </c>
      <c r="AL394" t="s">
        <v>73</v>
      </c>
      <c r="AM394" t="s">
        <v>70</v>
      </c>
      <c r="AN394">
        <f t="shared" si="6"/>
        <v>9</v>
      </c>
    </row>
    <row r="395" spans="1:40">
      <c r="A395">
        <v>34</v>
      </c>
      <c r="B395" t="s">
        <v>51</v>
      </c>
      <c r="C395" t="s">
        <v>77</v>
      </c>
      <c r="D395">
        <v>1381</v>
      </c>
      <c r="E395" t="s">
        <v>40</v>
      </c>
      <c r="F395">
        <v>4</v>
      </c>
      <c r="G395">
        <v>4</v>
      </c>
      <c r="H395" t="s">
        <v>84</v>
      </c>
      <c r="I395">
        <v>523</v>
      </c>
      <c r="J395">
        <v>3</v>
      </c>
      <c r="K395" t="s">
        <v>42</v>
      </c>
      <c r="L395">
        <v>72</v>
      </c>
      <c r="M395">
        <v>3</v>
      </c>
      <c r="N395">
        <v>2</v>
      </c>
      <c r="O395" t="s">
        <v>43</v>
      </c>
      <c r="P395">
        <v>3</v>
      </c>
      <c r="Q395" t="s">
        <v>56</v>
      </c>
      <c r="R395">
        <v>6538</v>
      </c>
      <c r="S395">
        <v>12740</v>
      </c>
      <c r="T395">
        <v>9</v>
      </c>
      <c r="U395" t="s">
        <v>51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  <c r="AG395" t="s">
        <v>67</v>
      </c>
      <c r="AH395" t="s">
        <v>46</v>
      </c>
      <c r="AI395">
        <v>0</v>
      </c>
      <c r="AJ395" t="s">
        <v>65</v>
      </c>
      <c r="AK395" t="s">
        <v>68</v>
      </c>
      <c r="AL395" t="s">
        <v>66</v>
      </c>
      <c r="AM395" t="s">
        <v>61</v>
      </c>
      <c r="AN395">
        <f t="shared" si="6"/>
        <v>1</v>
      </c>
    </row>
    <row r="396" spans="1:40">
      <c r="A396">
        <v>31</v>
      </c>
      <c r="B396" t="s">
        <v>51</v>
      </c>
      <c r="C396" t="s">
        <v>39</v>
      </c>
      <c r="D396">
        <v>480</v>
      </c>
      <c r="E396" t="s">
        <v>53</v>
      </c>
      <c r="F396">
        <v>7</v>
      </c>
      <c r="G396">
        <v>2</v>
      </c>
      <c r="H396" t="s">
        <v>69</v>
      </c>
      <c r="I396">
        <v>524</v>
      </c>
      <c r="J396">
        <v>2</v>
      </c>
      <c r="K396" t="s">
        <v>42</v>
      </c>
      <c r="L396">
        <v>31</v>
      </c>
      <c r="M396">
        <v>3</v>
      </c>
      <c r="N396">
        <v>2</v>
      </c>
      <c r="O396" t="s">
        <v>75</v>
      </c>
      <c r="P396">
        <v>1</v>
      </c>
      <c r="Q396" t="s">
        <v>56</v>
      </c>
      <c r="R396">
        <v>4306</v>
      </c>
      <c r="S396">
        <v>4156</v>
      </c>
      <c r="T396">
        <v>1</v>
      </c>
      <c r="U396" t="s">
        <v>51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  <c r="AG396" t="s">
        <v>67</v>
      </c>
      <c r="AH396" t="s">
        <v>81</v>
      </c>
      <c r="AI396">
        <v>0</v>
      </c>
      <c r="AJ396" t="s">
        <v>47</v>
      </c>
      <c r="AK396" t="s">
        <v>48</v>
      </c>
      <c r="AL396" t="s">
        <v>73</v>
      </c>
      <c r="AM396" t="s">
        <v>50</v>
      </c>
      <c r="AN396">
        <f t="shared" si="6"/>
        <v>13</v>
      </c>
    </row>
    <row r="397" spans="1:40">
      <c r="A397">
        <v>43</v>
      </c>
      <c r="B397" t="s">
        <v>51</v>
      </c>
      <c r="C397" t="s">
        <v>52</v>
      </c>
      <c r="D397">
        <v>313</v>
      </c>
      <c r="E397" t="s">
        <v>53</v>
      </c>
      <c r="F397">
        <v>21</v>
      </c>
      <c r="G397">
        <v>3</v>
      </c>
      <c r="H397" t="s">
        <v>69</v>
      </c>
      <c r="I397">
        <v>525</v>
      </c>
      <c r="J397">
        <v>4</v>
      </c>
      <c r="K397" t="s">
        <v>54</v>
      </c>
      <c r="L397">
        <v>61</v>
      </c>
      <c r="M397">
        <v>3</v>
      </c>
      <c r="N397">
        <v>1</v>
      </c>
      <c r="O397" t="s">
        <v>63</v>
      </c>
      <c r="P397">
        <v>4</v>
      </c>
      <c r="Q397" t="s">
        <v>56</v>
      </c>
      <c r="R397">
        <v>2258</v>
      </c>
      <c r="S397">
        <v>15238</v>
      </c>
      <c r="T397">
        <v>7</v>
      </c>
      <c r="U397" t="s">
        <v>51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  <c r="AG397" t="s">
        <v>45</v>
      </c>
      <c r="AH397" t="s">
        <v>46</v>
      </c>
      <c r="AI397">
        <v>0</v>
      </c>
      <c r="AJ397" t="s">
        <v>65</v>
      </c>
      <c r="AK397" t="s">
        <v>72</v>
      </c>
      <c r="AL397" t="s">
        <v>49</v>
      </c>
      <c r="AM397" t="s">
        <v>61</v>
      </c>
      <c r="AN397">
        <f t="shared" si="6"/>
        <v>-2</v>
      </c>
    </row>
    <row r="398" spans="1:40">
      <c r="A398">
        <v>43</v>
      </c>
      <c r="B398" t="s">
        <v>51</v>
      </c>
      <c r="C398" t="s">
        <v>39</v>
      </c>
      <c r="D398">
        <v>1473</v>
      </c>
      <c r="E398" t="s">
        <v>53</v>
      </c>
      <c r="F398">
        <v>8</v>
      </c>
      <c r="G398">
        <v>4</v>
      </c>
      <c r="H398" t="s">
        <v>62</v>
      </c>
      <c r="I398">
        <v>526</v>
      </c>
      <c r="J398">
        <v>3</v>
      </c>
      <c r="K398" t="s">
        <v>42</v>
      </c>
      <c r="L398">
        <v>74</v>
      </c>
      <c r="M398">
        <v>3</v>
      </c>
      <c r="N398">
        <v>2</v>
      </c>
      <c r="O398" t="s">
        <v>76</v>
      </c>
      <c r="P398">
        <v>3</v>
      </c>
      <c r="Q398" t="s">
        <v>74</v>
      </c>
      <c r="R398">
        <v>4522</v>
      </c>
      <c r="S398">
        <v>2227</v>
      </c>
      <c r="T398">
        <v>4</v>
      </c>
      <c r="U398" t="s">
        <v>38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  <c r="AG398" t="s">
        <v>45</v>
      </c>
      <c r="AH398" t="s">
        <v>64</v>
      </c>
      <c r="AI398">
        <v>0</v>
      </c>
      <c r="AJ398" t="s">
        <v>65</v>
      </c>
      <c r="AK398" t="s">
        <v>68</v>
      </c>
      <c r="AL398" t="s">
        <v>66</v>
      </c>
      <c r="AM398" t="s">
        <v>61</v>
      </c>
      <c r="AN398">
        <f t="shared" si="6"/>
        <v>0</v>
      </c>
    </row>
    <row r="399" spans="1:40">
      <c r="A399">
        <v>25</v>
      </c>
      <c r="B399" t="s">
        <v>51</v>
      </c>
      <c r="C399" t="s">
        <v>39</v>
      </c>
      <c r="D399">
        <v>891</v>
      </c>
      <c r="E399" t="s">
        <v>40</v>
      </c>
      <c r="F399">
        <v>4</v>
      </c>
      <c r="G399">
        <v>2</v>
      </c>
      <c r="H399" t="s">
        <v>41</v>
      </c>
      <c r="I399">
        <v>527</v>
      </c>
      <c r="J399">
        <v>2</v>
      </c>
      <c r="K399" t="s">
        <v>42</v>
      </c>
      <c r="L399">
        <v>99</v>
      </c>
      <c r="M399">
        <v>2</v>
      </c>
      <c r="N399">
        <v>2</v>
      </c>
      <c r="O399" t="s">
        <v>43</v>
      </c>
      <c r="P399">
        <v>4</v>
      </c>
      <c r="Q399" t="s">
        <v>44</v>
      </c>
      <c r="R399">
        <v>4487</v>
      </c>
      <c r="S399">
        <v>12090</v>
      </c>
      <c r="T399">
        <v>1</v>
      </c>
      <c r="U399" t="s">
        <v>38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  <c r="AG399" t="s">
        <v>78</v>
      </c>
      <c r="AH399" t="s">
        <v>46</v>
      </c>
      <c r="AI399">
        <v>0</v>
      </c>
      <c r="AJ399" t="s">
        <v>65</v>
      </c>
      <c r="AK399" t="s">
        <v>48</v>
      </c>
      <c r="AL399" t="s">
        <v>49</v>
      </c>
      <c r="AM399" t="s">
        <v>61</v>
      </c>
      <c r="AN399">
        <f t="shared" si="6"/>
        <v>-2</v>
      </c>
    </row>
    <row r="400" spans="1:40">
      <c r="A400">
        <v>37</v>
      </c>
      <c r="B400" t="s">
        <v>51</v>
      </c>
      <c r="C400" t="s">
        <v>77</v>
      </c>
      <c r="D400">
        <v>1063</v>
      </c>
      <c r="E400" t="s">
        <v>53</v>
      </c>
      <c r="F400">
        <v>25</v>
      </c>
      <c r="G400">
        <v>5</v>
      </c>
      <c r="H400" t="s">
        <v>69</v>
      </c>
      <c r="I400">
        <v>529</v>
      </c>
      <c r="J400">
        <v>2</v>
      </c>
      <c r="K400" t="s">
        <v>42</v>
      </c>
      <c r="L400">
        <v>72</v>
      </c>
      <c r="M400">
        <v>3</v>
      </c>
      <c r="N400">
        <v>2</v>
      </c>
      <c r="O400" t="s">
        <v>55</v>
      </c>
      <c r="P400">
        <v>3</v>
      </c>
      <c r="Q400" t="s">
        <v>56</v>
      </c>
      <c r="R400">
        <v>4449</v>
      </c>
      <c r="S400">
        <v>23866</v>
      </c>
      <c r="T400">
        <v>3</v>
      </c>
      <c r="U400" t="s">
        <v>38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  <c r="AG400" t="s">
        <v>45</v>
      </c>
      <c r="AH400" t="s">
        <v>46</v>
      </c>
      <c r="AI400">
        <v>0</v>
      </c>
      <c r="AJ400" t="s">
        <v>80</v>
      </c>
      <c r="AK400" t="s">
        <v>87</v>
      </c>
      <c r="AL400" t="s">
        <v>66</v>
      </c>
      <c r="AM400" t="s">
        <v>61</v>
      </c>
      <c r="AN400">
        <f t="shared" si="6"/>
        <v>10</v>
      </c>
    </row>
    <row r="401" spans="1:40">
      <c r="A401">
        <v>31</v>
      </c>
      <c r="B401" t="s">
        <v>51</v>
      </c>
      <c r="C401" t="s">
        <v>39</v>
      </c>
      <c r="D401">
        <v>329</v>
      </c>
      <c r="E401" t="s">
        <v>53</v>
      </c>
      <c r="F401">
        <v>1</v>
      </c>
      <c r="G401">
        <v>2</v>
      </c>
      <c r="H401" t="s">
        <v>41</v>
      </c>
      <c r="I401">
        <v>530</v>
      </c>
      <c r="J401">
        <v>4</v>
      </c>
      <c r="K401" t="s">
        <v>54</v>
      </c>
      <c r="L401">
        <v>98</v>
      </c>
      <c r="M401">
        <v>2</v>
      </c>
      <c r="N401">
        <v>1</v>
      </c>
      <c r="O401" t="s">
        <v>63</v>
      </c>
      <c r="P401">
        <v>1</v>
      </c>
      <c r="Q401" t="s">
        <v>56</v>
      </c>
      <c r="R401">
        <v>2218</v>
      </c>
      <c r="S401">
        <v>16193</v>
      </c>
      <c r="T401">
        <v>1</v>
      </c>
      <c r="U401" t="s">
        <v>51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  <c r="AG401" t="s">
        <v>67</v>
      </c>
      <c r="AH401" t="s">
        <v>46</v>
      </c>
      <c r="AI401">
        <v>0</v>
      </c>
      <c r="AJ401" t="s">
        <v>65</v>
      </c>
      <c r="AK401" t="s">
        <v>48</v>
      </c>
      <c r="AL401" t="s">
        <v>73</v>
      </c>
      <c r="AM401" t="s">
        <v>61</v>
      </c>
      <c r="AN401">
        <f t="shared" si="6"/>
        <v>9</v>
      </c>
    </row>
    <row r="402" spans="1:40">
      <c r="A402">
        <v>39</v>
      </c>
      <c r="B402" t="s">
        <v>51</v>
      </c>
      <c r="C402" t="s">
        <v>52</v>
      </c>
      <c r="D402">
        <v>1218</v>
      </c>
      <c r="E402" t="s">
        <v>53</v>
      </c>
      <c r="F402">
        <v>1</v>
      </c>
      <c r="G402">
        <v>1</v>
      </c>
      <c r="H402" t="s">
        <v>41</v>
      </c>
      <c r="I402">
        <v>531</v>
      </c>
      <c r="J402">
        <v>2</v>
      </c>
      <c r="K402" t="s">
        <v>54</v>
      </c>
      <c r="L402">
        <v>52</v>
      </c>
      <c r="M402">
        <v>3</v>
      </c>
      <c r="N402">
        <v>5</v>
      </c>
      <c r="O402" t="s">
        <v>79</v>
      </c>
      <c r="P402">
        <v>3</v>
      </c>
      <c r="Q402" t="s">
        <v>74</v>
      </c>
      <c r="R402">
        <v>19197</v>
      </c>
      <c r="S402">
        <v>8213</v>
      </c>
      <c r="T402">
        <v>1</v>
      </c>
      <c r="U402" t="s">
        <v>38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  <c r="AG402" t="s">
        <v>45</v>
      </c>
      <c r="AH402" t="s">
        <v>71</v>
      </c>
      <c r="AI402">
        <v>0</v>
      </c>
      <c r="AJ402" t="s">
        <v>80</v>
      </c>
      <c r="AK402" t="s">
        <v>59</v>
      </c>
      <c r="AL402" t="s">
        <v>66</v>
      </c>
      <c r="AM402" t="s">
        <v>61</v>
      </c>
      <c r="AN402">
        <f t="shared" si="6"/>
        <v>1</v>
      </c>
    </row>
    <row r="403" spans="1:40">
      <c r="A403">
        <v>56</v>
      </c>
      <c r="B403" t="s">
        <v>51</v>
      </c>
      <c r="C403" t="s">
        <v>52</v>
      </c>
      <c r="D403">
        <v>906</v>
      </c>
      <c r="E403" t="s">
        <v>40</v>
      </c>
      <c r="F403">
        <v>6</v>
      </c>
      <c r="G403">
        <v>3</v>
      </c>
      <c r="H403" t="s">
        <v>41</v>
      </c>
      <c r="I403">
        <v>532</v>
      </c>
      <c r="J403">
        <v>3</v>
      </c>
      <c r="K403" t="s">
        <v>42</v>
      </c>
      <c r="L403">
        <v>86</v>
      </c>
      <c r="M403">
        <v>4</v>
      </c>
      <c r="N403">
        <v>4</v>
      </c>
      <c r="O403" t="s">
        <v>43</v>
      </c>
      <c r="P403">
        <v>1</v>
      </c>
      <c r="Q403" t="s">
        <v>56</v>
      </c>
      <c r="R403">
        <v>13212</v>
      </c>
      <c r="S403">
        <v>18256</v>
      </c>
      <c r="T403">
        <v>9</v>
      </c>
      <c r="U403" t="s">
        <v>51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  <c r="AG403" t="s">
        <v>57</v>
      </c>
      <c r="AH403" t="s">
        <v>46</v>
      </c>
      <c r="AI403">
        <v>0</v>
      </c>
      <c r="AJ403" t="s">
        <v>47</v>
      </c>
      <c r="AK403" t="s">
        <v>72</v>
      </c>
      <c r="AL403" t="s">
        <v>73</v>
      </c>
      <c r="AM403" t="s">
        <v>70</v>
      </c>
      <c r="AN403">
        <f t="shared" si="6"/>
        <v>15</v>
      </c>
    </row>
    <row r="404" spans="1:40">
      <c r="A404">
        <v>30</v>
      </c>
      <c r="B404" t="s">
        <v>51</v>
      </c>
      <c r="C404" t="s">
        <v>39</v>
      </c>
      <c r="D404">
        <v>1082</v>
      </c>
      <c r="E404" t="s">
        <v>40</v>
      </c>
      <c r="F404">
        <v>12</v>
      </c>
      <c r="G404">
        <v>3</v>
      </c>
      <c r="H404" t="s">
        <v>86</v>
      </c>
      <c r="I404">
        <v>533</v>
      </c>
      <c r="J404">
        <v>2</v>
      </c>
      <c r="K404" t="s">
        <v>42</v>
      </c>
      <c r="L404">
        <v>83</v>
      </c>
      <c r="M404">
        <v>3</v>
      </c>
      <c r="N404">
        <v>2</v>
      </c>
      <c r="O404" t="s">
        <v>43</v>
      </c>
      <c r="P404">
        <v>3</v>
      </c>
      <c r="Q404" t="s">
        <v>44</v>
      </c>
      <c r="R404">
        <v>6577</v>
      </c>
      <c r="S404">
        <v>19558</v>
      </c>
      <c r="T404">
        <v>0</v>
      </c>
      <c r="U404" t="s">
        <v>51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  <c r="AG404" t="s">
        <v>67</v>
      </c>
      <c r="AH404" t="s">
        <v>46</v>
      </c>
      <c r="AI404">
        <v>0</v>
      </c>
      <c r="AJ404" t="s">
        <v>65</v>
      </c>
      <c r="AK404" t="s">
        <v>72</v>
      </c>
      <c r="AL404" t="s">
        <v>66</v>
      </c>
      <c r="AM404" t="s">
        <v>61</v>
      </c>
      <c r="AN404">
        <f t="shared" si="6"/>
        <v>4</v>
      </c>
    </row>
    <row r="405" spans="1:40">
      <c r="A405">
        <v>41</v>
      </c>
      <c r="B405" t="s">
        <v>51</v>
      </c>
      <c r="C405" t="s">
        <v>39</v>
      </c>
      <c r="D405">
        <v>645</v>
      </c>
      <c r="E405" t="s">
        <v>40</v>
      </c>
      <c r="F405">
        <v>1</v>
      </c>
      <c r="G405">
        <v>3</v>
      </c>
      <c r="H405" t="s">
        <v>84</v>
      </c>
      <c r="I405">
        <v>534</v>
      </c>
      <c r="J405">
        <v>2</v>
      </c>
      <c r="K405" t="s">
        <v>54</v>
      </c>
      <c r="L405">
        <v>49</v>
      </c>
      <c r="M405">
        <v>4</v>
      </c>
      <c r="N405">
        <v>3</v>
      </c>
      <c r="O405" t="s">
        <v>43</v>
      </c>
      <c r="P405">
        <v>1</v>
      </c>
      <c r="Q405" t="s">
        <v>56</v>
      </c>
      <c r="R405">
        <v>8392</v>
      </c>
      <c r="S405">
        <v>19566</v>
      </c>
      <c r="T405">
        <v>1</v>
      </c>
      <c r="U405" t="s">
        <v>51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  <c r="AG405" t="s">
        <v>45</v>
      </c>
      <c r="AH405" t="s">
        <v>46</v>
      </c>
      <c r="AI405">
        <v>0</v>
      </c>
      <c r="AJ405" t="s">
        <v>58</v>
      </c>
      <c r="AK405" t="s">
        <v>72</v>
      </c>
      <c r="AL405" t="s">
        <v>73</v>
      </c>
      <c r="AM405" t="s">
        <v>61</v>
      </c>
      <c r="AN405">
        <f t="shared" si="6"/>
        <v>6</v>
      </c>
    </row>
    <row r="406" spans="1:40">
      <c r="A406">
        <v>28</v>
      </c>
      <c r="B406" t="s">
        <v>51</v>
      </c>
      <c r="C406" t="s">
        <v>39</v>
      </c>
      <c r="D406">
        <v>1300</v>
      </c>
      <c r="E406" t="s">
        <v>53</v>
      </c>
      <c r="F406">
        <v>17</v>
      </c>
      <c r="G406">
        <v>2</v>
      </c>
      <c r="H406" t="s">
        <v>69</v>
      </c>
      <c r="I406">
        <v>536</v>
      </c>
      <c r="J406">
        <v>3</v>
      </c>
      <c r="K406" t="s">
        <v>54</v>
      </c>
      <c r="L406">
        <v>79</v>
      </c>
      <c r="M406">
        <v>3</v>
      </c>
      <c r="N406">
        <v>2</v>
      </c>
      <c r="O406" t="s">
        <v>63</v>
      </c>
      <c r="P406">
        <v>1</v>
      </c>
      <c r="Q406" t="s">
        <v>74</v>
      </c>
      <c r="R406">
        <v>4558</v>
      </c>
      <c r="S406">
        <v>13535</v>
      </c>
      <c r="T406">
        <v>1</v>
      </c>
      <c r="U406" t="s">
        <v>51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  <c r="AG406" t="s">
        <v>67</v>
      </c>
      <c r="AH406" t="s">
        <v>46</v>
      </c>
      <c r="AI406">
        <v>0</v>
      </c>
      <c r="AJ406" t="s">
        <v>58</v>
      </c>
      <c r="AK406" t="s">
        <v>48</v>
      </c>
      <c r="AL406" t="s">
        <v>73</v>
      </c>
      <c r="AM406" t="s">
        <v>61</v>
      </c>
      <c r="AN406">
        <f t="shared" si="6"/>
        <v>7</v>
      </c>
    </row>
    <row r="407" spans="1:40">
      <c r="A407">
        <v>25</v>
      </c>
      <c r="B407" t="s">
        <v>38</v>
      </c>
      <c r="C407" t="s">
        <v>39</v>
      </c>
      <c r="D407">
        <v>688</v>
      </c>
      <c r="E407" t="s">
        <v>53</v>
      </c>
      <c r="F407">
        <v>3</v>
      </c>
      <c r="G407">
        <v>3</v>
      </c>
      <c r="H407" t="s">
        <v>69</v>
      </c>
      <c r="I407">
        <v>538</v>
      </c>
      <c r="J407">
        <v>1</v>
      </c>
      <c r="K407" t="s">
        <v>54</v>
      </c>
      <c r="L407">
        <v>91</v>
      </c>
      <c r="M407">
        <v>3</v>
      </c>
      <c r="N407">
        <v>1</v>
      </c>
      <c r="O407" t="s">
        <v>63</v>
      </c>
      <c r="P407">
        <v>1</v>
      </c>
      <c r="Q407" t="s">
        <v>56</v>
      </c>
      <c r="R407">
        <v>4031</v>
      </c>
      <c r="S407">
        <v>9396</v>
      </c>
      <c r="T407">
        <v>5</v>
      </c>
      <c r="U407" t="s">
        <v>51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  <c r="AG407" t="s">
        <v>78</v>
      </c>
      <c r="AH407" t="s">
        <v>71</v>
      </c>
      <c r="AI407">
        <v>1</v>
      </c>
      <c r="AJ407" t="s">
        <v>65</v>
      </c>
      <c r="AK407" t="s">
        <v>72</v>
      </c>
      <c r="AL407" t="s">
        <v>73</v>
      </c>
      <c r="AM407" t="s">
        <v>61</v>
      </c>
      <c r="AN407">
        <f t="shared" si="6"/>
        <v>6</v>
      </c>
    </row>
    <row r="408" spans="1:40">
      <c r="A408">
        <v>52</v>
      </c>
      <c r="B408" t="s">
        <v>51</v>
      </c>
      <c r="C408" t="s">
        <v>39</v>
      </c>
      <c r="D408">
        <v>319</v>
      </c>
      <c r="E408" t="s">
        <v>53</v>
      </c>
      <c r="F408">
        <v>3</v>
      </c>
      <c r="G408">
        <v>3</v>
      </c>
      <c r="H408" t="s">
        <v>69</v>
      </c>
      <c r="I408">
        <v>543</v>
      </c>
      <c r="J408">
        <v>4</v>
      </c>
      <c r="K408" t="s">
        <v>54</v>
      </c>
      <c r="L408">
        <v>39</v>
      </c>
      <c r="M408">
        <v>2</v>
      </c>
      <c r="N408">
        <v>3</v>
      </c>
      <c r="O408" t="s">
        <v>75</v>
      </c>
      <c r="P408">
        <v>3</v>
      </c>
      <c r="Q408" t="s">
        <v>56</v>
      </c>
      <c r="R408">
        <v>7969</v>
      </c>
      <c r="S408">
        <v>19609</v>
      </c>
      <c r="T408">
        <v>2</v>
      </c>
      <c r="U408" t="s">
        <v>38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  <c r="AG408" t="s">
        <v>57</v>
      </c>
      <c r="AH408" t="s">
        <v>46</v>
      </c>
      <c r="AI408">
        <v>0</v>
      </c>
      <c r="AJ408" t="s">
        <v>65</v>
      </c>
      <c r="AK408" t="s">
        <v>72</v>
      </c>
      <c r="AL408" t="s">
        <v>66</v>
      </c>
      <c r="AM408" t="s">
        <v>61</v>
      </c>
      <c r="AN408">
        <f t="shared" si="6"/>
        <v>0</v>
      </c>
    </row>
    <row r="409" spans="1:40">
      <c r="A409">
        <v>45</v>
      </c>
      <c r="B409" t="s">
        <v>51</v>
      </c>
      <c r="C409" t="s">
        <v>39</v>
      </c>
      <c r="D409">
        <v>192</v>
      </c>
      <c r="E409" t="s">
        <v>53</v>
      </c>
      <c r="F409">
        <v>10</v>
      </c>
      <c r="G409">
        <v>2</v>
      </c>
      <c r="H409" t="s">
        <v>41</v>
      </c>
      <c r="I409">
        <v>544</v>
      </c>
      <c r="J409">
        <v>1</v>
      </c>
      <c r="K409" t="s">
        <v>54</v>
      </c>
      <c r="L409">
        <v>69</v>
      </c>
      <c r="M409">
        <v>3</v>
      </c>
      <c r="N409">
        <v>1</v>
      </c>
      <c r="O409" t="s">
        <v>55</v>
      </c>
      <c r="P409">
        <v>4</v>
      </c>
      <c r="Q409" t="s">
        <v>56</v>
      </c>
      <c r="R409">
        <v>2654</v>
      </c>
      <c r="S409">
        <v>9655</v>
      </c>
      <c r="T409">
        <v>3</v>
      </c>
      <c r="U409" t="s">
        <v>51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  <c r="AG409" t="s">
        <v>45</v>
      </c>
      <c r="AH409" t="s">
        <v>71</v>
      </c>
      <c r="AI409">
        <v>0</v>
      </c>
      <c r="AJ409" t="s">
        <v>47</v>
      </c>
      <c r="AK409" t="s">
        <v>48</v>
      </c>
      <c r="AL409" t="s">
        <v>49</v>
      </c>
      <c r="AM409" t="s">
        <v>70</v>
      </c>
      <c r="AN409">
        <f t="shared" si="6"/>
        <v>-1</v>
      </c>
    </row>
    <row r="410" spans="1:40">
      <c r="A410">
        <v>52</v>
      </c>
      <c r="B410" t="s">
        <v>51</v>
      </c>
      <c r="C410" t="s">
        <v>39</v>
      </c>
      <c r="D410">
        <v>1490</v>
      </c>
      <c r="E410" t="s">
        <v>53</v>
      </c>
      <c r="F410">
        <v>4</v>
      </c>
      <c r="G410">
        <v>2</v>
      </c>
      <c r="H410" t="s">
        <v>41</v>
      </c>
      <c r="I410">
        <v>546</v>
      </c>
      <c r="J410">
        <v>4</v>
      </c>
      <c r="K410" t="s">
        <v>42</v>
      </c>
      <c r="L410">
        <v>30</v>
      </c>
      <c r="M410">
        <v>3</v>
      </c>
      <c r="N410">
        <v>4</v>
      </c>
      <c r="O410" t="s">
        <v>79</v>
      </c>
      <c r="P410">
        <v>4</v>
      </c>
      <c r="Q410" t="s">
        <v>56</v>
      </c>
      <c r="R410">
        <v>16555</v>
      </c>
      <c r="S410">
        <v>10310</v>
      </c>
      <c r="T410">
        <v>2</v>
      </c>
      <c r="U410" t="s">
        <v>51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  <c r="AG410" t="s">
        <v>57</v>
      </c>
      <c r="AH410" t="s">
        <v>46</v>
      </c>
      <c r="AI410">
        <v>0</v>
      </c>
      <c r="AJ410" t="s">
        <v>47</v>
      </c>
      <c r="AK410" t="s">
        <v>48</v>
      </c>
      <c r="AL410" t="s">
        <v>49</v>
      </c>
      <c r="AM410" t="s">
        <v>50</v>
      </c>
      <c r="AN410">
        <f t="shared" si="6"/>
        <v>2</v>
      </c>
    </row>
    <row r="411" spans="1:40">
      <c r="A411">
        <v>42</v>
      </c>
      <c r="B411" t="s">
        <v>51</v>
      </c>
      <c r="C411" t="s">
        <v>52</v>
      </c>
      <c r="D411">
        <v>532</v>
      </c>
      <c r="E411" t="s">
        <v>53</v>
      </c>
      <c r="F411">
        <v>29</v>
      </c>
      <c r="G411">
        <v>2</v>
      </c>
      <c r="H411" t="s">
        <v>41</v>
      </c>
      <c r="I411">
        <v>547</v>
      </c>
      <c r="J411">
        <v>1</v>
      </c>
      <c r="K411" t="s">
        <v>42</v>
      </c>
      <c r="L411">
        <v>92</v>
      </c>
      <c r="M411">
        <v>3</v>
      </c>
      <c r="N411">
        <v>2</v>
      </c>
      <c r="O411" t="s">
        <v>55</v>
      </c>
      <c r="P411">
        <v>3</v>
      </c>
      <c r="Q411" t="s">
        <v>74</v>
      </c>
      <c r="R411">
        <v>4556</v>
      </c>
      <c r="S411">
        <v>12932</v>
      </c>
      <c r="T411">
        <v>2</v>
      </c>
      <c r="U411" t="s">
        <v>51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  <c r="AG411" t="s">
        <v>45</v>
      </c>
      <c r="AH411" t="s">
        <v>46</v>
      </c>
      <c r="AI411">
        <v>0</v>
      </c>
      <c r="AJ411" t="s">
        <v>65</v>
      </c>
      <c r="AK411" t="s">
        <v>48</v>
      </c>
      <c r="AL411" t="s">
        <v>66</v>
      </c>
      <c r="AM411" t="s">
        <v>61</v>
      </c>
      <c r="AN411">
        <f t="shared" si="6"/>
        <v>0</v>
      </c>
    </row>
    <row r="412" spans="1:40">
      <c r="A412">
        <v>30</v>
      </c>
      <c r="B412" t="s">
        <v>51</v>
      </c>
      <c r="C412" t="s">
        <v>39</v>
      </c>
      <c r="D412">
        <v>317</v>
      </c>
      <c r="E412" t="s">
        <v>53</v>
      </c>
      <c r="F412">
        <v>2</v>
      </c>
      <c r="G412">
        <v>3</v>
      </c>
      <c r="H412" t="s">
        <v>41</v>
      </c>
      <c r="I412">
        <v>548</v>
      </c>
      <c r="J412">
        <v>3</v>
      </c>
      <c r="K412" t="s">
        <v>42</v>
      </c>
      <c r="L412">
        <v>43</v>
      </c>
      <c r="M412">
        <v>1</v>
      </c>
      <c r="N412">
        <v>2</v>
      </c>
      <c r="O412" t="s">
        <v>75</v>
      </c>
      <c r="P412">
        <v>4</v>
      </c>
      <c r="Q412" t="s">
        <v>44</v>
      </c>
      <c r="R412">
        <v>6091</v>
      </c>
      <c r="S412">
        <v>24793</v>
      </c>
      <c r="T412">
        <v>2</v>
      </c>
      <c r="U412" t="s">
        <v>51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  <c r="AG412" t="s">
        <v>67</v>
      </c>
      <c r="AH412" t="s">
        <v>46</v>
      </c>
      <c r="AI412">
        <v>0</v>
      </c>
      <c r="AJ412" t="s">
        <v>65</v>
      </c>
      <c r="AK412" t="s">
        <v>72</v>
      </c>
      <c r="AL412" t="s">
        <v>49</v>
      </c>
      <c r="AM412" t="s">
        <v>61</v>
      </c>
      <c r="AN412">
        <f t="shared" si="6"/>
        <v>-3</v>
      </c>
    </row>
    <row r="413" spans="1:40">
      <c r="A413">
        <v>60</v>
      </c>
      <c r="B413" t="s">
        <v>51</v>
      </c>
      <c r="C413" t="s">
        <v>39</v>
      </c>
      <c r="D413">
        <v>422</v>
      </c>
      <c r="E413" t="s">
        <v>53</v>
      </c>
      <c r="F413">
        <v>7</v>
      </c>
      <c r="G413">
        <v>3</v>
      </c>
      <c r="H413" t="s">
        <v>41</v>
      </c>
      <c r="I413">
        <v>549</v>
      </c>
      <c r="J413">
        <v>1</v>
      </c>
      <c r="K413" t="s">
        <v>42</v>
      </c>
      <c r="L413">
        <v>41</v>
      </c>
      <c r="M413">
        <v>3</v>
      </c>
      <c r="N413">
        <v>5</v>
      </c>
      <c r="O413" t="s">
        <v>79</v>
      </c>
      <c r="P413">
        <v>1</v>
      </c>
      <c r="Q413" t="s">
        <v>56</v>
      </c>
      <c r="R413">
        <v>19566</v>
      </c>
      <c r="S413">
        <v>3854</v>
      </c>
      <c r="T413">
        <v>5</v>
      </c>
      <c r="U413" t="s">
        <v>51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  <c r="AG413" t="s">
        <v>57</v>
      </c>
      <c r="AH413" t="s">
        <v>81</v>
      </c>
      <c r="AI413">
        <v>0</v>
      </c>
      <c r="AJ413" t="s">
        <v>47</v>
      </c>
      <c r="AK413" t="s">
        <v>72</v>
      </c>
      <c r="AL413" t="s">
        <v>73</v>
      </c>
      <c r="AM413" t="s">
        <v>50</v>
      </c>
      <c r="AN413">
        <f t="shared" si="6"/>
        <v>21</v>
      </c>
    </row>
    <row r="414" spans="1:40">
      <c r="A414">
        <v>46</v>
      </c>
      <c r="B414" t="s">
        <v>51</v>
      </c>
      <c r="C414" t="s">
        <v>39</v>
      </c>
      <c r="D414">
        <v>1485</v>
      </c>
      <c r="E414" t="s">
        <v>53</v>
      </c>
      <c r="F414">
        <v>18</v>
      </c>
      <c r="G414">
        <v>3</v>
      </c>
      <c r="H414" t="s">
        <v>69</v>
      </c>
      <c r="I414">
        <v>550</v>
      </c>
      <c r="J414">
        <v>3</v>
      </c>
      <c r="K414" t="s">
        <v>42</v>
      </c>
      <c r="L414">
        <v>87</v>
      </c>
      <c r="M414">
        <v>3</v>
      </c>
      <c r="N414">
        <v>2</v>
      </c>
      <c r="O414" t="s">
        <v>75</v>
      </c>
      <c r="P414">
        <v>3</v>
      </c>
      <c r="Q414" t="s">
        <v>74</v>
      </c>
      <c r="R414">
        <v>4810</v>
      </c>
      <c r="S414">
        <v>26314</v>
      </c>
      <c r="T414">
        <v>2</v>
      </c>
      <c r="U414" t="s">
        <v>51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  <c r="AG414" t="s">
        <v>57</v>
      </c>
      <c r="AH414" t="s">
        <v>46</v>
      </c>
      <c r="AI414">
        <v>0</v>
      </c>
      <c r="AJ414" t="s">
        <v>47</v>
      </c>
      <c r="AK414" t="s">
        <v>72</v>
      </c>
      <c r="AL414" t="s">
        <v>66</v>
      </c>
      <c r="AM414" t="s">
        <v>70</v>
      </c>
      <c r="AN414">
        <f t="shared" si="6"/>
        <v>2</v>
      </c>
    </row>
    <row r="415" spans="1:40">
      <c r="A415">
        <v>42</v>
      </c>
      <c r="B415" t="s">
        <v>51</v>
      </c>
      <c r="C415" t="s">
        <v>52</v>
      </c>
      <c r="D415">
        <v>1368</v>
      </c>
      <c r="E415" t="s">
        <v>53</v>
      </c>
      <c r="F415">
        <v>28</v>
      </c>
      <c r="G415">
        <v>4</v>
      </c>
      <c r="H415" t="s">
        <v>86</v>
      </c>
      <c r="I415">
        <v>551</v>
      </c>
      <c r="J415">
        <v>4</v>
      </c>
      <c r="K415" t="s">
        <v>42</v>
      </c>
      <c r="L415">
        <v>88</v>
      </c>
      <c r="M415">
        <v>2</v>
      </c>
      <c r="N415">
        <v>2</v>
      </c>
      <c r="O415" t="s">
        <v>76</v>
      </c>
      <c r="P415">
        <v>4</v>
      </c>
      <c r="Q415" t="s">
        <v>56</v>
      </c>
      <c r="R415">
        <v>4523</v>
      </c>
      <c r="S415">
        <v>4386</v>
      </c>
      <c r="T415">
        <v>0</v>
      </c>
      <c r="U415" t="s">
        <v>51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  <c r="AG415" t="s">
        <v>45</v>
      </c>
      <c r="AH415" t="s">
        <v>81</v>
      </c>
      <c r="AI415">
        <v>0</v>
      </c>
      <c r="AJ415" t="s">
        <v>58</v>
      </c>
      <c r="AK415" t="s">
        <v>68</v>
      </c>
      <c r="AL415" t="s">
        <v>49</v>
      </c>
      <c r="AM415" t="s">
        <v>85</v>
      </c>
      <c r="AN415">
        <f t="shared" si="6"/>
        <v>-5</v>
      </c>
    </row>
    <row r="416" spans="1:40">
      <c r="A416">
        <v>24</v>
      </c>
      <c r="B416" t="s">
        <v>38</v>
      </c>
      <c r="C416" t="s">
        <v>39</v>
      </c>
      <c r="D416">
        <v>1448</v>
      </c>
      <c r="E416" t="s">
        <v>40</v>
      </c>
      <c r="F416">
        <v>1</v>
      </c>
      <c r="G416">
        <v>1</v>
      </c>
      <c r="H416" t="s">
        <v>86</v>
      </c>
      <c r="I416">
        <v>554</v>
      </c>
      <c r="J416">
        <v>1</v>
      </c>
      <c r="K416" t="s">
        <v>42</v>
      </c>
      <c r="L416">
        <v>62</v>
      </c>
      <c r="M416">
        <v>3</v>
      </c>
      <c r="N416">
        <v>1</v>
      </c>
      <c r="O416" t="s">
        <v>82</v>
      </c>
      <c r="P416">
        <v>2</v>
      </c>
      <c r="Q416" t="s">
        <v>44</v>
      </c>
      <c r="R416">
        <v>3202</v>
      </c>
      <c r="S416">
        <v>21972</v>
      </c>
      <c r="T416">
        <v>1</v>
      </c>
      <c r="U416" t="s">
        <v>38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  <c r="AG416" t="s">
        <v>78</v>
      </c>
      <c r="AH416" t="s">
        <v>46</v>
      </c>
      <c r="AI416">
        <v>1</v>
      </c>
      <c r="AJ416" t="s">
        <v>65</v>
      </c>
      <c r="AK416" t="s">
        <v>59</v>
      </c>
      <c r="AL416" t="s">
        <v>60</v>
      </c>
      <c r="AM416" t="s">
        <v>61</v>
      </c>
      <c r="AN416">
        <f t="shared" si="6"/>
        <v>4</v>
      </c>
    </row>
    <row r="417" spans="1:40">
      <c r="A417">
        <v>34</v>
      </c>
      <c r="B417" t="s">
        <v>38</v>
      </c>
      <c r="C417" t="s">
        <v>52</v>
      </c>
      <c r="D417">
        <v>296</v>
      </c>
      <c r="E417" t="s">
        <v>40</v>
      </c>
      <c r="F417">
        <v>6</v>
      </c>
      <c r="G417">
        <v>2</v>
      </c>
      <c r="H417" t="s">
        <v>84</v>
      </c>
      <c r="I417">
        <v>555</v>
      </c>
      <c r="J417">
        <v>4</v>
      </c>
      <c r="K417" t="s">
        <v>42</v>
      </c>
      <c r="L417">
        <v>33</v>
      </c>
      <c r="M417">
        <v>1</v>
      </c>
      <c r="N417">
        <v>1</v>
      </c>
      <c r="O417" t="s">
        <v>82</v>
      </c>
      <c r="P417">
        <v>3</v>
      </c>
      <c r="Q417" t="s">
        <v>74</v>
      </c>
      <c r="R417">
        <v>2351</v>
      </c>
      <c r="S417">
        <v>12253</v>
      </c>
      <c r="T417">
        <v>0</v>
      </c>
      <c r="U417" t="s">
        <v>51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  <c r="AG417" t="s">
        <v>67</v>
      </c>
      <c r="AH417" t="s">
        <v>46</v>
      </c>
      <c r="AI417">
        <v>1</v>
      </c>
      <c r="AJ417" t="s">
        <v>47</v>
      </c>
      <c r="AK417" t="s">
        <v>48</v>
      </c>
      <c r="AL417" t="s">
        <v>66</v>
      </c>
      <c r="AM417" t="s">
        <v>70</v>
      </c>
      <c r="AN417">
        <f t="shared" si="6"/>
        <v>3</v>
      </c>
    </row>
    <row r="418" spans="1:40">
      <c r="A418">
        <v>38</v>
      </c>
      <c r="B418" t="s">
        <v>51</v>
      </c>
      <c r="C418" t="s">
        <v>52</v>
      </c>
      <c r="D418">
        <v>1490</v>
      </c>
      <c r="E418" t="s">
        <v>53</v>
      </c>
      <c r="F418">
        <v>2</v>
      </c>
      <c r="G418">
        <v>2</v>
      </c>
      <c r="H418" t="s">
        <v>41</v>
      </c>
      <c r="I418">
        <v>556</v>
      </c>
      <c r="J418">
        <v>4</v>
      </c>
      <c r="K418" t="s">
        <v>54</v>
      </c>
      <c r="L418">
        <v>42</v>
      </c>
      <c r="M418">
        <v>3</v>
      </c>
      <c r="N418">
        <v>1</v>
      </c>
      <c r="O418" t="s">
        <v>63</v>
      </c>
      <c r="P418">
        <v>4</v>
      </c>
      <c r="Q418" t="s">
        <v>56</v>
      </c>
      <c r="R418">
        <v>1702</v>
      </c>
      <c r="S418">
        <v>12106</v>
      </c>
      <c r="T418">
        <v>1</v>
      </c>
      <c r="U418" t="s">
        <v>38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  <c r="AG418" t="s">
        <v>45</v>
      </c>
      <c r="AH418" t="s">
        <v>46</v>
      </c>
      <c r="AI418">
        <v>0</v>
      </c>
      <c r="AJ418" t="s">
        <v>65</v>
      </c>
      <c r="AK418" t="s">
        <v>48</v>
      </c>
      <c r="AL418" t="s">
        <v>49</v>
      </c>
      <c r="AM418" t="s">
        <v>61</v>
      </c>
      <c r="AN418">
        <f t="shared" si="6"/>
        <v>-3</v>
      </c>
    </row>
    <row r="419" spans="1:40">
      <c r="A419">
        <v>40</v>
      </c>
      <c r="B419" t="s">
        <v>51</v>
      </c>
      <c r="C419" t="s">
        <v>39</v>
      </c>
      <c r="D419">
        <v>1398</v>
      </c>
      <c r="E419" t="s">
        <v>40</v>
      </c>
      <c r="F419">
        <v>2</v>
      </c>
      <c r="G419">
        <v>4</v>
      </c>
      <c r="H419" t="s">
        <v>41</v>
      </c>
      <c r="I419">
        <v>558</v>
      </c>
      <c r="J419">
        <v>3</v>
      </c>
      <c r="K419" t="s">
        <v>42</v>
      </c>
      <c r="L419">
        <v>79</v>
      </c>
      <c r="M419">
        <v>3</v>
      </c>
      <c r="N419">
        <v>5</v>
      </c>
      <c r="O419" t="s">
        <v>79</v>
      </c>
      <c r="P419">
        <v>3</v>
      </c>
      <c r="Q419" t="s">
        <v>56</v>
      </c>
      <c r="R419">
        <v>18041</v>
      </c>
      <c r="S419">
        <v>13022</v>
      </c>
      <c r="T419">
        <v>0</v>
      </c>
      <c r="U419" t="s">
        <v>51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  <c r="AG419" t="s">
        <v>45</v>
      </c>
      <c r="AH419" t="s">
        <v>46</v>
      </c>
      <c r="AI419">
        <v>0</v>
      </c>
      <c r="AJ419" t="s">
        <v>80</v>
      </c>
      <c r="AK419" t="s">
        <v>68</v>
      </c>
      <c r="AL419" t="s">
        <v>66</v>
      </c>
      <c r="AM419" t="s">
        <v>61</v>
      </c>
      <c r="AN419">
        <f t="shared" si="6"/>
        <v>1</v>
      </c>
    </row>
    <row r="420" spans="1:40">
      <c r="A420">
        <v>26</v>
      </c>
      <c r="B420" t="s">
        <v>51</v>
      </c>
      <c r="C420" t="s">
        <v>39</v>
      </c>
      <c r="D420">
        <v>1349</v>
      </c>
      <c r="E420" t="s">
        <v>53</v>
      </c>
      <c r="F420">
        <v>23</v>
      </c>
      <c r="G420">
        <v>3</v>
      </c>
      <c r="H420" t="s">
        <v>41</v>
      </c>
      <c r="I420">
        <v>560</v>
      </c>
      <c r="J420">
        <v>1</v>
      </c>
      <c r="K420" t="s">
        <v>42</v>
      </c>
      <c r="L420">
        <v>90</v>
      </c>
      <c r="M420">
        <v>3</v>
      </c>
      <c r="N420">
        <v>1</v>
      </c>
      <c r="O420" t="s">
        <v>55</v>
      </c>
      <c r="P420">
        <v>4</v>
      </c>
      <c r="Q420" t="s">
        <v>74</v>
      </c>
      <c r="R420">
        <v>2886</v>
      </c>
      <c r="S420">
        <v>3032</v>
      </c>
      <c r="T420">
        <v>1</v>
      </c>
      <c r="U420" t="s">
        <v>51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  <c r="AG420" t="s">
        <v>67</v>
      </c>
      <c r="AH420" t="s">
        <v>81</v>
      </c>
      <c r="AI420">
        <v>0</v>
      </c>
      <c r="AJ420" t="s">
        <v>47</v>
      </c>
      <c r="AK420" t="s">
        <v>72</v>
      </c>
      <c r="AL420" t="s">
        <v>49</v>
      </c>
      <c r="AM420" t="s">
        <v>50</v>
      </c>
      <c r="AN420">
        <f t="shared" si="6"/>
        <v>1</v>
      </c>
    </row>
    <row r="421" spans="1:40">
      <c r="A421">
        <v>30</v>
      </c>
      <c r="B421" t="s">
        <v>51</v>
      </c>
      <c r="C421" t="s">
        <v>77</v>
      </c>
      <c r="D421">
        <v>1400</v>
      </c>
      <c r="E421" t="s">
        <v>53</v>
      </c>
      <c r="F421">
        <v>3</v>
      </c>
      <c r="G421">
        <v>3</v>
      </c>
      <c r="H421" t="s">
        <v>41</v>
      </c>
      <c r="I421">
        <v>562</v>
      </c>
      <c r="J421">
        <v>3</v>
      </c>
      <c r="K421" t="s">
        <v>54</v>
      </c>
      <c r="L421">
        <v>53</v>
      </c>
      <c r="M421">
        <v>3</v>
      </c>
      <c r="N421">
        <v>1</v>
      </c>
      <c r="O421" t="s">
        <v>63</v>
      </c>
      <c r="P421">
        <v>4</v>
      </c>
      <c r="Q421" t="s">
        <v>56</v>
      </c>
      <c r="R421">
        <v>2097</v>
      </c>
      <c r="S421">
        <v>16734</v>
      </c>
      <c r="T421">
        <v>4</v>
      </c>
      <c r="U421" t="s">
        <v>51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  <c r="AG421" t="s">
        <v>67</v>
      </c>
      <c r="AH421" t="s">
        <v>46</v>
      </c>
      <c r="AI421">
        <v>0</v>
      </c>
      <c r="AJ421" t="s">
        <v>47</v>
      </c>
      <c r="AK421" t="s">
        <v>72</v>
      </c>
      <c r="AL421" t="s">
        <v>49</v>
      </c>
      <c r="AM421" t="s">
        <v>50</v>
      </c>
      <c r="AN421">
        <f t="shared" si="6"/>
        <v>2</v>
      </c>
    </row>
    <row r="422" spans="1:40">
      <c r="A422">
        <v>29</v>
      </c>
      <c r="B422" t="s">
        <v>51</v>
      </c>
      <c r="C422" t="s">
        <v>39</v>
      </c>
      <c r="D422">
        <v>986</v>
      </c>
      <c r="E422" t="s">
        <v>53</v>
      </c>
      <c r="F422">
        <v>3</v>
      </c>
      <c r="G422">
        <v>4</v>
      </c>
      <c r="H422" t="s">
        <v>69</v>
      </c>
      <c r="I422">
        <v>564</v>
      </c>
      <c r="J422">
        <v>2</v>
      </c>
      <c r="K422" t="s">
        <v>54</v>
      </c>
      <c r="L422">
        <v>93</v>
      </c>
      <c r="M422">
        <v>2</v>
      </c>
      <c r="N422">
        <v>3</v>
      </c>
      <c r="O422" t="s">
        <v>83</v>
      </c>
      <c r="P422">
        <v>3</v>
      </c>
      <c r="Q422" t="s">
        <v>56</v>
      </c>
      <c r="R422">
        <v>11935</v>
      </c>
      <c r="S422">
        <v>21526</v>
      </c>
      <c r="T422">
        <v>1</v>
      </c>
      <c r="U422" t="s">
        <v>51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  <c r="AG422" t="s">
        <v>67</v>
      </c>
      <c r="AH422" t="s">
        <v>46</v>
      </c>
      <c r="AI422">
        <v>0</v>
      </c>
      <c r="AJ422" t="s">
        <v>58</v>
      </c>
      <c r="AK422" t="s">
        <v>68</v>
      </c>
      <c r="AL422" t="s">
        <v>66</v>
      </c>
      <c r="AM422" t="s">
        <v>61</v>
      </c>
      <c r="AN422">
        <f t="shared" si="6"/>
        <v>0</v>
      </c>
    </row>
    <row r="423" spans="1:40">
      <c r="A423">
        <v>29</v>
      </c>
      <c r="B423" t="s">
        <v>38</v>
      </c>
      <c r="C423" t="s">
        <v>39</v>
      </c>
      <c r="D423">
        <v>408</v>
      </c>
      <c r="E423" t="s">
        <v>53</v>
      </c>
      <c r="F423">
        <v>25</v>
      </c>
      <c r="G423">
        <v>5</v>
      </c>
      <c r="H423" t="s">
        <v>86</v>
      </c>
      <c r="I423">
        <v>565</v>
      </c>
      <c r="J423">
        <v>3</v>
      </c>
      <c r="K423" t="s">
        <v>42</v>
      </c>
      <c r="L423">
        <v>71</v>
      </c>
      <c r="M423">
        <v>2</v>
      </c>
      <c r="N423">
        <v>1</v>
      </c>
      <c r="O423" t="s">
        <v>55</v>
      </c>
      <c r="P423">
        <v>2</v>
      </c>
      <c r="Q423" t="s">
        <v>56</v>
      </c>
      <c r="R423">
        <v>2546</v>
      </c>
      <c r="S423">
        <v>18300</v>
      </c>
      <c r="T423">
        <v>5</v>
      </c>
      <c r="U423" t="s">
        <v>51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  <c r="AG423" t="s">
        <v>67</v>
      </c>
      <c r="AH423" t="s">
        <v>46</v>
      </c>
      <c r="AI423">
        <v>1</v>
      </c>
      <c r="AJ423" t="s">
        <v>65</v>
      </c>
      <c r="AK423" t="s">
        <v>87</v>
      </c>
      <c r="AL423" t="s">
        <v>60</v>
      </c>
      <c r="AM423" t="s">
        <v>85</v>
      </c>
      <c r="AN423">
        <f t="shared" si="6"/>
        <v>2</v>
      </c>
    </row>
    <row r="424" spans="1:40">
      <c r="A424">
        <v>19</v>
      </c>
      <c r="B424" t="s">
        <v>38</v>
      </c>
      <c r="C424" t="s">
        <v>39</v>
      </c>
      <c r="D424">
        <v>489</v>
      </c>
      <c r="E424" t="s">
        <v>88</v>
      </c>
      <c r="F424">
        <v>2</v>
      </c>
      <c r="G424">
        <v>2</v>
      </c>
      <c r="H424" t="s">
        <v>86</v>
      </c>
      <c r="I424">
        <v>566</v>
      </c>
      <c r="J424">
        <v>1</v>
      </c>
      <c r="K424" t="s">
        <v>54</v>
      </c>
      <c r="L424">
        <v>52</v>
      </c>
      <c r="M424">
        <v>2</v>
      </c>
      <c r="N424">
        <v>1</v>
      </c>
      <c r="O424" t="s">
        <v>88</v>
      </c>
      <c r="P424">
        <v>4</v>
      </c>
      <c r="Q424" t="s">
        <v>44</v>
      </c>
      <c r="R424">
        <v>2564</v>
      </c>
      <c r="S424">
        <v>18437</v>
      </c>
      <c r="T424">
        <v>1</v>
      </c>
      <c r="U424" t="s">
        <v>51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  <c r="AG424" t="s">
        <v>78</v>
      </c>
      <c r="AH424" t="s">
        <v>46</v>
      </c>
      <c r="AI424">
        <v>1</v>
      </c>
      <c r="AJ424" t="s">
        <v>65</v>
      </c>
      <c r="AK424" t="s">
        <v>48</v>
      </c>
      <c r="AL424" t="s">
        <v>49</v>
      </c>
      <c r="AM424" t="s">
        <v>85</v>
      </c>
      <c r="AN424">
        <f t="shared" si="6"/>
        <v>-5</v>
      </c>
    </row>
    <row r="425" spans="1:40">
      <c r="A425">
        <v>30</v>
      </c>
      <c r="B425" t="s">
        <v>51</v>
      </c>
      <c r="C425" t="s">
        <v>77</v>
      </c>
      <c r="D425">
        <v>1398</v>
      </c>
      <c r="E425" t="s">
        <v>40</v>
      </c>
      <c r="F425">
        <v>22</v>
      </c>
      <c r="G425">
        <v>4</v>
      </c>
      <c r="H425" t="s">
        <v>62</v>
      </c>
      <c r="I425">
        <v>567</v>
      </c>
      <c r="J425">
        <v>3</v>
      </c>
      <c r="K425" t="s">
        <v>42</v>
      </c>
      <c r="L425">
        <v>69</v>
      </c>
      <c r="M425">
        <v>3</v>
      </c>
      <c r="N425">
        <v>3</v>
      </c>
      <c r="O425" t="s">
        <v>43</v>
      </c>
      <c r="P425">
        <v>1</v>
      </c>
      <c r="Q425" t="s">
        <v>56</v>
      </c>
      <c r="R425">
        <v>8412</v>
      </c>
      <c r="S425">
        <v>2890</v>
      </c>
      <c r="T425">
        <v>0</v>
      </c>
      <c r="U425" t="s">
        <v>51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  <c r="AG425" t="s">
        <v>67</v>
      </c>
      <c r="AH425" t="s">
        <v>64</v>
      </c>
      <c r="AI425">
        <v>0</v>
      </c>
      <c r="AJ425" t="s">
        <v>58</v>
      </c>
      <c r="AK425" t="s">
        <v>68</v>
      </c>
      <c r="AL425" t="s">
        <v>73</v>
      </c>
      <c r="AM425" t="s">
        <v>61</v>
      </c>
      <c r="AN425">
        <f t="shared" si="6"/>
        <v>13</v>
      </c>
    </row>
    <row r="426" spans="1:40">
      <c r="A426">
        <v>57</v>
      </c>
      <c r="B426" t="s">
        <v>51</v>
      </c>
      <c r="C426" t="s">
        <v>39</v>
      </c>
      <c r="D426">
        <v>210</v>
      </c>
      <c r="E426" t="s">
        <v>40</v>
      </c>
      <c r="F426">
        <v>29</v>
      </c>
      <c r="G426">
        <v>3</v>
      </c>
      <c r="H426" t="s">
        <v>84</v>
      </c>
      <c r="I426">
        <v>568</v>
      </c>
      <c r="J426">
        <v>1</v>
      </c>
      <c r="K426" t="s">
        <v>54</v>
      </c>
      <c r="L426">
        <v>56</v>
      </c>
      <c r="M426">
        <v>2</v>
      </c>
      <c r="N426">
        <v>4</v>
      </c>
      <c r="O426" t="s">
        <v>79</v>
      </c>
      <c r="P426">
        <v>4</v>
      </c>
      <c r="Q426" t="s">
        <v>74</v>
      </c>
      <c r="R426">
        <v>14118</v>
      </c>
      <c r="S426">
        <v>22102</v>
      </c>
      <c r="T426">
        <v>3</v>
      </c>
      <c r="U426" t="s">
        <v>51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  <c r="AG426" t="s">
        <v>57</v>
      </c>
      <c r="AH426" t="s">
        <v>46</v>
      </c>
      <c r="AI426">
        <v>0</v>
      </c>
      <c r="AJ426" t="s">
        <v>47</v>
      </c>
      <c r="AK426" t="s">
        <v>72</v>
      </c>
      <c r="AL426" t="s">
        <v>49</v>
      </c>
      <c r="AM426" t="s">
        <v>70</v>
      </c>
      <c r="AN426">
        <f t="shared" si="6"/>
        <v>-1</v>
      </c>
    </row>
    <row r="427" spans="1:40">
      <c r="A427">
        <v>50</v>
      </c>
      <c r="B427" t="s">
        <v>51</v>
      </c>
      <c r="C427" t="s">
        <v>39</v>
      </c>
      <c r="D427">
        <v>1099</v>
      </c>
      <c r="E427" t="s">
        <v>53</v>
      </c>
      <c r="F427">
        <v>29</v>
      </c>
      <c r="G427">
        <v>4</v>
      </c>
      <c r="H427" t="s">
        <v>41</v>
      </c>
      <c r="I427">
        <v>569</v>
      </c>
      <c r="J427">
        <v>2</v>
      </c>
      <c r="K427" t="s">
        <v>54</v>
      </c>
      <c r="L427">
        <v>88</v>
      </c>
      <c r="M427">
        <v>2</v>
      </c>
      <c r="N427">
        <v>4</v>
      </c>
      <c r="O427" t="s">
        <v>79</v>
      </c>
      <c r="P427">
        <v>3</v>
      </c>
      <c r="Q427" t="s">
        <v>56</v>
      </c>
      <c r="R427">
        <v>17046</v>
      </c>
      <c r="S427">
        <v>9314</v>
      </c>
      <c r="T427">
        <v>0</v>
      </c>
      <c r="U427" t="s">
        <v>51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  <c r="AG427" t="s">
        <v>57</v>
      </c>
      <c r="AH427" t="s">
        <v>71</v>
      </c>
      <c r="AI427">
        <v>0</v>
      </c>
      <c r="AJ427" t="s">
        <v>80</v>
      </c>
      <c r="AK427" t="s">
        <v>68</v>
      </c>
      <c r="AL427" t="s">
        <v>66</v>
      </c>
      <c r="AM427" t="s">
        <v>61</v>
      </c>
      <c r="AN427">
        <f t="shared" si="6"/>
        <v>15</v>
      </c>
    </row>
    <row r="428" spans="1:40">
      <c r="A428">
        <v>30</v>
      </c>
      <c r="B428" t="s">
        <v>51</v>
      </c>
      <c r="C428" t="s">
        <v>77</v>
      </c>
      <c r="D428">
        <v>1116</v>
      </c>
      <c r="E428" t="s">
        <v>53</v>
      </c>
      <c r="F428">
        <v>2</v>
      </c>
      <c r="G428">
        <v>3</v>
      </c>
      <c r="H428" t="s">
        <v>69</v>
      </c>
      <c r="I428">
        <v>571</v>
      </c>
      <c r="J428">
        <v>3</v>
      </c>
      <c r="K428" t="s">
        <v>42</v>
      </c>
      <c r="L428">
        <v>49</v>
      </c>
      <c r="M428">
        <v>3</v>
      </c>
      <c r="N428">
        <v>1</v>
      </c>
      <c r="O428" t="s">
        <v>63</v>
      </c>
      <c r="P428">
        <v>4</v>
      </c>
      <c r="Q428" t="s">
        <v>44</v>
      </c>
      <c r="R428">
        <v>2564</v>
      </c>
      <c r="S428">
        <v>7181</v>
      </c>
      <c r="T428">
        <v>0</v>
      </c>
      <c r="U428" t="s">
        <v>51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  <c r="AG428" t="s">
        <v>67</v>
      </c>
      <c r="AH428" t="s">
        <v>71</v>
      </c>
      <c r="AI428">
        <v>0</v>
      </c>
      <c r="AJ428" t="s">
        <v>47</v>
      </c>
      <c r="AK428" t="s">
        <v>72</v>
      </c>
      <c r="AL428" t="s">
        <v>49</v>
      </c>
      <c r="AM428" t="s">
        <v>70</v>
      </c>
      <c r="AN428">
        <f t="shared" si="6"/>
        <v>5</v>
      </c>
    </row>
    <row r="429" spans="1:40">
      <c r="A429">
        <v>60</v>
      </c>
      <c r="B429" t="s">
        <v>51</v>
      </c>
      <c r="C429" t="s">
        <v>52</v>
      </c>
      <c r="D429">
        <v>1499</v>
      </c>
      <c r="E429" t="s">
        <v>40</v>
      </c>
      <c r="F429">
        <v>28</v>
      </c>
      <c r="G429">
        <v>3</v>
      </c>
      <c r="H429" t="s">
        <v>84</v>
      </c>
      <c r="I429">
        <v>573</v>
      </c>
      <c r="J429">
        <v>3</v>
      </c>
      <c r="K429" t="s">
        <v>42</v>
      </c>
      <c r="L429">
        <v>80</v>
      </c>
      <c r="M429">
        <v>2</v>
      </c>
      <c r="N429">
        <v>3</v>
      </c>
      <c r="O429" t="s">
        <v>43</v>
      </c>
      <c r="P429">
        <v>1</v>
      </c>
      <c r="Q429" t="s">
        <v>56</v>
      </c>
      <c r="R429">
        <v>10266</v>
      </c>
      <c r="S429">
        <v>2845</v>
      </c>
      <c r="T429">
        <v>4</v>
      </c>
      <c r="U429" t="s">
        <v>51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  <c r="AG429" t="s">
        <v>57</v>
      </c>
      <c r="AH429" t="s">
        <v>64</v>
      </c>
      <c r="AI429">
        <v>0</v>
      </c>
      <c r="AJ429" t="s">
        <v>80</v>
      </c>
      <c r="AK429" t="s">
        <v>72</v>
      </c>
      <c r="AL429" t="s">
        <v>73</v>
      </c>
      <c r="AM429" t="s">
        <v>85</v>
      </c>
      <c r="AN429">
        <f t="shared" si="6"/>
        <v>17</v>
      </c>
    </row>
    <row r="430" spans="1:40">
      <c r="A430">
        <v>47</v>
      </c>
      <c r="B430" t="s">
        <v>51</v>
      </c>
      <c r="C430" t="s">
        <v>39</v>
      </c>
      <c r="D430">
        <v>983</v>
      </c>
      <c r="E430" t="s">
        <v>53</v>
      </c>
      <c r="F430">
        <v>2</v>
      </c>
      <c r="G430">
        <v>2</v>
      </c>
      <c r="H430" t="s">
        <v>69</v>
      </c>
      <c r="I430">
        <v>574</v>
      </c>
      <c r="J430">
        <v>1</v>
      </c>
      <c r="K430" t="s">
        <v>42</v>
      </c>
      <c r="L430">
        <v>65</v>
      </c>
      <c r="M430">
        <v>3</v>
      </c>
      <c r="N430">
        <v>2</v>
      </c>
      <c r="O430" t="s">
        <v>75</v>
      </c>
      <c r="P430">
        <v>4</v>
      </c>
      <c r="Q430" t="s">
        <v>74</v>
      </c>
      <c r="R430">
        <v>5070</v>
      </c>
      <c r="S430">
        <v>7389</v>
      </c>
      <c r="T430">
        <v>5</v>
      </c>
      <c r="U430" t="s">
        <v>51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  <c r="AG430" t="s">
        <v>57</v>
      </c>
      <c r="AH430" t="s">
        <v>71</v>
      </c>
      <c r="AI430">
        <v>0</v>
      </c>
      <c r="AJ430" t="s">
        <v>65</v>
      </c>
      <c r="AK430" t="s">
        <v>48</v>
      </c>
      <c r="AL430" t="s">
        <v>49</v>
      </c>
      <c r="AM430" t="s">
        <v>61</v>
      </c>
      <c r="AN430">
        <f t="shared" si="6"/>
        <v>-3</v>
      </c>
    </row>
    <row r="431" spans="1:40">
      <c r="A431">
        <v>46</v>
      </c>
      <c r="B431" t="s">
        <v>51</v>
      </c>
      <c r="C431" t="s">
        <v>39</v>
      </c>
      <c r="D431">
        <v>1009</v>
      </c>
      <c r="E431" t="s">
        <v>53</v>
      </c>
      <c r="F431">
        <v>2</v>
      </c>
      <c r="G431">
        <v>3</v>
      </c>
      <c r="H431" t="s">
        <v>41</v>
      </c>
      <c r="I431">
        <v>575</v>
      </c>
      <c r="J431">
        <v>1</v>
      </c>
      <c r="K431" t="s">
        <v>54</v>
      </c>
      <c r="L431">
        <v>51</v>
      </c>
      <c r="M431">
        <v>3</v>
      </c>
      <c r="N431">
        <v>4</v>
      </c>
      <c r="O431" t="s">
        <v>83</v>
      </c>
      <c r="P431">
        <v>3</v>
      </c>
      <c r="Q431" t="s">
        <v>56</v>
      </c>
      <c r="R431">
        <v>17861</v>
      </c>
      <c r="S431">
        <v>2288</v>
      </c>
      <c r="T431">
        <v>6</v>
      </c>
      <c r="U431" t="s">
        <v>51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  <c r="AG431" t="s">
        <v>57</v>
      </c>
      <c r="AH431" t="s">
        <v>64</v>
      </c>
      <c r="AI431">
        <v>0</v>
      </c>
      <c r="AJ431" t="s">
        <v>47</v>
      </c>
      <c r="AK431" t="s">
        <v>72</v>
      </c>
      <c r="AL431" t="s">
        <v>66</v>
      </c>
      <c r="AM431" t="s">
        <v>50</v>
      </c>
      <c r="AN431">
        <f t="shared" si="6"/>
        <v>4</v>
      </c>
    </row>
    <row r="432" spans="1:40">
      <c r="A432">
        <v>35</v>
      </c>
      <c r="B432" t="s">
        <v>51</v>
      </c>
      <c r="C432" t="s">
        <v>39</v>
      </c>
      <c r="D432">
        <v>144</v>
      </c>
      <c r="E432" t="s">
        <v>53</v>
      </c>
      <c r="F432">
        <v>22</v>
      </c>
      <c r="G432">
        <v>3</v>
      </c>
      <c r="H432" t="s">
        <v>41</v>
      </c>
      <c r="I432">
        <v>577</v>
      </c>
      <c r="J432">
        <v>4</v>
      </c>
      <c r="K432" t="s">
        <v>54</v>
      </c>
      <c r="L432">
        <v>46</v>
      </c>
      <c r="M432">
        <v>1</v>
      </c>
      <c r="N432">
        <v>1</v>
      </c>
      <c r="O432" t="s">
        <v>63</v>
      </c>
      <c r="P432">
        <v>3</v>
      </c>
      <c r="Q432" t="s">
        <v>44</v>
      </c>
      <c r="R432">
        <v>4230</v>
      </c>
      <c r="S432">
        <v>19225</v>
      </c>
      <c r="T432">
        <v>0</v>
      </c>
      <c r="U432" t="s">
        <v>51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  <c r="AG432" t="s">
        <v>67</v>
      </c>
      <c r="AH432" t="s">
        <v>46</v>
      </c>
      <c r="AI432">
        <v>0</v>
      </c>
      <c r="AJ432" t="s">
        <v>65</v>
      </c>
      <c r="AK432" t="s">
        <v>72</v>
      </c>
      <c r="AL432" t="s">
        <v>66</v>
      </c>
      <c r="AM432" t="s">
        <v>61</v>
      </c>
      <c r="AN432">
        <f t="shared" si="6"/>
        <v>4</v>
      </c>
    </row>
    <row r="433" spans="1:40">
      <c r="A433">
        <v>54</v>
      </c>
      <c r="B433" t="s">
        <v>51</v>
      </c>
      <c r="C433" t="s">
        <v>39</v>
      </c>
      <c r="D433">
        <v>548</v>
      </c>
      <c r="E433" t="s">
        <v>53</v>
      </c>
      <c r="F433">
        <v>8</v>
      </c>
      <c r="G433">
        <v>4</v>
      </c>
      <c r="H433" t="s">
        <v>41</v>
      </c>
      <c r="I433">
        <v>578</v>
      </c>
      <c r="J433">
        <v>3</v>
      </c>
      <c r="K433" t="s">
        <v>42</v>
      </c>
      <c r="L433">
        <v>42</v>
      </c>
      <c r="M433">
        <v>3</v>
      </c>
      <c r="N433">
        <v>2</v>
      </c>
      <c r="O433" t="s">
        <v>63</v>
      </c>
      <c r="P433">
        <v>3</v>
      </c>
      <c r="Q433" t="s">
        <v>44</v>
      </c>
      <c r="R433">
        <v>3780</v>
      </c>
      <c r="S433">
        <v>23428</v>
      </c>
      <c r="T433">
        <v>7</v>
      </c>
      <c r="U433" t="s">
        <v>51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  <c r="AG433" t="s">
        <v>57</v>
      </c>
      <c r="AH433" t="s">
        <v>46</v>
      </c>
      <c r="AI433">
        <v>0</v>
      </c>
      <c r="AJ433" t="s">
        <v>65</v>
      </c>
      <c r="AK433" t="s">
        <v>68</v>
      </c>
      <c r="AL433" t="s">
        <v>66</v>
      </c>
      <c r="AM433" t="s">
        <v>61</v>
      </c>
      <c r="AN433">
        <f t="shared" si="6"/>
        <v>0</v>
      </c>
    </row>
    <row r="434" spans="1:40">
      <c r="A434">
        <v>34</v>
      </c>
      <c r="B434" t="s">
        <v>51</v>
      </c>
      <c r="C434" t="s">
        <v>39</v>
      </c>
      <c r="D434">
        <v>1303</v>
      </c>
      <c r="E434" t="s">
        <v>53</v>
      </c>
      <c r="F434">
        <v>2</v>
      </c>
      <c r="G434">
        <v>4</v>
      </c>
      <c r="H434" t="s">
        <v>41</v>
      </c>
      <c r="I434">
        <v>579</v>
      </c>
      <c r="J434">
        <v>4</v>
      </c>
      <c r="K434" t="s">
        <v>54</v>
      </c>
      <c r="L434">
        <v>62</v>
      </c>
      <c r="M434">
        <v>2</v>
      </c>
      <c r="N434">
        <v>1</v>
      </c>
      <c r="O434" t="s">
        <v>55</v>
      </c>
      <c r="P434">
        <v>3</v>
      </c>
      <c r="Q434" t="s">
        <v>74</v>
      </c>
      <c r="R434">
        <v>2768</v>
      </c>
      <c r="S434">
        <v>8416</v>
      </c>
      <c r="T434">
        <v>3</v>
      </c>
      <c r="U434" t="s">
        <v>51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  <c r="AG434" t="s">
        <v>67</v>
      </c>
      <c r="AH434" t="s">
        <v>71</v>
      </c>
      <c r="AI434">
        <v>0</v>
      </c>
      <c r="AJ434" t="s">
        <v>58</v>
      </c>
      <c r="AK434" t="s">
        <v>68</v>
      </c>
      <c r="AL434" t="s">
        <v>66</v>
      </c>
      <c r="AM434" t="s">
        <v>61</v>
      </c>
      <c r="AN434">
        <f t="shared" si="6"/>
        <v>5</v>
      </c>
    </row>
    <row r="435" spans="1:40">
      <c r="A435">
        <v>46</v>
      </c>
      <c r="B435" t="s">
        <v>51</v>
      </c>
      <c r="C435" t="s">
        <v>39</v>
      </c>
      <c r="D435">
        <v>1125</v>
      </c>
      <c r="E435" t="s">
        <v>40</v>
      </c>
      <c r="F435">
        <v>10</v>
      </c>
      <c r="G435">
        <v>3</v>
      </c>
      <c r="H435" t="s">
        <v>84</v>
      </c>
      <c r="I435">
        <v>580</v>
      </c>
      <c r="J435">
        <v>3</v>
      </c>
      <c r="K435" t="s">
        <v>42</v>
      </c>
      <c r="L435">
        <v>94</v>
      </c>
      <c r="M435">
        <v>2</v>
      </c>
      <c r="N435">
        <v>3</v>
      </c>
      <c r="O435" t="s">
        <v>43</v>
      </c>
      <c r="P435">
        <v>4</v>
      </c>
      <c r="Q435" t="s">
        <v>56</v>
      </c>
      <c r="R435">
        <v>9071</v>
      </c>
      <c r="S435">
        <v>11563</v>
      </c>
      <c r="T435">
        <v>2</v>
      </c>
      <c r="U435" t="s">
        <v>38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  <c r="AG435" t="s">
        <v>57</v>
      </c>
      <c r="AH435" t="s">
        <v>46</v>
      </c>
      <c r="AI435">
        <v>0</v>
      </c>
      <c r="AJ435" t="s">
        <v>65</v>
      </c>
      <c r="AK435" t="s">
        <v>72</v>
      </c>
      <c r="AL435" t="s">
        <v>49</v>
      </c>
      <c r="AM435" t="s">
        <v>61</v>
      </c>
      <c r="AN435">
        <f t="shared" si="6"/>
        <v>-2</v>
      </c>
    </row>
    <row r="436" spans="1:40">
      <c r="A436">
        <v>31</v>
      </c>
      <c r="B436" t="s">
        <v>51</v>
      </c>
      <c r="C436" t="s">
        <v>39</v>
      </c>
      <c r="D436">
        <v>1274</v>
      </c>
      <c r="E436" t="s">
        <v>53</v>
      </c>
      <c r="F436">
        <v>9</v>
      </c>
      <c r="G436">
        <v>1</v>
      </c>
      <c r="H436" t="s">
        <v>41</v>
      </c>
      <c r="I436">
        <v>581</v>
      </c>
      <c r="J436">
        <v>3</v>
      </c>
      <c r="K436" t="s">
        <v>54</v>
      </c>
      <c r="L436">
        <v>33</v>
      </c>
      <c r="M436">
        <v>3</v>
      </c>
      <c r="N436">
        <v>3</v>
      </c>
      <c r="O436" t="s">
        <v>75</v>
      </c>
      <c r="P436">
        <v>2</v>
      </c>
      <c r="Q436" t="s">
        <v>74</v>
      </c>
      <c r="R436">
        <v>10648</v>
      </c>
      <c r="S436">
        <v>14394</v>
      </c>
      <c r="T436">
        <v>1</v>
      </c>
      <c r="U436" t="s">
        <v>51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  <c r="AG436" t="s">
        <v>67</v>
      </c>
      <c r="AH436" t="s">
        <v>46</v>
      </c>
      <c r="AI436">
        <v>0</v>
      </c>
      <c r="AJ436" t="s">
        <v>80</v>
      </c>
      <c r="AK436" t="s">
        <v>59</v>
      </c>
      <c r="AL436" t="s">
        <v>60</v>
      </c>
      <c r="AM436" t="s">
        <v>85</v>
      </c>
      <c r="AN436">
        <f t="shared" si="6"/>
        <v>1</v>
      </c>
    </row>
    <row r="437" spans="1:40">
      <c r="A437">
        <v>33</v>
      </c>
      <c r="B437" t="s">
        <v>38</v>
      </c>
      <c r="C437" t="s">
        <v>39</v>
      </c>
      <c r="D437">
        <v>1277</v>
      </c>
      <c r="E437" t="s">
        <v>53</v>
      </c>
      <c r="F437">
        <v>15</v>
      </c>
      <c r="G437">
        <v>1</v>
      </c>
      <c r="H437" t="s">
        <v>69</v>
      </c>
      <c r="I437">
        <v>582</v>
      </c>
      <c r="J437">
        <v>2</v>
      </c>
      <c r="K437" t="s">
        <v>54</v>
      </c>
      <c r="L437">
        <v>56</v>
      </c>
      <c r="M437">
        <v>3</v>
      </c>
      <c r="N437">
        <v>3</v>
      </c>
      <c r="O437" t="s">
        <v>79</v>
      </c>
      <c r="P437">
        <v>3</v>
      </c>
      <c r="Q437" t="s">
        <v>56</v>
      </c>
      <c r="R437">
        <v>13610</v>
      </c>
      <c r="S437">
        <v>24619</v>
      </c>
      <c r="T437">
        <v>7</v>
      </c>
      <c r="U437" t="s">
        <v>38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  <c r="AG437" t="s">
        <v>67</v>
      </c>
      <c r="AH437" t="s">
        <v>46</v>
      </c>
      <c r="AI437">
        <v>1</v>
      </c>
      <c r="AJ437" t="s">
        <v>58</v>
      </c>
      <c r="AK437" t="s">
        <v>59</v>
      </c>
      <c r="AL437" t="s">
        <v>66</v>
      </c>
      <c r="AM437" t="s">
        <v>85</v>
      </c>
      <c r="AN437">
        <f t="shared" si="6"/>
        <v>5</v>
      </c>
    </row>
    <row r="438" spans="1:40">
      <c r="A438">
        <v>33</v>
      </c>
      <c r="B438" t="s">
        <v>38</v>
      </c>
      <c r="C438" t="s">
        <v>39</v>
      </c>
      <c r="D438">
        <v>587</v>
      </c>
      <c r="E438" t="s">
        <v>53</v>
      </c>
      <c r="F438">
        <v>10</v>
      </c>
      <c r="G438">
        <v>1</v>
      </c>
      <c r="H438" t="s">
        <v>69</v>
      </c>
      <c r="I438">
        <v>584</v>
      </c>
      <c r="J438">
        <v>1</v>
      </c>
      <c r="K438" t="s">
        <v>54</v>
      </c>
      <c r="L438">
        <v>38</v>
      </c>
      <c r="M438">
        <v>1</v>
      </c>
      <c r="N438">
        <v>1</v>
      </c>
      <c r="O438" t="s">
        <v>63</v>
      </c>
      <c r="P438">
        <v>4</v>
      </c>
      <c r="Q438" t="s">
        <v>74</v>
      </c>
      <c r="R438">
        <v>3408</v>
      </c>
      <c r="S438">
        <v>6705</v>
      </c>
      <c r="T438">
        <v>7</v>
      </c>
      <c r="U438" t="s">
        <v>51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  <c r="AG438" t="s">
        <v>67</v>
      </c>
      <c r="AH438" t="s">
        <v>71</v>
      </c>
      <c r="AI438">
        <v>1</v>
      </c>
      <c r="AJ438" t="s">
        <v>65</v>
      </c>
      <c r="AK438" t="s">
        <v>59</v>
      </c>
      <c r="AL438" t="s">
        <v>49</v>
      </c>
      <c r="AM438" t="s">
        <v>61</v>
      </c>
      <c r="AN438">
        <f t="shared" si="6"/>
        <v>-2</v>
      </c>
    </row>
    <row r="439" spans="1:40">
      <c r="A439">
        <v>30</v>
      </c>
      <c r="B439" t="s">
        <v>51</v>
      </c>
      <c r="C439" t="s">
        <v>39</v>
      </c>
      <c r="D439">
        <v>413</v>
      </c>
      <c r="E439" t="s">
        <v>40</v>
      </c>
      <c r="F439">
        <v>7</v>
      </c>
      <c r="G439">
        <v>1</v>
      </c>
      <c r="H439" t="s">
        <v>84</v>
      </c>
      <c r="I439">
        <v>585</v>
      </c>
      <c r="J439">
        <v>4</v>
      </c>
      <c r="K439" t="s">
        <v>54</v>
      </c>
      <c r="L439">
        <v>57</v>
      </c>
      <c r="M439">
        <v>3</v>
      </c>
      <c r="N439">
        <v>1</v>
      </c>
      <c r="O439" t="s">
        <v>82</v>
      </c>
      <c r="P439">
        <v>2</v>
      </c>
      <c r="Q439" t="s">
        <v>44</v>
      </c>
      <c r="R439">
        <v>2983</v>
      </c>
      <c r="S439">
        <v>18398</v>
      </c>
      <c r="T439">
        <v>0</v>
      </c>
      <c r="U439" t="s">
        <v>51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  <c r="AG439" t="s">
        <v>67</v>
      </c>
      <c r="AH439" t="s">
        <v>46</v>
      </c>
      <c r="AI439">
        <v>0</v>
      </c>
      <c r="AJ439" t="s">
        <v>65</v>
      </c>
      <c r="AK439" t="s">
        <v>59</v>
      </c>
      <c r="AL439" t="s">
        <v>60</v>
      </c>
      <c r="AM439" t="s">
        <v>61</v>
      </c>
      <c r="AN439">
        <f t="shared" si="6"/>
        <v>4</v>
      </c>
    </row>
    <row r="440" spans="1:40">
      <c r="A440">
        <v>35</v>
      </c>
      <c r="B440" t="s">
        <v>51</v>
      </c>
      <c r="C440" t="s">
        <v>39</v>
      </c>
      <c r="D440">
        <v>1276</v>
      </c>
      <c r="E440" t="s">
        <v>53</v>
      </c>
      <c r="F440">
        <v>16</v>
      </c>
      <c r="G440">
        <v>3</v>
      </c>
      <c r="H440" t="s">
        <v>41</v>
      </c>
      <c r="I440">
        <v>586</v>
      </c>
      <c r="J440">
        <v>4</v>
      </c>
      <c r="K440" t="s">
        <v>54</v>
      </c>
      <c r="L440">
        <v>72</v>
      </c>
      <c r="M440">
        <v>3</v>
      </c>
      <c r="N440">
        <v>3</v>
      </c>
      <c r="O440" t="s">
        <v>76</v>
      </c>
      <c r="P440">
        <v>3</v>
      </c>
      <c r="Q440" t="s">
        <v>56</v>
      </c>
      <c r="R440">
        <v>7632</v>
      </c>
      <c r="S440">
        <v>14295</v>
      </c>
      <c r="T440">
        <v>4</v>
      </c>
      <c r="U440" t="s">
        <v>38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  <c r="AG440" t="s">
        <v>67</v>
      </c>
      <c r="AH440" t="s">
        <v>46</v>
      </c>
      <c r="AI440">
        <v>0</v>
      </c>
      <c r="AJ440" t="s">
        <v>58</v>
      </c>
      <c r="AK440" t="s">
        <v>72</v>
      </c>
      <c r="AL440" t="s">
        <v>66</v>
      </c>
      <c r="AM440" t="s">
        <v>61</v>
      </c>
      <c r="AN440">
        <f t="shared" si="6"/>
        <v>0</v>
      </c>
    </row>
    <row r="441" spans="1:40">
      <c r="A441">
        <v>31</v>
      </c>
      <c r="B441" t="s">
        <v>38</v>
      </c>
      <c r="C441" t="s">
        <v>52</v>
      </c>
      <c r="D441">
        <v>534</v>
      </c>
      <c r="E441" t="s">
        <v>53</v>
      </c>
      <c r="F441">
        <v>20</v>
      </c>
      <c r="G441">
        <v>3</v>
      </c>
      <c r="H441" t="s">
        <v>41</v>
      </c>
      <c r="I441">
        <v>587</v>
      </c>
      <c r="J441">
        <v>1</v>
      </c>
      <c r="K441" t="s">
        <v>54</v>
      </c>
      <c r="L441">
        <v>66</v>
      </c>
      <c r="M441">
        <v>3</v>
      </c>
      <c r="N441">
        <v>3</v>
      </c>
      <c r="O441" t="s">
        <v>76</v>
      </c>
      <c r="P441">
        <v>3</v>
      </c>
      <c r="Q441" t="s">
        <v>56</v>
      </c>
      <c r="R441">
        <v>9824</v>
      </c>
      <c r="S441">
        <v>22908</v>
      </c>
      <c r="T441">
        <v>3</v>
      </c>
      <c r="U441" t="s">
        <v>51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  <c r="AG441" t="s">
        <v>67</v>
      </c>
      <c r="AH441" t="s">
        <v>46</v>
      </c>
      <c r="AI441">
        <v>1</v>
      </c>
      <c r="AJ441" t="s">
        <v>65</v>
      </c>
      <c r="AK441" t="s">
        <v>72</v>
      </c>
      <c r="AL441" t="s">
        <v>66</v>
      </c>
      <c r="AM441" t="s">
        <v>61</v>
      </c>
      <c r="AN441">
        <f t="shared" si="6"/>
        <v>0</v>
      </c>
    </row>
    <row r="442" spans="1:40">
      <c r="A442">
        <v>34</v>
      </c>
      <c r="B442" t="s">
        <v>38</v>
      </c>
      <c r="C442" t="s">
        <v>52</v>
      </c>
      <c r="D442">
        <v>988</v>
      </c>
      <c r="E442" t="s">
        <v>88</v>
      </c>
      <c r="F442">
        <v>23</v>
      </c>
      <c r="G442">
        <v>3</v>
      </c>
      <c r="H442" t="s">
        <v>88</v>
      </c>
      <c r="I442">
        <v>590</v>
      </c>
      <c r="J442">
        <v>2</v>
      </c>
      <c r="K442" t="s">
        <v>42</v>
      </c>
      <c r="L442">
        <v>43</v>
      </c>
      <c r="M442">
        <v>3</v>
      </c>
      <c r="N442">
        <v>3</v>
      </c>
      <c r="O442" t="s">
        <v>88</v>
      </c>
      <c r="P442">
        <v>1</v>
      </c>
      <c r="Q442" t="s">
        <v>74</v>
      </c>
      <c r="R442">
        <v>9950</v>
      </c>
      <c r="S442">
        <v>11533</v>
      </c>
      <c r="T442">
        <v>9</v>
      </c>
      <c r="U442" t="s">
        <v>38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  <c r="AG442" t="s">
        <v>67</v>
      </c>
      <c r="AH442" t="s">
        <v>46</v>
      </c>
      <c r="AI442">
        <v>1</v>
      </c>
      <c r="AJ442" t="s">
        <v>65</v>
      </c>
      <c r="AK442" t="s">
        <v>72</v>
      </c>
      <c r="AL442" t="s">
        <v>73</v>
      </c>
      <c r="AM442" t="s">
        <v>61</v>
      </c>
      <c r="AN442">
        <f t="shared" si="6"/>
        <v>6</v>
      </c>
    </row>
    <row r="443" spans="1:40">
      <c r="A443">
        <v>42</v>
      </c>
      <c r="B443" t="s">
        <v>51</v>
      </c>
      <c r="C443" t="s">
        <v>52</v>
      </c>
      <c r="D443">
        <v>1474</v>
      </c>
      <c r="E443" t="s">
        <v>53</v>
      </c>
      <c r="F443">
        <v>5</v>
      </c>
      <c r="G443">
        <v>2</v>
      </c>
      <c r="H443" t="s">
        <v>62</v>
      </c>
      <c r="I443">
        <v>591</v>
      </c>
      <c r="J443">
        <v>2</v>
      </c>
      <c r="K443" t="s">
        <v>54</v>
      </c>
      <c r="L443">
        <v>97</v>
      </c>
      <c r="M443">
        <v>3</v>
      </c>
      <c r="N443">
        <v>1</v>
      </c>
      <c r="O443" t="s">
        <v>63</v>
      </c>
      <c r="P443">
        <v>3</v>
      </c>
      <c r="Q443" t="s">
        <v>56</v>
      </c>
      <c r="R443">
        <v>2093</v>
      </c>
      <c r="S443">
        <v>9260</v>
      </c>
      <c r="T443">
        <v>4</v>
      </c>
      <c r="U443" t="s">
        <v>51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  <c r="AG443" t="s">
        <v>45</v>
      </c>
      <c r="AH443" t="s">
        <v>71</v>
      </c>
      <c r="AI443">
        <v>0</v>
      </c>
      <c r="AJ443" t="s">
        <v>65</v>
      </c>
      <c r="AK443" t="s">
        <v>48</v>
      </c>
      <c r="AL443" t="s">
        <v>66</v>
      </c>
      <c r="AM443" t="s">
        <v>61</v>
      </c>
      <c r="AN443">
        <f t="shared" si="6"/>
        <v>2</v>
      </c>
    </row>
    <row r="444" spans="1:40">
      <c r="A444">
        <v>36</v>
      </c>
      <c r="B444" t="s">
        <v>51</v>
      </c>
      <c r="C444" t="s">
        <v>77</v>
      </c>
      <c r="D444">
        <v>635</v>
      </c>
      <c r="E444" t="s">
        <v>40</v>
      </c>
      <c r="F444">
        <v>10</v>
      </c>
      <c r="G444">
        <v>4</v>
      </c>
      <c r="H444" t="s">
        <v>69</v>
      </c>
      <c r="I444">
        <v>592</v>
      </c>
      <c r="J444">
        <v>2</v>
      </c>
      <c r="K444" t="s">
        <v>54</v>
      </c>
      <c r="L444">
        <v>32</v>
      </c>
      <c r="M444">
        <v>3</v>
      </c>
      <c r="N444">
        <v>3</v>
      </c>
      <c r="O444" t="s">
        <v>43</v>
      </c>
      <c r="P444">
        <v>4</v>
      </c>
      <c r="Q444" t="s">
        <v>44</v>
      </c>
      <c r="R444">
        <v>9980</v>
      </c>
      <c r="S444">
        <v>15318</v>
      </c>
      <c r="T444">
        <v>1</v>
      </c>
      <c r="U444" t="s">
        <v>51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  <c r="AG444" t="s">
        <v>45</v>
      </c>
      <c r="AH444" t="s">
        <v>46</v>
      </c>
      <c r="AI444">
        <v>0</v>
      </c>
      <c r="AJ444" t="s">
        <v>47</v>
      </c>
      <c r="AK444" t="s">
        <v>68</v>
      </c>
      <c r="AL444" t="s">
        <v>49</v>
      </c>
      <c r="AM444" t="s">
        <v>70</v>
      </c>
      <c r="AN444">
        <f t="shared" si="6"/>
        <v>8</v>
      </c>
    </row>
    <row r="445" spans="1:40">
      <c r="A445">
        <v>22</v>
      </c>
      <c r="B445" t="s">
        <v>38</v>
      </c>
      <c r="C445" t="s">
        <v>52</v>
      </c>
      <c r="D445">
        <v>1368</v>
      </c>
      <c r="E445" t="s">
        <v>53</v>
      </c>
      <c r="F445">
        <v>4</v>
      </c>
      <c r="G445">
        <v>1</v>
      </c>
      <c r="H445" t="s">
        <v>86</v>
      </c>
      <c r="I445">
        <v>593</v>
      </c>
      <c r="J445">
        <v>3</v>
      </c>
      <c r="K445" t="s">
        <v>54</v>
      </c>
      <c r="L445">
        <v>99</v>
      </c>
      <c r="M445">
        <v>2</v>
      </c>
      <c r="N445">
        <v>1</v>
      </c>
      <c r="O445" t="s">
        <v>63</v>
      </c>
      <c r="P445">
        <v>3</v>
      </c>
      <c r="Q445" t="s">
        <v>44</v>
      </c>
      <c r="R445">
        <v>3894</v>
      </c>
      <c r="S445">
        <v>9129</v>
      </c>
      <c r="T445">
        <v>5</v>
      </c>
      <c r="U445" t="s">
        <v>51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  <c r="AG445" t="s">
        <v>78</v>
      </c>
      <c r="AH445" t="s">
        <v>71</v>
      </c>
      <c r="AI445">
        <v>1</v>
      </c>
      <c r="AJ445" t="s">
        <v>65</v>
      </c>
      <c r="AK445" t="s">
        <v>59</v>
      </c>
      <c r="AL445" t="s">
        <v>66</v>
      </c>
      <c r="AM445" t="s">
        <v>61</v>
      </c>
      <c r="AN445">
        <f t="shared" si="6"/>
        <v>1</v>
      </c>
    </row>
    <row r="446" spans="1:40">
      <c r="A446">
        <v>48</v>
      </c>
      <c r="B446" t="s">
        <v>51</v>
      </c>
      <c r="C446" t="s">
        <v>39</v>
      </c>
      <c r="D446">
        <v>163</v>
      </c>
      <c r="E446" t="s">
        <v>40</v>
      </c>
      <c r="F446">
        <v>2</v>
      </c>
      <c r="G446">
        <v>5</v>
      </c>
      <c r="H446" t="s">
        <v>84</v>
      </c>
      <c r="I446">
        <v>595</v>
      </c>
      <c r="J446">
        <v>2</v>
      </c>
      <c r="K446" t="s">
        <v>42</v>
      </c>
      <c r="L446">
        <v>37</v>
      </c>
      <c r="M446">
        <v>3</v>
      </c>
      <c r="N446">
        <v>2</v>
      </c>
      <c r="O446" t="s">
        <v>43</v>
      </c>
      <c r="P446">
        <v>4</v>
      </c>
      <c r="Q446" t="s">
        <v>56</v>
      </c>
      <c r="R446">
        <v>4051</v>
      </c>
      <c r="S446">
        <v>19658</v>
      </c>
      <c r="T446">
        <v>2</v>
      </c>
      <c r="U446" t="s">
        <v>51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  <c r="AG446" t="s">
        <v>57</v>
      </c>
      <c r="AH446" t="s">
        <v>46</v>
      </c>
      <c r="AI446">
        <v>0</v>
      </c>
      <c r="AJ446" t="s">
        <v>58</v>
      </c>
      <c r="AK446" t="s">
        <v>87</v>
      </c>
      <c r="AL446" t="s">
        <v>49</v>
      </c>
      <c r="AM446" t="s">
        <v>61</v>
      </c>
      <c r="AN446">
        <f t="shared" si="6"/>
        <v>3</v>
      </c>
    </row>
    <row r="447" spans="1:40">
      <c r="A447">
        <v>55</v>
      </c>
      <c r="B447" t="s">
        <v>51</v>
      </c>
      <c r="C447" t="s">
        <v>39</v>
      </c>
      <c r="D447">
        <v>1117</v>
      </c>
      <c r="E447" t="s">
        <v>40</v>
      </c>
      <c r="F447">
        <v>18</v>
      </c>
      <c r="G447">
        <v>5</v>
      </c>
      <c r="H447" t="s">
        <v>41</v>
      </c>
      <c r="I447">
        <v>597</v>
      </c>
      <c r="J447">
        <v>1</v>
      </c>
      <c r="K447" t="s">
        <v>42</v>
      </c>
      <c r="L447">
        <v>83</v>
      </c>
      <c r="M447">
        <v>3</v>
      </c>
      <c r="N447">
        <v>4</v>
      </c>
      <c r="O447" t="s">
        <v>79</v>
      </c>
      <c r="P447">
        <v>2</v>
      </c>
      <c r="Q447" t="s">
        <v>44</v>
      </c>
      <c r="R447">
        <v>16835</v>
      </c>
      <c r="S447">
        <v>9873</v>
      </c>
      <c r="T447">
        <v>3</v>
      </c>
      <c r="U447" t="s">
        <v>51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  <c r="AG447" t="s">
        <v>57</v>
      </c>
      <c r="AH447" t="s">
        <v>71</v>
      </c>
      <c r="AI447">
        <v>0</v>
      </c>
      <c r="AJ447" t="s">
        <v>58</v>
      </c>
      <c r="AK447" t="s">
        <v>87</v>
      </c>
      <c r="AL447" t="s">
        <v>60</v>
      </c>
      <c r="AM447" t="s">
        <v>61</v>
      </c>
      <c r="AN447">
        <f t="shared" si="6"/>
        <v>10</v>
      </c>
    </row>
    <row r="448" spans="1:40">
      <c r="A448">
        <v>41</v>
      </c>
      <c r="B448" t="s">
        <v>51</v>
      </c>
      <c r="C448" t="s">
        <v>77</v>
      </c>
      <c r="D448">
        <v>267</v>
      </c>
      <c r="E448" t="s">
        <v>40</v>
      </c>
      <c r="F448">
        <v>10</v>
      </c>
      <c r="G448">
        <v>2</v>
      </c>
      <c r="H448" t="s">
        <v>41</v>
      </c>
      <c r="I448">
        <v>599</v>
      </c>
      <c r="J448">
        <v>4</v>
      </c>
      <c r="K448" t="s">
        <v>54</v>
      </c>
      <c r="L448">
        <v>56</v>
      </c>
      <c r="M448">
        <v>3</v>
      </c>
      <c r="N448">
        <v>2</v>
      </c>
      <c r="O448" t="s">
        <v>43</v>
      </c>
      <c r="P448">
        <v>4</v>
      </c>
      <c r="Q448" t="s">
        <v>44</v>
      </c>
      <c r="R448">
        <v>6230</v>
      </c>
      <c r="S448">
        <v>13430</v>
      </c>
      <c r="T448">
        <v>7</v>
      </c>
      <c r="U448" t="s">
        <v>51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  <c r="AG448" t="s">
        <v>45</v>
      </c>
      <c r="AH448" t="s">
        <v>46</v>
      </c>
      <c r="AI448">
        <v>0</v>
      </c>
      <c r="AJ448" t="s">
        <v>80</v>
      </c>
      <c r="AK448" t="s">
        <v>48</v>
      </c>
      <c r="AL448" t="s">
        <v>49</v>
      </c>
      <c r="AM448" t="s">
        <v>61</v>
      </c>
      <c r="AN448">
        <f t="shared" si="6"/>
        <v>-2</v>
      </c>
    </row>
    <row r="449" spans="1:40">
      <c r="A449">
        <v>35</v>
      </c>
      <c r="B449" t="s">
        <v>51</v>
      </c>
      <c r="C449" t="s">
        <v>39</v>
      </c>
      <c r="D449">
        <v>619</v>
      </c>
      <c r="E449" t="s">
        <v>40</v>
      </c>
      <c r="F449">
        <v>1</v>
      </c>
      <c r="G449">
        <v>3</v>
      </c>
      <c r="H449" t="s">
        <v>84</v>
      </c>
      <c r="I449">
        <v>600</v>
      </c>
      <c r="J449">
        <v>2</v>
      </c>
      <c r="K449" t="s">
        <v>54</v>
      </c>
      <c r="L449">
        <v>85</v>
      </c>
      <c r="M449">
        <v>3</v>
      </c>
      <c r="N449">
        <v>2</v>
      </c>
      <c r="O449" t="s">
        <v>43</v>
      </c>
      <c r="P449">
        <v>3</v>
      </c>
      <c r="Q449" t="s">
        <v>56</v>
      </c>
      <c r="R449">
        <v>4717</v>
      </c>
      <c r="S449">
        <v>18659</v>
      </c>
      <c r="T449">
        <v>9</v>
      </c>
      <c r="U449" t="s">
        <v>51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  <c r="AG449" t="s">
        <v>67</v>
      </c>
      <c r="AH449" t="s">
        <v>46</v>
      </c>
      <c r="AI449">
        <v>0</v>
      </c>
      <c r="AJ449" t="s">
        <v>80</v>
      </c>
      <c r="AK449" t="s">
        <v>72</v>
      </c>
      <c r="AL449" t="s">
        <v>66</v>
      </c>
      <c r="AM449" t="s">
        <v>61</v>
      </c>
      <c r="AN449">
        <f t="shared" si="6"/>
        <v>6</v>
      </c>
    </row>
    <row r="450" spans="1:40">
      <c r="A450">
        <v>40</v>
      </c>
      <c r="B450" t="s">
        <v>51</v>
      </c>
      <c r="C450" t="s">
        <v>39</v>
      </c>
      <c r="D450">
        <v>302</v>
      </c>
      <c r="E450" t="s">
        <v>53</v>
      </c>
      <c r="F450">
        <v>6</v>
      </c>
      <c r="G450">
        <v>3</v>
      </c>
      <c r="H450" t="s">
        <v>41</v>
      </c>
      <c r="I450">
        <v>601</v>
      </c>
      <c r="J450">
        <v>2</v>
      </c>
      <c r="K450" t="s">
        <v>42</v>
      </c>
      <c r="L450">
        <v>75</v>
      </c>
      <c r="M450">
        <v>3</v>
      </c>
      <c r="N450">
        <v>4</v>
      </c>
      <c r="O450" t="s">
        <v>75</v>
      </c>
      <c r="P450">
        <v>3</v>
      </c>
      <c r="Q450" t="s">
        <v>44</v>
      </c>
      <c r="R450">
        <v>13237</v>
      </c>
      <c r="S450">
        <v>20364</v>
      </c>
      <c r="T450">
        <v>7</v>
      </c>
      <c r="U450" t="s">
        <v>51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  <c r="AG450" t="s">
        <v>45</v>
      </c>
      <c r="AH450" t="s">
        <v>46</v>
      </c>
      <c r="AI450">
        <v>0</v>
      </c>
      <c r="AJ450" t="s">
        <v>80</v>
      </c>
      <c r="AK450" t="s">
        <v>72</v>
      </c>
      <c r="AL450" t="s">
        <v>66</v>
      </c>
      <c r="AM450" t="s">
        <v>61</v>
      </c>
      <c r="AN450">
        <f t="shared" si="6"/>
        <v>5</v>
      </c>
    </row>
    <row r="451" spans="1:40">
      <c r="A451">
        <v>39</v>
      </c>
      <c r="B451" t="s">
        <v>51</v>
      </c>
      <c r="C451" t="s">
        <v>52</v>
      </c>
      <c r="D451">
        <v>443</v>
      </c>
      <c r="E451" t="s">
        <v>53</v>
      </c>
      <c r="F451">
        <v>8</v>
      </c>
      <c r="G451">
        <v>1</v>
      </c>
      <c r="H451" t="s">
        <v>41</v>
      </c>
      <c r="I451">
        <v>602</v>
      </c>
      <c r="J451">
        <v>3</v>
      </c>
      <c r="K451" t="s">
        <v>42</v>
      </c>
      <c r="L451">
        <v>48</v>
      </c>
      <c r="M451">
        <v>3</v>
      </c>
      <c r="N451">
        <v>1</v>
      </c>
      <c r="O451" t="s">
        <v>63</v>
      </c>
      <c r="P451">
        <v>3</v>
      </c>
      <c r="Q451" t="s">
        <v>56</v>
      </c>
      <c r="R451">
        <v>3755</v>
      </c>
      <c r="S451">
        <v>17872</v>
      </c>
      <c r="T451">
        <v>1</v>
      </c>
      <c r="U451" t="s">
        <v>51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  <c r="AG451" t="s">
        <v>45</v>
      </c>
      <c r="AH451" t="s">
        <v>46</v>
      </c>
      <c r="AI451">
        <v>0</v>
      </c>
      <c r="AJ451" t="s">
        <v>58</v>
      </c>
      <c r="AK451" t="s">
        <v>59</v>
      </c>
      <c r="AL451" t="s">
        <v>66</v>
      </c>
      <c r="AM451" t="s">
        <v>61</v>
      </c>
      <c r="AN451">
        <f t="shared" ref="AN451:AN514" si="7">((3-P451)*3+((3-AB451)*2+AE451))</f>
        <v>0</v>
      </c>
    </row>
    <row r="452" spans="1:40">
      <c r="A452">
        <v>31</v>
      </c>
      <c r="B452" t="s">
        <v>51</v>
      </c>
      <c r="C452" t="s">
        <v>39</v>
      </c>
      <c r="D452">
        <v>828</v>
      </c>
      <c r="E452" t="s">
        <v>40</v>
      </c>
      <c r="F452">
        <v>2</v>
      </c>
      <c r="G452">
        <v>1</v>
      </c>
      <c r="H452" t="s">
        <v>41</v>
      </c>
      <c r="I452">
        <v>604</v>
      </c>
      <c r="J452">
        <v>2</v>
      </c>
      <c r="K452" t="s">
        <v>54</v>
      </c>
      <c r="L452">
        <v>77</v>
      </c>
      <c r="M452">
        <v>3</v>
      </c>
      <c r="N452">
        <v>2</v>
      </c>
      <c r="O452" t="s">
        <v>43</v>
      </c>
      <c r="P452">
        <v>4</v>
      </c>
      <c r="Q452" t="s">
        <v>44</v>
      </c>
      <c r="R452">
        <v>6582</v>
      </c>
      <c r="S452">
        <v>8346</v>
      </c>
      <c r="T452">
        <v>4</v>
      </c>
      <c r="U452" t="s">
        <v>38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  <c r="AG452" t="s">
        <v>67</v>
      </c>
      <c r="AH452" t="s">
        <v>71</v>
      </c>
      <c r="AI452">
        <v>0</v>
      </c>
      <c r="AJ452" t="s">
        <v>58</v>
      </c>
      <c r="AK452" t="s">
        <v>59</v>
      </c>
      <c r="AL452" t="s">
        <v>49</v>
      </c>
      <c r="AM452" t="s">
        <v>85</v>
      </c>
      <c r="AN452">
        <f t="shared" si="7"/>
        <v>-5</v>
      </c>
    </row>
    <row r="453" spans="1:40">
      <c r="A453">
        <v>42</v>
      </c>
      <c r="B453" t="s">
        <v>51</v>
      </c>
      <c r="C453" t="s">
        <v>39</v>
      </c>
      <c r="D453">
        <v>319</v>
      </c>
      <c r="E453" t="s">
        <v>53</v>
      </c>
      <c r="F453">
        <v>24</v>
      </c>
      <c r="G453">
        <v>3</v>
      </c>
      <c r="H453" t="s">
        <v>69</v>
      </c>
      <c r="I453">
        <v>605</v>
      </c>
      <c r="J453">
        <v>4</v>
      </c>
      <c r="K453" t="s">
        <v>54</v>
      </c>
      <c r="L453">
        <v>56</v>
      </c>
      <c r="M453">
        <v>3</v>
      </c>
      <c r="N453">
        <v>3</v>
      </c>
      <c r="O453" t="s">
        <v>75</v>
      </c>
      <c r="P453">
        <v>1</v>
      </c>
      <c r="Q453" t="s">
        <v>56</v>
      </c>
      <c r="R453">
        <v>7406</v>
      </c>
      <c r="S453">
        <v>6950</v>
      </c>
      <c r="T453">
        <v>1</v>
      </c>
      <c r="U453" t="s">
        <v>38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  <c r="AG453" t="s">
        <v>45</v>
      </c>
      <c r="AH453" t="s">
        <v>71</v>
      </c>
      <c r="AI453">
        <v>0</v>
      </c>
      <c r="AJ453" t="s">
        <v>47</v>
      </c>
      <c r="AK453" t="s">
        <v>72</v>
      </c>
      <c r="AL453" t="s">
        <v>73</v>
      </c>
      <c r="AM453" t="s">
        <v>70</v>
      </c>
      <c r="AN453">
        <f t="shared" si="7"/>
        <v>13</v>
      </c>
    </row>
    <row r="454" spans="1:40">
      <c r="A454">
        <v>45</v>
      </c>
      <c r="B454" t="s">
        <v>51</v>
      </c>
      <c r="C454" t="s">
        <v>39</v>
      </c>
      <c r="D454">
        <v>561</v>
      </c>
      <c r="E454" t="s">
        <v>40</v>
      </c>
      <c r="F454">
        <v>2</v>
      </c>
      <c r="G454">
        <v>3</v>
      </c>
      <c r="H454" t="s">
        <v>62</v>
      </c>
      <c r="I454">
        <v>606</v>
      </c>
      <c r="J454">
        <v>4</v>
      </c>
      <c r="K454" t="s">
        <v>54</v>
      </c>
      <c r="L454">
        <v>61</v>
      </c>
      <c r="M454">
        <v>3</v>
      </c>
      <c r="N454">
        <v>2</v>
      </c>
      <c r="O454" t="s">
        <v>43</v>
      </c>
      <c r="P454">
        <v>2</v>
      </c>
      <c r="Q454" t="s">
        <v>56</v>
      </c>
      <c r="R454">
        <v>4805</v>
      </c>
      <c r="S454">
        <v>16177</v>
      </c>
      <c r="T454">
        <v>0</v>
      </c>
      <c r="U454" t="s">
        <v>51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  <c r="AG454" t="s">
        <v>45</v>
      </c>
      <c r="AH454" t="s">
        <v>46</v>
      </c>
      <c r="AI454">
        <v>0</v>
      </c>
      <c r="AJ454" t="s">
        <v>58</v>
      </c>
      <c r="AK454" t="s">
        <v>72</v>
      </c>
      <c r="AL454" t="s">
        <v>60</v>
      </c>
      <c r="AM454" t="s">
        <v>85</v>
      </c>
      <c r="AN454">
        <f t="shared" si="7"/>
        <v>4</v>
      </c>
    </row>
    <row r="455" spans="1:40">
      <c r="A455">
        <v>26</v>
      </c>
      <c r="B455" t="s">
        <v>38</v>
      </c>
      <c r="C455" t="s">
        <v>52</v>
      </c>
      <c r="D455">
        <v>426</v>
      </c>
      <c r="E455" t="s">
        <v>88</v>
      </c>
      <c r="F455">
        <v>17</v>
      </c>
      <c r="G455">
        <v>4</v>
      </c>
      <c r="H455" t="s">
        <v>41</v>
      </c>
      <c r="I455">
        <v>608</v>
      </c>
      <c r="J455">
        <v>2</v>
      </c>
      <c r="K455" t="s">
        <v>42</v>
      </c>
      <c r="L455">
        <v>58</v>
      </c>
      <c r="M455">
        <v>3</v>
      </c>
      <c r="N455">
        <v>1</v>
      </c>
      <c r="O455" t="s">
        <v>88</v>
      </c>
      <c r="P455">
        <v>3</v>
      </c>
      <c r="Q455" t="s">
        <v>74</v>
      </c>
      <c r="R455">
        <v>2741</v>
      </c>
      <c r="S455">
        <v>22808</v>
      </c>
      <c r="T455">
        <v>0</v>
      </c>
      <c r="U455" t="s">
        <v>38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  <c r="AG455" t="s">
        <v>67</v>
      </c>
      <c r="AH455" t="s">
        <v>46</v>
      </c>
      <c r="AI455">
        <v>1</v>
      </c>
      <c r="AJ455" t="s">
        <v>47</v>
      </c>
      <c r="AK455" t="s">
        <v>68</v>
      </c>
      <c r="AL455" t="s">
        <v>66</v>
      </c>
      <c r="AM455" t="s">
        <v>70</v>
      </c>
      <c r="AN455">
        <f t="shared" si="7"/>
        <v>3</v>
      </c>
    </row>
    <row r="456" spans="1:40">
      <c r="A456">
        <v>29</v>
      </c>
      <c r="B456" t="s">
        <v>51</v>
      </c>
      <c r="C456" t="s">
        <v>39</v>
      </c>
      <c r="D456">
        <v>232</v>
      </c>
      <c r="E456" t="s">
        <v>53</v>
      </c>
      <c r="F456">
        <v>19</v>
      </c>
      <c r="G456">
        <v>3</v>
      </c>
      <c r="H456" t="s">
        <v>86</v>
      </c>
      <c r="I456">
        <v>611</v>
      </c>
      <c r="J456">
        <v>4</v>
      </c>
      <c r="K456" t="s">
        <v>54</v>
      </c>
      <c r="L456">
        <v>34</v>
      </c>
      <c r="M456">
        <v>3</v>
      </c>
      <c r="N456">
        <v>2</v>
      </c>
      <c r="O456" t="s">
        <v>75</v>
      </c>
      <c r="P456">
        <v>4</v>
      </c>
      <c r="Q456" t="s">
        <v>74</v>
      </c>
      <c r="R456">
        <v>4262</v>
      </c>
      <c r="S456">
        <v>22645</v>
      </c>
      <c r="T456">
        <v>4</v>
      </c>
      <c r="U456" t="s">
        <v>51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  <c r="AG456" t="s">
        <v>67</v>
      </c>
      <c r="AH456" t="s">
        <v>46</v>
      </c>
      <c r="AI456">
        <v>0</v>
      </c>
      <c r="AJ456" t="s">
        <v>65</v>
      </c>
      <c r="AK456" t="s">
        <v>72</v>
      </c>
      <c r="AL456" t="s">
        <v>49</v>
      </c>
      <c r="AM456" t="s">
        <v>85</v>
      </c>
      <c r="AN456">
        <f t="shared" si="7"/>
        <v>-4</v>
      </c>
    </row>
    <row r="457" spans="1:40">
      <c r="A457">
        <v>33</v>
      </c>
      <c r="B457" t="s">
        <v>51</v>
      </c>
      <c r="C457" t="s">
        <v>39</v>
      </c>
      <c r="D457">
        <v>922</v>
      </c>
      <c r="E457" t="s">
        <v>53</v>
      </c>
      <c r="F457">
        <v>1</v>
      </c>
      <c r="G457">
        <v>5</v>
      </c>
      <c r="H457" t="s">
        <v>69</v>
      </c>
      <c r="I457">
        <v>612</v>
      </c>
      <c r="J457">
        <v>1</v>
      </c>
      <c r="K457" t="s">
        <v>42</v>
      </c>
      <c r="L457">
        <v>95</v>
      </c>
      <c r="M457">
        <v>4</v>
      </c>
      <c r="N457">
        <v>4</v>
      </c>
      <c r="O457" t="s">
        <v>83</v>
      </c>
      <c r="P457">
        <v>3</v>
      </c>
      <c r="Q457" t="s">
        <v>74</v>
      </c>
      <c r="R457">
        <v>16184</v>
      </c>
      <c r="S457">
        <v>22578</v>
      </c>
      <c r="T457">
        <v>4</v>
      </c>
      <c r="U457" t="s">
        <v>51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  <c r="AG457" t="s">
        <v>67</v>
      </c>
      <c r="AH457" t="s">
        <v>46</v>
      </c>
      <c r="AI457">
        <v>0</v>
      </c>
      <c r="AJ457" t="s">
        <v>58</v>
      </c>
      <c r="AK457" t="s">
        <v>87</v>
      </c>
      <c r="AL457" t="s">
        <v>66</v>
      </c>
      <c r="AM457" t="s">
        <v>61</v>
      </c>
      <c r="AN457">
        <f t="shared" si="7"/>
        <v>0</v>
      </c>
    </row>
    <row r="458" spans="1:40">
      <c r="A458">
        <v>31</v>
      </c>
      <c r="B458" t="s">
        <v>51</v>
      </c>
      <c r="C458" t="s">
        <v>39</v>
      </c>
      <c r="D458">
        <v>688</v>
      </c>
      <c r="E458" t="s">
        <v>40</v>
      </c>
      <c r="F458">
        <v>7</v>
      </c>
      <c r="G458">
        <v>3</v>
      </c>
      <c r="H458" t="s">
        <v>41</v>
      </c>
      <c r="I458">
        <v>613</v>
      </c>
      <c r="J458">
        <v>3</v>
      </c>
      <c r="K458" t="s">
        <v>54</v>
      </c>
      <c r="L458">
        <v>44</v>
      </c>
      <c r="M458">
        <v>2</v>
      </c>
      <c r="N458">
        <v>3</v>
      </c>
      <c r="O458" t="s">
        <v>79</v>
      </c>
      <c r="P458">
        <v>4</v>
      </c>
      <c r="Q458" t="s">
        <v>74</v>
      </c>
      <c r="R458">
        <v>11557</v>
      </c>
      <c r="S458">
        <v>25291</v>
      </c>
      <c r="T458">
        <v>9</v>
      </c>
      <c r="U458" t="s">
        <v>51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  <c r="AG458" t="s">
        <v>67</v>
      </c>
      <c r="AH458" t="s">
        <v>46</v>
      </c>
      <c r="AI458">
        <v>0</v>
      </c>
      <c r="AJ458" t="s">
        <v>47</v>
      </c>
      <c r="AK458" t="s">
        <v>72</v>
      </c>
      <c r="AL458" t="s">
        <v>49</v>
      </c>
      <c r="AM458" t="s">
        <v>70</v>
      </c>
      <c r="AN458">
        <f t="shared" si="7"/>
        <v>-1</v>
      </c>
    </row>
    <row r="459" spans="1:40">
      <c r="A459">
        <v>18</v>
      </c>
      <c r="B459" t="s">
        <v>38</v>
      </c>
      <c r="C459" t="s">
        <v>52</v>
      </c>
      <c r="D459">
        <v>1306</v>
      </c>
      <c r="E459" t="s">
        <v>40</v>
      </c>
      <c r="F459">
        <v>5</v>
      </c>
      <c r="G459">
        <v>3</v>
      </c>
      <c r="H459" t="s">
        <v>84</v>
      </c>
      <c r="I459">
        <v>614</v>
      </c>
      <c r="J459">
        <v>2</v>
      </c>
      <c r="K459" t="s">
        <v>54</v>
      </c>
      <c r="L459">
        <v>69</v>
      </c>
      <c r="M459">
        <v>3</v>
      </c>
      <c r="N459">
        <v>1</v>
      </c>
      <c r="O459" t="s">
        <v>82</v>
      </c>
      <c r="P459">
        <v>2</v>
      </c>
      <c r="Q459" t="s">
        <v>44</v>
      </c>
      <c r="R459">
        <v>1878</v>
      </c>
      <c r="S459">
        <v>8059</v>
      </c>
      <c r="T459">
        <v>1</v>
      </c>
      <c r="U459" t="s">
        <v>38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  <c r="AG459" t="s">
        <v>78</v>
      </c>
      <c r="AH459" t="s">
        <v>71</v>
      </c>
      <c r="AI459">
        <v>1</v>
      </c>
      <c r="AJ459" t="s">
        <v>65</v>
      </c>
      <c r="AK459" t="s">
        <v>72</v>
      </c>
      <c r="AL459" t="s">
        <v>60</v>
      </c>
      <c r="AM459" t="s">
        <v>61</v>
      </c>
      <c r="AN459">
        <f t="shared" si="7"/>
        <v>3</v>
      </c>
    </row>
    <row r="460" spans="1:40">
      <c r="A460">
        <v>40</v>
      </c>
      <c r="B460" t="s">
        <v>51</v>
      </c>
      <c r="C460" t="s">
        <v>77</v>
      </c>
      <c r="D460">
        <v>1094</v>
      </c>
      <c r="E460" t="s">
        <v>40</v>
      </c>
      <c r="F460">
        <v>28</v>
      </c>
      <c r="G460">
        <v>3</v>
      </c>
      <c r="H460" t="s">
        <v>62</v>
      </c>
      <c r="I460">
        <v>615</v>
      </c>
      <c r="J460">
        <v>3</v>
      </c>
      <c r="K460" t="s">
        <v>54</v>
      </c>
      <c r="L460">
        <v>58</v>
      </c>
      <c r="M460">
        <v>1</v>
      </c>
      <c r="N460">
        <v>3</v>
      </c>
      <c r="O460" t="s">
        <v>43</v>
      </c>
      <c r="P460">
        <v>1</v>
      </c>
      <c r="Q460" t="s">
        <v>74</v>
      </c>
      <c r="R460">
        <v>10932</v>
      </c>
      <c r="S460">
        <v>11373</v>
      </c>
      <c r="T460">
        <v>3</v>
      </c>
      <c r="U460" t="s">
        <v>51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  <c r="AG460" t="s">
        <v>45</v>
      </c>
      <c r="AH460" t="s">
        <v>46</v>
      </c>
      <c r="AI460">
        <v>0</v>
      </c>
      <c r="AJ460" t="s">
        <v>65</v>
      </c>
      <c r="AK460" t="s">
        <v>72</v>
      </c>
      <c r="AL460" t="s">
        <v>73</v>
      </c>
      <c r="AM460" t="s">
        <v>61</v>
      </c>
      <c r="AN460">
        <f t="shared" si="7"/>
        <v>6</v>
      </c>
    </row>
    <row r="461" spans="1:40">
      <c r="A461">
        <v>41</v>
      </c>
      <c r="B461" t="s">
        <v>51</v>
      </c>
      <c r="C461" t="s">
        <v>77</v>
      </c>
      <c r="D461">
        <v>509</v>
      </c>
      <c r="E461" t="s">
        <v>53</v>
      </c>
      <c r="F461">
        <v>2</v>
      </c>
      <c r="G461">
        <v>4</v>
      </c>
      <c r="H461" t="s">
        <v>62</v>
      </c>
      <c r="I461">
        <v>616</v>
      </c>
      <c r="J461">
        <v>1</v>
      </c>
      <c r="K461" t="s">
        <v>42</v>
      </c>
      <c r="L461">
        <v>62</v>
      </c>
      <c r="M461">
        <v>2</v>
      </c>
      <c r="N461">
        <v>2</v>
      </c>
      <c r="O461" t="s">
        <v>76</v>
      </c>
      <c r="P461">
        <v>3</v>
      </c>
      <c r="Q461" t="s">
        <v>44</v>
      </c>
      <c r="R461">
        <v>6811</v>
      </c>
      <c r="S461">
        <v>2112</v>
      </c>
      <c r="T461">
        <v>2</v>
      </c>
      <c r="U461" t="s">
        <v>38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  <c r="AG461" t="s">
        <v>45</v>
      </c>
      <c r="AH461" t="s">
        <v>64</v>
      </c>
      <c r="AI461">
        <v>0</v>
      </c>
      <c r="AJ461" t="s">
        <v>58</v>
      </c>
      <c r="AK461" t="s">
        <v>68</v>
      </c>
      <c r="AL461" t="s">
        <v>66</v>
      </c>
      <c r="AM461" t="s">
        <v>61</v>
      </c>
      <c r="AN461">
        <f t="shared" si="7"/>
        <v>0</v>
      </c>
    </row>
    <row r="462" spans="1:40">
      <c r="A462">
        <v>26</v>
      </c>
      <c r="B462" t="s">
        <v>51</v>
      </c>
      <c r="C462" t="s">
        <v>39</v>
      </c>
      <c r="D462">
        <v>775</v>
      </c>
      <c r="E462" t="s">
        <v>40</v>
      </c>
      <c r="F462">
        <v>29</v>
      </c>
      <c r="G462">
        <v>2</v>
      </c>
      <c r="H462" t="s">
        <v>69</v>
      </c>
      <c r="I462">
        <v>618</v>
      </c>
      <c r="J462">
        <v>1</v>
      </c>
      <c r="K462" t="s">
        <v>54</v>
      </c>
      <c r="L462">
        <v>45</v>
      </c>
      <c r="M462">
        <v>3</v>
      </c>
      <c r="N462">
        <v>2</v>
      </c>
      <c r="O462" t="s">
        <v>43</v>
      </c>
      <c r="P462">
        <v>3</v>
      </c>
      <c r="Q462" t="s">
        <v>74</v>
      </c>
      <c r="R462">
        <v>4306</v>
      </c>
      <c r="S462">
        <v>4267</v>
      </c>
      <c r="T462">
        <v>5</v>
      </c>
      <c r="U462" t="s">
        <v>51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  <c r="AG462" t="s">
        <v>67</v>
      </c>
      <c r="AH462" t="s">
        <v>81</v>
      </c>
      <c r="AI462">
        <v>0</v>
      </c>
      <c r="AJ462" t="s">
        <v>65</v>
      </c>
      <c r="AK462" t="s">
        <v>48</v>
      </c>
      <c r="AL462" t="s">
        <v>66</v>
      </c>
      <c r="AM462" t="s">
        <v>61</v>
      </c>
      <c r="AN462">
        <f t="shared" si="7"/>
        <v>0</v>
      </c>
    </row>
    <row r="463" spans="1:40">
      <c r="A463">
        <v>35</v>
      </c>
      <c r="B463" t="s">
        <v>51</v>
      </c>
      <c r="C463" t="s">
        <v>39</v>
      </c>
      <c r="D463">
        <v>195</v>
      </c>
      <c r="E463" t="s">
        <v>40</v>
      </c>
      <c r="F463">
        <v>1</v>
      </c>
      <c r="G463">
        <v>3</v>
      </c>
      <c r="H463" t="s">
        <v>69</v>
      </c>
      <c r="I463">
        <v>620</v>
      </c>
      <c r="J463">
        <v>1</v>
      </c>
      <c r="K463" t="s">
        <v>42</v>
      </c>
      <c r="L463">
        <v>80</v>
      </c>
      <c r="M463">
        <v>3</v>
      </c>
      <c r="N463">
        <v>2</v>
      </c>
      <c r="O463" t="s">
        <v>43</v>
      </c>
      <c r="P463">
        <v>3</v>
      </c>
      <c r="Q463" t="s">
        <v>44</v>
      </c>
      <c r="R463">
        <v>4859</v>
      </c>
      <c r="S463">
        <v>6698</v>
      </c>
      <c r="T463">
        <v>1</v>
      </c>
      <c r="U463" t="s">
        <v>51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  <c r="AG463" t="s">
        <v>67</v>
      </c>
      <c r="AH463" t="s">
        <v>71</v>
      </c>
      <c r="AI463">
        <v>0</v>
      </c>
      <c r="AJ463" t="s">
        <v>65</v>
      </c>
      <c r="AK463" t="s">
        <v>72</v>
      </c>
      <c r="AL463" t="s">
        <v>66</v>
      </c>
      <c r="AM463" t="s">
        <v>61</v>
      </c>
      <c r="AN463">
        <f t="shared" si="7"/>
        <v>0</v>
      </c>
    </row>
    <row r="464" spans="1:40">
      <c r="A464">
        <v>34</v>
      </c>
      <c r="B464" t="s">
        <v>51</v>
      </c>
      <c r="C464" t="s">
        <v>39</v>
      </c>
      <c r="D464">
        <v>258</v>
      </c>
      <c r="E464" t="s">
        <v>40</v>
      </c>
      <c r="F464">
        <v>21</v>
      </c>
      <c r="G464">
        <v>4</v>
      </c>
      <c r="H464" t="s">
        <v>41</v>
      </c>
      <c r="I464">
        <v>621</v>
      </c>
      <c r="J464">
        <v>4</v>
      </c>
      <c r="K464" t="s">
        <v>54</v>
      </c>
      <c r="L464">
        <v>74</v>
      </c>
      <c r="M464">
        <v>4</v>
      </c>
      <c r="N464">
        <v>2</v>
      </c>
      <c r="O464" t="s">
        <v>43</v>
      </c>
      <c r="P464">
        <v>4</v>
      </c>
      <c r="Q464" t="s">
        <v>44</v>
      </c>
      <c r="R464">
        <v>5337</v>
      </c>
      <c r="S464">
        <v>19921</v>
      </c>
      <c r="T464">
        <v>1</v>
      </c>
      <c r="U464" t="s">
        <v>51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  <c r="AG464" t="s">
        <v>67</v>
      </c>
      <c r="AH464" t="s">
        <v>46</v>
      </c>
      <c r="AI464">
        <v>0</v>
      </c>
      <c r="AJ464" t="s">
        <v>58</v>
      </c>
      <c r="AK464" t="s">
        <v>68</v>
      </c>
      <c r="AL464" t="s">
        <v>49</v>
      </c>
      <c r="AM464" t="s">
        <v>61</v>
      </c>
      <c r="AN464">
        <f t="shared" si="7"/>
        <v>2</v>
      </c>
    </row>
    <row r="465" spans="1:40">
      <c r="A465">
        <v>26</v>
      </c>
      <c r="B465" t="s">
        <v>38</v>
      </c>
      <c r="C465" t="s">
        <v>39</v>
      </c>
      <c r="D465">
        <v>471</v>
      </c>
      <c r="E465" t="s">
        <v>53</v>
      </c>
      <c r="F465">
        <v>24</v>
      </c>
      <c r="G465">
        <v>3</v>
      </c>
      <c r="H465" t="s">
        <v>86</v>
      </c>
      <c r="I465">
        <v>622</v>
      </c>
      <c r="J465">
        <v>3</v>
      </c>
      <c r="K465" t="s">
        <v>54</v>
      </c>
      <c r="L465">
        <v>66</v>
      </c>
      <c r="M465">
        <v>1</v>
      </c>
      <c r="N465">
        <v>1</v>
      </c>
      <c r="O465" t="s">
        <v>63</v>
      </c>
      <c r="P465">
        <v>4</v>
      </c>
      <c r="Q465" t="s">
        <v>44</v>
      </c>
      <c r="R465">
        <v>2340</v>
      </c>
      <c r="S465">
        <v>23213</v>
      </c>
      <c r="T465">
        <v>1</v>
      </c>
      <c r="U465" t="s">
        <v>38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  <c r="AG465" t="s">
        <v>67</v>
      </c>
      <c r="AH465" t="s">
        <v>46</v>
      </c>
      <c r="AI465">
        <v>1</v>
      </c>
      <c r="AJ465" t="s">
        <v>47</v>
      </c>
      <c r="AK465" t="s">
        <v>72</v>
      </c>
      <c r="AL465" t="s">
        <v>49</v>
      </c>
      <c r="AM465" t="s">
        <v>50</v>
      </c>
      <c r="AN465">
        <f t="shared" si="7"/>
        <v>1</v>
      </c>
    </row>
    <row r="466" spans="1:40">
      <c r="A466">
        <v>37</v>
      </c>
      <c r="B466" t="s">
        <v>51</v>
      </c>
      <c r="C466" t="s">
        <v>39</v>
      </c>
      <c r="D466">
        <v>799</v>
      </c>
      <c r="E466" t="s">
        <v>53</v>
      </c>
      <c r="F466">
        <v>1</v>
      </c>
      <c r="G466">
        <v>3</v>
      </c>
      <c r="H466" t="s">
        <v>86</v>
      </c>
      <c r="I466">
        <v>623</v>
      </c>
      <c r="J466">
        <v>2</v>
      </c>
      <c r="K466" t="s">
        <v>42</v>
      </c>
      <c r="L466">
        <v>59</v>
      </c>
      <c r="M466">
        <v>3</v>
      </c>
      <c r="N466">
        <v>3</v>
      </c>
      <c r="O466" t="s">
        <v>75</v>
      </c>
      <c r="P466">
        <v>4</v>
      </c>
      <c r="Q466" t="s">
        <v>44</v>
      </c>
      <c r="R466">
        <v>7491</v>
      </c>
      <c r="S466">
        <v>23848</v>
      </c>
      <c r="T466">
        <v>4</v>
      </c>
      <c r="U466" t="s">
        <v>51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  <c r="AG466" t="s">
        <v>45</v>
      </c>
      <c r="AH466" t="s">
        <v>46</v>
      </c>
      <c r="AI466">
        <v>0</v>
      </c>
      <c r="AJ466" t="s">
        <v>58</v>
      </c>
      <c r="AK466" t="s">
        <v>72</v>
      </c>
      <c r="AL466" t="s">
        <v>49</v>
      </c>
      <c r="AM466" t="s">
        <v>85</v>
      </c>
      <c r="AN466">
        <f t="shared" si="7"/>
        <v>-4</v>
      </c>
    </row>
    <row r="467" spans="1:40">
      <c r="A467">
        <v>46</v>
      </c>
      <c r="B467" t="s">
        <v>51</v>
      </c>
      <c r="C467" t="s">
        <v>52</v>
      </c>
      <c r="D467">
        <v>1034</v>
      </c>
      <c r="E467" t="s">
        <v>53</v>
      </c>
      <c r="F467">
        <v>18</v>
      </c>
      <c r="G467">
        <v>1</v>
      </c>
      <c r="H467" t="s">
        <v>69</v>
      </c>
      <c r="I467">
        <v>624</v>
      </c>
      <c r="J467">
        <v>1</v>
      </c>
      <c r="K467" t="s">
        <v>42</v>
      </c>
      <c r="L467">
        <v>86</v>
      </c>
      <c r="M467">
        <v>3</v>
      </c>
      <c r="N467">
        <v>3</v>
      </c>
      <c r="O467" t="s">
        <v>76</v>
      </c>
      <c r="P467">
        <v>3</v>
      </c>
      <c r="Q467" t="s">
        <v>56</v>
      </c>
      <c r="R467">
        <v>10527</v>
      </c>
      <c r="S467">
        <v>8984</v>
      </c>
      <c r="T467">
        <v>5</v>
      </c>
      <c r="U467" t="s">
        <v>51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  <c r="AG467" t="s">
        <v>57</v>
      </c>
      <c r="AH467" t="s">
        <v>71</v>
      </c>
      <c r="AI467">
        <v>0</v>
      </c>
      <c r="AJ467" t="s">
        <v>47</v>
      </c>
      <c r="AK467" t="s">
        <v>59</v>
      </c>
      <c r="AL467" t="s">
        <v>66</v>
      </c>
      <c r="AM467" t="s">
        <v>70</v>
      </c>
      <c r="AN467">
        <f t="shared" si="7"/>
        <v>3</v>
      </c>
    </row>
    <row r="468" spans="1:40">
      <c r="A468">
        <v>41</v>
      </c>
      <c r="B468" t="s">
        <v>51</v>
      </c>
      <c r="C468" t="s">
        <v>39</v>
      </c>
      <c r="D468">
        <v>1276</v>
      </c>
      <c r="E468" t="s">
        <v>40</v>
      </c>
      <c r="F468">
        <v>2</v>
      </c>
      <c r="G468">
        <v>5</v>
      </c>
      <c r="H468" t="s">
        <v>41</v>
      </c>
      <c r="I468">
        <v>625</v>
      </c>
      <c r="J468">
        <v>2</v>
      </c>
      <c r="K468" t="s">
        <v>42</v>
      </c>
      <c r="L468">
        <v>91</v>
      </c>
      <c r="M468">
        <v>3</v>
      </c>
      <c r="N468">
        <v>4</v>
      </c>
      <c r="O468" t="s">
        <v>79</v>
      </c>
      <c r="P468">
        <v>1</v>
      </c>
      <c r="Q468" t="s">
        <v>56</v>
      </c>
      <c r="R468">
        <v>16595</v>
      </c>
      <c r="S468">
        <v>5626</v>
      </c>
      <c r="T468">
        <v>7</v>
      </c>
      <c r="U468" t="s">
        <v>51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  <c r="AG468" t="s">
        <v>45</v>
      </c>
      <c r="AH468" t="s">
        <v>81</v>
      </c>
      <c r="AI468">
        <v>0</v>
      </c>
      <c r="AJ468" t="s">
        <v>80</v>
      </c>
      <c r="AK468" t="s">
        <v>87</v>
      </c>
      <c r="AL468" t="s">
        <v>73</v>
      </c>
      <c r="AM468" t="s">
        <v>61</v>
      </c>
      <c r="AN468">
        <f t="shared" si="7"/>
        <v>17</v>
      </c>
    </row>
    <row r="469" spans="1:40">
      <c r="A469">
        <v>37</v>
      </c>
      <c r="B469" t="s">
        <v>51</v>
      </c>
      <c r="C469" t="s">
        <v>77</v>
      </c>
      <c r="D469">
        <v>142</v>
      </c>
      <c r="E469" t="s">
        <v>40</v>
      </c>
      <c r="F469">
        <v>9</v>
      </c>
      <c r="G469">
        <v>4</v>
      </c>
      <c r="H469" t="s">
        <v>69</v>
      </c>
      <c r="I469">
        <v>626</v>
      </c>
      <c r="J469">
        <v>1</v>
      </c>
      <c r="K469" t="s">
        <v>54</v>
      </c>
      <c r="L469">
        <v>69</v>
      </c>
      <c r="M469">
        <v>3</v>
      </c>
      <c r="N469">
        <v>3</v>
      </c>
      <c r="O469" t="s">
        <v>43</v>
      </c>
      <c r="P469">
        <v>2</v>
      </c>
      <c r="Q469" t="s">
        <v>74</v>
      </c>
      <c r="R469">
        <v>8834</v>
      </c>
      <c r="S469">
        <v>24666</v>
      </c>
      <c r="T469">
        <v>1</v>
      </c>
      <c r="U469" t="s">
        <v>51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  <c r="AG469" t="s">
        <v>45</v>
      </c>
      <c r="AH469" t="s">
        <v>46</v>
      </c>
      <c r="AI469">
        <v>0</v>
      </c>
      <c r="AJ469" t="s">
        <v>58</v>
      </c>
      <c r="AK469" t="s">
        <v>68</v>
      </c>
      <c r="AL469" t="s">
        <v>60</v>
      </c>
      <c r="AM469" t="s">
        <v>61</v>
      </c>
      <c r="AN469">
        <f t="shared" si="7"/>
        <v>10</v>
      </c>
    </row>
    <row r="470" spans="1:40">
      <c r="A470">
        <v>52</v>
      </c>
      <c r="B470" t="s">
        <v>51</v>
      </c>
      <c r="C470" t="s">
        <v>39</v>
      </c>
      <c r="D470">
        <v>956</v>
      </c>
      <c r="E470" t="s">
        <v>53</v>
      </c>
      <c r="F470">
        <v>6</v>
      </c>
      <c r="G470">
        <v>2</v>
      </c>
      <c r="H470" t="s">
        <v>86</v>
      </c>
      <c r="I470">
        <v>630</v>
      </c>
      <c r="J470">
        <v>4</v>
      </c>
      <c r="K470" t="s">
        <v>54</v>
      </c>
      <c r="L470">
        <v>78</v>
      </c>
      <c r="M470">
        <v>3</v>
      </c>
      <c r="N470">
        <v>2</v>
      </c>
      <c r="O470" t="s">
        <v>55</v>
      </c>
      <c r="P470">
        <v>1</v>
      </c>
      <c r="Q470" t="s">
        <v>74</v>
      </c>
      <c r="R470">
        <v>5577</v>
      </c>
      <c r="S470">
        <v>22087</v>
      </c>
      <c r="T470">
        <v>3</v>
      </c>
      <c r="U470" t="s">
        <v>38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  <c r="AG470" t="s">
        <v>57</v>
      </c>
      <c r="AH470" t="s">
        <v>46</v>
      </c>
      <c r="AI470">
        <v>0</v>
      </c>
      <c r="AJ470" t="s">
        <v>58</v>
      </c>
      <c r="AK470" t="s">
        <v>48</v>
      </c>
      <c r="AL470" t="s">
        <v>73</v>
      </c>
      <c r="AM470" t="s">
        <v>61</v>
      </c>
      <c r="AN470">
        <f t="shared" si="7"/>
        <v>12</v>
      </c>
    </row>
    <row r="471" spans="1:40">
      <c r="A471">
        <v>32</v>
      </c>
      <c r="B471" t="s">
        <v>38</v>
      </c>
      <c r="C471" t="s">
        <v>77</v>
      </c>
      <c r="D471">
        <v>1474</v>
      </c>
      <c r="E471" t="s">
        <v>40</v>
      </c>
      <c r="F471">
        <v>11</v>
      </c>
      <c r="G471">
        <v>4</v>
      </c>
      <c r="H471" t="s">
        <v>62</v>
      </c>
      <c r="I471">
        <v>631</v>
      </c>
      <c r="J471">
        <v>4</v>
      </c>
      <c r="K471" t="s">
        <v>54</v>
      </c>
      <c r="L471">
        <v>60</v>
      </c>
      <c r="M471">
        <v>4</v>
      </c>
      <c r="N471">
        <v>2</v>
      </c>
      <c r="O471" t="s">
        <v>43</v>
      </c>
      <c r="P471">
        <v>3</v>
      </c>
      <c r="Q471" t="s">
        <v>56</v>
      </c>
      <c r="R471">
        <v>4707</v>
      </c>
      <c r="S471">
        <v>23914</v>
      </c>
      <c r="T471">
        <v>8</v>
      </c>
      <c r="U471" t="s">
        <v>51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  <c r="AG471" t="s">
        <v>67</v>
      </c>
      <c r="AH471" t="s">
        <v>46</v>
      </c>
      <c r="AI471">
        <v>1</v>
      </c>
      <c r="AJ471" t="s">
        <v>65</v>
      </c>
      <c r="AK471" t="s">
        <v>68</v>
      </c>
      <c r="AL471" t="s">
        <v>66</v>
      </c>
      <c r="AM471" t="s">
        <v>61</v>
      </c>
      <c r="AN471">
        <f t="shared" si="7"/>
        <v>1</v>
      </c>
    </row>
    <row r="472" spans="1:40">
      <c r="A472">
        <v>24</v>
      </c>
      <c r="B472" t="s">
        <v>51</v>
      </c>
      <c r="C472" t="s">
        <v>52</v>
      </c>
      <c r="D472">
        <v>535</v>
      </c>
      <c r="E472" t="s">
        <v>40</v>
      </c>
      <c r="F472">
        <v>24</v>
      </c>
      <c r="G472">
        <v>3</v>
      </c>
      <c r="H472" t="s">
        <v>69</v>
      </c>
      <c r="I472">
        <v>632</v>
      </c>
      <c r="J472">
        <v>4</v>
      </c>
      <c r="K472" t="s">
        <v>54</v>
      </c>
      <c r="L472">
        <v>38</v>
      </c>
      <c r="M472">
        <v>3</v>
      </c>
      <c r="N472">
        <v>1</v>
      </c>
      <c r="O472" t="s">
        <v>82</v>
      </c>
      <c r="P472">
        <v>4</v>
      </c>
      <c r="Q472" t="s">
        <v>56</v>
      </c>
      <c r="R472">
        <v>2400</v>
      </c>
      <c r="S472">
        <v>5530</v>
      </c>
      <c r="T472">
        <v>0</v>
      </c>
      <c r="U472" t="s">
        <v>51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  <c r="AG472" t="s">
        <v>78</v>
      </c>
      <c r="AH472" t="s">
        <v>81</v>
      </c>
      <c r="AI472">
        <v>0</v>
      </c>
      <c r="AJ472" t="s">
        <v>65</v>
      </c>
      <c r="AK472" t="s">
        <v>72</v>
      </c>
      <c r="AL472" t="s">
        <v>49</v>
      </c>
      <c r="AM472" t="s">
        <v>61</v>
      </c>
      <c r="AN472">
        <f t="shared" si="7"/>
        <v>-1</v>
      </c>
    </row>
    <row r="473" spans="1:40">
      <c r="A473">
        <v>38</v>
      </c>
      <c r="B473" t="s">
        <v>51</v>
      </c>
      <c r="C473" t="s">
        <v>39</v>
      </c>
      <c r="D473">
        <v>1495</v>
      </c>
      <c r="E473" t="s">
        <v>53</v>
      </c>
      <c r="F473">
        <v>10</v>
      </c>
      <c r="G473">
        <v>3</v>
      </c>
      <c r="H473" t="s">
        <v>69</v>
      </c>
      <c r="I473">
        <v>634</v>
      </c>
      <c r="J473">
        <v>3</v>
      </c>
      <c r="K473" t="s">
        <v>42</v>
      </c>
      <c r="L473">
        <v>76</v>
      </c>
      <c r="M473">
        <v>3</v>
      </c>
      <c r="N473">
        <v>2</v>
      </c>
      <c r="O473" t="s">
        <v>76</v>
      </c>
      <c r="P473">
        <v>3</v>
      </c>
      <c r="Q473" t="s">
        <v>56</v>
      </c>
      <c r="R473">
        <v>9824</v>
      </c>
      <c r="S473">
        <v>22174</v>
      </c>
      <c r="T473">
        <v>3</v>
      </c>
      <c r="U473" t="s">
        <v>51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  <c r="AG473" t="s">
        <v>45</v>
      </c>
      <c r="AH473" t="s">
        <v>46</v>
      </c>
      <c r="AI473">
        <v>0</v>
      </c>
      <c r="AJ473" t="s">
        <v>65</v>
      </c>
      <c r="AK473" t="s">
        <v>72</v>
      </c>
      <c r="AL473" t="s">
        <v>66</v>
      </c>
      <c r="AM473" t="s">
        <v>61</v>
      </c>
      <c r="AN473">
        <f t="shared" si="7"/>
        <v>0</v>
      </c>
    </row>
    <row r="474" spans="1:40">
      <c r="A474">
        <v>37</v>
      </c>
      <c r="B474" t="s">
        <v>51</v>
      </c>
      <c r="C474" t="s">
        <v>39</v>
      </c>
      <c r="D474">
        <v>446</v>
      </c>
      <c r="E474" t="s">
        <v>53</v>
      </c>
      <c r="F474">
        <v>1</v>
      </c>
      <c r="G474">
        <v>4</v>
      </c>
      <c r="H474" t="s">
        <v>41</v>
      </c>
      <c r="I474">
        <v>635</v>
      </c>
      <c r="J474">
        <v>2</v>
      </c>
      <c r="K474" t="s">
        <v>42</v>
      </c>
      <c r="L474">
        <v>65</v>
      </c>
      <c r="M474">
        <v>3</v>
      </c>
      <c r="N474">
        <v>2</v>
      </c>
      <c r="O474" t="s">
        <v>75</v>
      </c>
      <c r="P474">
        <v>2</v>
      </c>
      <c r="Q474" t="s">
        <v>56</v>
      </c>
      <c r="R474">
        <v>6447</v>
      </c>
      <c r="S474">
        <v>15701</v>
      </c>
      <c r="T474">
        <v>6</v>
      </c>
      <c r="U474" t="s">
        <v>51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  <c r="AG474" t="s">
        <v>45</v>
      </c>
      <c r="AH474" t="s">
        <v>46</v>
      </c>
      <c r="AI474">
        <v>0</v>
      </c>
      <c r="AJ474" t="s">
        <v>47</v>
      </c>
      <c r="AK474" t="s">
        <v>68</v>
      </c>
      <c r="AL474" t="s">
        <v>60</v>
      </c>
      <c r="AM474" t="s">
        <v>70</v>
      </c>
      <c r="AN474">
        <f t="shared" si="7"/>
        <v>9</v>
      </c>
    </row>
    <row r="475" spans="1:40">
      <c r="A475">
        <v>49</v>
      </c>
      <c r="B475" t="s">
        <v>51</v>
      </c>
      <c r="C475" t="s">
        <v>39</v>
      </c>
      <c r="D475">
        <v>1245</v>
      </c>
      <c r="E475" t="s">
        <v>53</v>
      </c>
      <c r="F475">
        <v>18</v>
      </c>
      <c r="G475">
        <v>4</v>
      </c>
      <c r="H475" t="s">
        <v>41</v>
      </c>
      <c r="I475">
        <v>638</v>
      </c>
      <c r="J475">
        <v>4</v>
      </c>
      <c r="K475" t="s">
        <v>54</v>
      </c>
      <c r="L475">
        <v>58</v>
      </c>
      <c r="M475">
        <v>2</v>
      </c>
      <c r="N475">
        <v>5</v>
      </c>
      <c r="O475" t="s">
        <v>83</v>
      </c>
      <c r="P475">
        <v>3</v>
      </c>
      <c r="Q475" t="s">
        <v>74</v>
      </c>
      <c r="R475">
        <v>19502</v>
      </c>
      <c r="S475">
        <v>2125</v>
      </c>
      <c r="T475">
        <v>1</v>
      </c>
      <c r="U475" t="s">
        <v>38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  <c r="AG475" t="s">
        <v>57</v>
      </c>
      <c r="AH475" t="s">
        <v>64</v>
      </c>
      <c r="AI475">
        <v>0</v>
      </c>
      <c r="AJ475" t="s">
        <v>80</v>
      </c>
      <c r="AK475" t="s">
        <v>68</v>
      </c>
      <c r="AL475" t="s">
        <v>66</v>
      </c>
      <c r="AM475" t="s">
        <v>61</v>
      </c>
      <c r="AN475">
        <f t="shared" si="7"/>
        <v>0</v>
      </c>
    </row>
    <row r="476" spans="1:40">
      <c r="A476">
        <v>24</v>
      </c>
      <c r="B476" t="s">
        <v>51</v>
      </c>
      <c r="C476" t="s">
        <v>39</v>
      </c>
      <c r="D476">
        <v>691</v>
      </c>
      <c r="E476" t="s">
        <v>53</v>
      </c>
      <c r="F476">
        <v>23</v>
      </c>
      <c r="G476">
        <v>3</v>
      </c>
      <c r="H476" t="s">
        <v>69</v>
      </c>
      <c r="I476">
        <v>639</v>
      </c>
      <c r="J476">
        <v>2</v>
      </c>
      <c r="K476" t="s">
        <v>54</v>
      </c>
      <c r="L476">
        <v>89</v>
      </c>
      <c r="M476">
        <v>4</v>
      </c>
      <c r="N476">
        <v>1</v>
      </c>
      <c r="O476" t="s">
        <v>55</v>
      </c>
      <c r="P476">
        <v>4</v>
      </c>
      <c r="Q476" t="s">
        <v>56</v>
      </c>
      <c r="R476">
        <v>2725</v>
      </c>
      <c r="S476">
        <v>21630</v>
      </c>
      <c r="T476">
        <v>1</v>
      </c>
      <c r="U476" t="s">
        <v>38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  <c r="AG476" t="s">
        <v>78</v>
      </c>
      <c r="AH476" t="s">
        <v>46</v>
      </c>
      <c r="AI476">
        <v>0</v>
      </c>
      <c r="AJ476" t="s">
        <v>58</v>
      </c>
      <c r="AK476" t="s">
        <v>72</v>
      </c>
      <c r="AL476" t="s">
        <v>49</v>
      </c>
      <c r="AM476" t="s">
        <v>61</v>
      </c>
      <c r="AN476">
        <f t="shared" si="7"/>
        <v>-2</v>
      </c>
    </row>
    <row r="477" spans="1:40">
      <c r="A477">
        <v>26</v>
      </c>
      <c r="B477" t="s">
        <v>51</v>
      </c>
      <c r="C477" t="s">
        <v>39</v>
      </c>
      <c r="D477">
        <v>703</v>
      </c>
      <c r="E477" t="s">
        <v>40</v>
      </c>
      <c r="F477">
        <v>28</v>
      </c>
      <c r="G477">
        <v>2</v>
      </c>
      <c r="H477" t="s">
        <v>84</v>
      </c>
      <c r="I477">
        <v>641</v>
      </c>
      <c r="J477">
        <v>1</v>
      </c>
      <c r="K477" t="s">
        <v>54</v>
      </c>
      <c r="L477">
        <v>66</v>
      </c>
      <c r="M477">
        <v>3</v>
      </c>
      <c r="N477">
        <v>2</v>
      </c>
      <c r="O477" t="s">
        <v>43</v>
      </c>
      <c r="P477">
        <v>2</v>
      </c>
      <c r="Q477" t="s">
        <v>56</v>
      </c>
      <c r="R477">
        <v>6272</v>
      </c>
      <c r="S477">
        <v>7428</v>
      </c>
      <c r="T477">
        <v>1</v>
      </c>
      <c r="U477" t="s">
        <v>51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  <c r="AG477" t="s">
        <v>67</v>
      </c>
      <c r="AH477" t="s">
        <v>71</v>
      </c>
      <c r="AI477">
        <v>0</v>
      </c>
      <c r="AJ477" t="s">
        <v>65</v>
      </c>
      <c r="AK477" t="s">
        <v>48</v>
      </c>
      <c r="AL477" t="s">
        <v>60</v>
      </c>
      <c r="AM477" t="s">
        <v>85</v>
      </c>
      <c r="AN477">
        <f t="shared" si="7"/>
        <v>2</v>
      </c>
    </row>
    <row r="478" spans="1:40">
      <c r="A478">
        <v>24</v>
      </c>
      <c r="B478" t="s">
        <v>51</v>
      </c>
      <c r="C478" t="s">
        <v>39</v>
      </c>
      <c r="D478">
        <v>823</v>
      </c>
      <c r="E478" t="s">
        <v>53</v>
      </c>
      <c r="F478">
        <v>17</v>
      </c>
      <c r="G478">
        <v>2</v>
      </c>
      <c r="H478" t="s">
        <v>62</v>
      </c>
      <c r="I478">
        <v>643</v>
      </c>
      <c r="J478">
        <v>4</v>
      </c>
      <c r="K478" t="s">
        <v>54</v>
      </c>
      <c r="L478">
        <v>94</v>
      </c>
      <c r="M478">
        <v>2</v>
      </c>
      <c r="N478">
        <v>1</v>
      </c>
      <c r="O478" t="s">
        <v>63</v>
      </c>
      <c r="P478">
        <v>2</v>
      </c>
      <c r="Q478" t="s">
        <v>56</v>
      </c>
      <c r="R478">
        <v>2127</v>
      </c>
      <c r="S478">
        <v>9100</v>
      </c>
      <c r="T478">
        <v>1</v>
      </c>
      <c r="U478" t="s">
        <v>51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  <c r="AG478" t="s">
        <v>78</v>
      </c>
      <c r="AH478" t="s">
        <v>71</v>
      </c>
      <c r="AI478">
        <v>0</v>
      </c>
      <c r="AJ478" t="s">
        <v>65</v>
      </c>
      <c r="AK478" t="s">
        <v>48</v>
      </c>
      <c r="AL478" t="s">
        <v>60</v>
      </c>
      <c r="AM478" t="s">
        <v>61</v>
      </c>
      <c r="AN478">
        <f t="shared" si="7"/>
        <v>3</v>
      </c>
    </row>
    <row r="479" spans="1:40">
      <c r="A479">
        <v>50</v>
      </c>
      <c r="B479" t="s">
        <v>51</v>
      </c>
      <c r="C479" t="s">
        <v>52</v>
      </c>
      <c r="D479">
        <v>1246</v>
      </c>
      <c r="E479" t="s">
        <v>88</v>
      </c>
      <c r="F479">
        <v>3</v>
      </c>
      <c r="G479">
        <v>3</v>
      </c>
      <c r="H479" t="s">
        <v>69</v>
      </c>
      <c r="I479">
        <v>644</v>
      </c>
      <c r="J479">
        <v>1</v>
      </c>
      <c r="K479" t="s">
        <v>54</v>
      </c>
      <c r="L479">
        <v>99</v>
      </c>
      <c r="M479">
        <v>3</v>
      </c>
      <c r="N479">
        <v>5</v>
      </c>
      <c r="O479" t="s">
        <v>79</v>
      </c>
      <c r="P479">
        <v>2</v>
      </c>
      <c r="Q479" t="s">
        <v>56</v>
      </c>
      <c r="R479">
        <v>18200</v>
      </c>
      <c r="S479">
        <v>7999</v>
      </c>
      <c r="T479">
        <v>1</v>
      </c>
      <c r="U479" t="s">
        <v>51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  <c r="AG479" t="s">
        <v>57</v>
      </c>
      <c r="AH479" t="s">
        <v>71</v>
      </c>
      <c r="AI479">
        <v>0</v>
      </c>
      <c r="AJ479" t="s">
        <v>80</v>
      </c>
      <c r="AK479" t="s">
        <v>72</v>
      </c>
      <c r="AL479" t="s">
        <v>60</v>
      </c>
      <c r="AM479" t="s">
        <v>61</v>
      </c>
      <c r="AN479">
        <f t="shared" si="7"/>
        <v>13</v>
      </c>
    </row>
    <row r="480" spans="1:40">
      <c r="A480">
        <v>25</v>
      </c>
      <c r="B480" t="s">
        <v>51</v>
      </c>
      <c r="C480" t="s">
        <v>39</v>
      </c>
      <c r="D480">
        <v>622</v>
      </c>
      <c r="E480" t="s">
        <v>40</v>
      </c>
      <c r="F480">
        <v>13</v>
      </c>
      <c r="G480">
        <v>1</v>
      </c>
      <c r="H480" t="s">
        <v>69</v>
      </c>
      <c r="I480">
        <v>645</v>
      </c>
      <c r="J480">
        <v>2</v>
      </c>
      <c r="K480" t="s">
        <v>54</v>
      </c>
      <c r="L480">
        <v>40</v>
      </c>
      <c r="M480">
        <v>3</v>
      </c>
      <c r="N480">
        <v>1</v>
      </c>
      <c r="O480" t="s">
        <v>82</v>
      </c>
      <c r="P480">
        <v>3</v>
      </c>
      <c r="Q480" t="s">
        <v>56</v>
      </c>
      <c r="R480">
        <v>2096</v>
      </c>
      <c r="S480">
        <v>26376</v>
      </c>
      <c r="T480">
        <v>1</v>
      </c>
      <c r="U480" t="s">
        <v>51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  <c r="AG480" t="s">
        <v>78</v>
      </c>
      <c r="AH480" t="s">
        <v>46</v>
      </c>
      <c r="AI480">
        <v>0</v>
      </c>
      <c r="AJ480" t="s">
        <v>58</v>
      </c>
      <c r="AK480" t="s">
        <v>59</v>
      </c>
      <c r="AL480" t="s">
        <v>66</v>
      </c>
      <c r="AM480" t="s">
        <v>61</v>
      </c>
      <c r="AN480">
        <f t="shared" si="7"/>
        <v>0</v>
      </c>
    </row>
    <row r="481" spans="1:40">
      <c r="A481">
        <v>24</v>
      </c>
      <c r="B481" t="s">
        <v>38</v>
      </c>
      <c r="C481" t="s">
        <v>52</v>
      </c>
      <c r="D481">
        <v>1287</v>
      </c>
      <c r="E481" t="s">
        <v>53</v>
      </c>
      <c r="F481">
        <v>7</v>
      </c>
      <c r="G481">
        <v>3</v>
      </c>
      <c r="H481" t="s">
        <v>41</v>
      </c>
      <c r="I481">
        <v>647</v>
      </c>
      <c r="J481">
        <v>1</v>
      </c>
      <c r="K481" t="s">
        <v>42</v>
      </c>
      <c r="L481">
        <v>55</v>
      </c>
      <c r="M481">
        <v>3</v>
      </c>
      <c r="N481">
        <v>1</v>
      </c>
      <c r="O481" t="s">
        <v>63</v>
      </c>
      <c r="P481">
        <v>3</v>
      </c>
      <c r="Q481" t="s">
        <v>56</v>
      </c>
      <c r="R481">
        <v>2886</v>
      </c>
      <c r="S481">
        <v>14168</v>
      </c>
      <c r="T481">
        <v>1</v>
      </c>
      <c r="U481" t="s">
        <v>38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  <c r="AG481" t="s">
        <v>78</v>
      </c>
      <c r="AH481" t="s">
        <v>46</v>
      </c>
      <c r="AI481">
        <v>1</v>
      </c>
      <c r="AJ481" t="s">
        <v>58</v>
      </c>
      <c r="AK481" t="s">
        <v>72</v>
      </c>
      <c r="AL481" t="s">
        <v>66</v>
      </c>
      <c r="AM481" t="s">
        <v>61</v>
      </c>
      <c r="AN481">
        <f t="shared" si="7"/>
        <v>1</v>
      </c>
    </row>
    <row r="482" spans="1:40">
      <c r="A482">
        <v>30</v>
      </c>
      <c r="B482" t="s">
        <v>38</v>
      </c>
      <c r="C482" t="s">
        <v>52</v>
      </c>
      <c r="D482">
        <v>448</v>
      </c>
      <c r="E482" t="s">
        <v>40</v>
      </c>
      <c r="F482">
        <v>12</v>
      </c>
      <c r="G482">
        <v>4</v>
      </c>
      <c r="H482" t="s">
        <v>41</v>
      </c>
      <c r="I482">
        <v>648</v>
      </c>
      <c r="J482">
        <v>2</v>
      </c>
      <c r="K482" t="s">
        <v>54</v>
      </c>
      <c r="L482">
        <v>74</v>
      </c>
      <c r="M482">
        <v>2</v>
      </c>
      <c r="N482">
        <v>1</v>
      </c>
      <c r="O482" t="s">
        <v>82</v>
      </c>
      <c r="P482">
        <v>1</v>
      </c>
      <c r="Q482" t="s">
        <v>56</v>
      </c>
      <c r="R482">
        <v>2033</v>
      </c>
      <c r="S482">
        <v>14470</v>
      </c>
      <c r="T482">
        <v>1</v>
      </c>
      <c r="U482" t="s">
        <v>51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  <c r="AG482" t="s">
        <v>67</v>
      </c>
      <c r="AH482" t="s">
        <v>46</v>
      </c>
      <c r="AI482">
        <v>1</v>
      </c>
      <c r="AJ482" t="s">
        <v>65</v>
      </c>
      <c r="AK482" t="s">
        <v>68</v>
      </c>
      <c r="AL482" t="s">
        <v>73</v>
      </c>
      <c r="AM482" t="s">
        <v>85</v>
      </c>
      <c r="AN482">
        <f t="shared" si="7"/>
        <v>4</v>
      </c>
    </row>
    <row r="483" spans="1:40">
      <c r="A483">
        <v>34</v>
      </c>
      <c r="B483" t="s">
        <v>51</v>
      </c>
      <c r="C483" t="s">
        <v>39</v>
      </c>
      <c r="D483">
        <v>254</v>
      </c>
      <c r="E483" t="s">
        <v>53</v>
      </c>
      <c r="F483">
        <v>1</v>
      </c>
      <c r="G483">
        <v>2</v>
      </c>
      <c r="H483" t="s">
        <v>41</v>
      </c>
      <c r="I483">
        <v>649</v>
      </c>
      <c r="J483">
        <v>2</v>
      </c>
      <c r="K483" t="s">
        <v>54</v>
      </c>
      <c r="L483">
        <v>83</v>
      </c>
      <c r="M483">
        <v>2</v>
      </c>
      <c r="N483">
        <v>1</v>
      </c>
      <c r="O483" t="s">
        <v>55</v>
      </c>
      <c r="P483">
        <v>4</v>
      </c>
      <c r="Q483" t="s">
        <v>56</v>
      </c>
      <c r="R483">
        <v>3622</v>
      </c>
      <c r="S483">
        <v>22794</v>
      </c>
      <c r="T483">
        <v>1</v>
      </c>
      <c r="U483" t="s">
        <v>38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  <c r="AG483" t="s">
        <v>67</v>
      </c>
      <c r="AH483" t="s">
        <v>46</v>
      </c>
      <c r="AI483">
        <v>0</v>
      </c>
      <c r="AJ483" t="s">
        <v>58</v>
      </c>
      <c r="AK483" t="s">
        <v>48</v>
      </c>
      <c r="AL483" t="s">
        <v>49</v>
      </c>
      <c r="AM483" t="s">
        <v>61</v>
      </c>
      <c r="AN483">
        <f t="shared" si="7"/>
        <v>-2</v>
      </c>
    </row>
    <row r="484" spans="1:40">
      <c r="A484">
        <v>31</v>
      </c>
      <c r="B484" t="s">
        <v>38</v>
      </c>
      <c r="C484" t="s">
        <v>39</v>
      </c>
      <c r="D484">
        <v>1365</v>
      </c>
      <c r="E484" t="s">
        <v>40</v>
      </c>
      <c r="F484">
        <v>13</v>
      </c>
      <c r="G484">
        <v>4</v>
      </c>
      <c r="H484" t="s">
        <v>69</v>
      </c>
      <c r="I484">
        <v>650</v>
      </c>
      <c r="J484">
        <v>2</v>
      </c>
      <c r="K484" t="s">
        <v>54</v>
      </c>
      <c r="L484">
        <v>46</v>
      </c>
      <c r="M484">
        <v>3</v>
      </c>
      <c r="N484">
        <v>2</v>
      </c>
      <c r="O484" t="s">
        <v>43</v>
      </c>
      <c r="P484">
        <v>1</v>
      </c>
      <c r="Q484" t="s">
        <v>74</v>
      </c>
      <c r="R484">
        <v>4233</v>
      </c>
      <c r="S484">
        <v>11512</v>
      </c>
      <c r="T484">
        <v>2</v>
      </c>
      <c r="U484" t="s">
        <v>51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  <c r="AG484" t="s">
        <v>67</v>
      </c>
      <c r="AH484" t="s">
        <v>46</v>
      </c>
      <c r="AI484">
        <v>1</v>
      </c>
      <c r="AJ484" t="s">
        <v>47</v>
      </c>
      <c r="AK484" t="s">
        <v>68</v>
      </c>
      <c r="AL484" t="s">
        <v>73</v>
      </c>
      <c r="AM484" t="s">
        <v>50</v>
      </c>
      <c r="AN484">
        <f t="shared" si="7"/>
        <v>11</v>
      </c>
    </row>
    <row r="485" spans="1:40">
      <c r="A485">
        <v>35</v>
      </c>
      <c r="B485" t="s">
        <v>51</v>
      </c>
      <c r="C485" t="s">
        <v>39</v>
      </c>
      <c r="D485">
        <v>538</v>
      </c>
      <c r="E485" t="s">
        <v>53</v>
      </c>
      <c r="F485">
        <v>25</v>
      </c>
      <c r="G485">
        <v>2</v>
      </c>
      <c r="H485" t="s">
        <v>62</v>
      </c>
      <c r="I485">
        <v>652</v>
      </c>
      <c r="J485">
        <v>1</v>
      </c>
      <c r="K485" t="s">
        <v>54</v>
      </c>
      <c r="L485">
        <v>54</v>
      </c>
      <c r="M485">
        <v>2</v>
      </c>
      <c r="N485">
        <v>2</v>
      </c>
      <c r="O485" t="s">
        <v>63</v>
      </c>
      <c r="P485">
        <v>4</v>
      </c>
      <c r="Q485" t="s">
        <v>44</v>
      </c>
      <c r="R485">
        <v>3681</v>
      </c>
      <c r="S485">
        <v>14004</v>
      </c>
      <c r="T485">
        <v>4</v>
      </c>
      <c r="U485" t="s">
        <v>51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  <c r="AG485" t="s">
        <v>67</v>
      </c>
      <c r="AH485" t="s">
        <v>46</v>
      </c>
      <c r="AI485">
        <v>0</v>
      </c>
      <c r="AJ485" t="s">
        <v>65</v>
      </c>
      <c r="AK485" t="s">
        <v>48</v>
      </c>
      <c r="AL485" t="s">
        <v>49</v>
      </c>
      <c r="AM485" t="s">
        <v>61</v>
      </c>
      <c r="AN485">
        <f t="shared" si="7"/>
        <v>-3</v>
      </c>
    </row>
    <row r="486" spans="1:40">
      <c r="A486">
        <v>31</v>
      </c>
      <c r="B486" t="s">
        <v>51</v>
      </c>
      <c r="C486" t="s">
        <v>39</v>
      </c>
      <c r="D486">
        <v>525</v>
      </c>
      <c r="E486" t="s">
        <v>40</v>
      </c>
      <c r="F486">
        <v>6</v>
      </c>
      <c r="G486">
        <v>4</v>
      </c>
      <c r="H486" t="s">
        <v>69</v>
      </c>
      <c r="I486">
        <v>653</v>
      </c>
      <c r="J486">
        <v>1</v>
      </c>
      <c r="K486" t="s">
        <v>54</v>
      </c>
      <c r="L486">
        <v>66</v>
      </c>
      <c r="M486">
        <v>4</v>
      </c>
      <c r="N486">
        <v>2</v>
      </c>
      <c r="O486" t="s">
        <v>43</v>
      </c>
      <c r="P486">
        <v>4</v>
      </c>
      <c r="Q486" t="s">
        <v>74</v>
      </c>
      <c r="R486">
        <v>5460</v>
      </c>
      <c r="S486">
        <v>6219</v>
      </c>
      <c r="T486">
        <v>4</v>
      </c>
      <c r="U486" t="s">
        <v>51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  <c r="AG486" t="s">
        <v>67</v>
      </c>
      <c r="AH486" t="s">
        <v>71</v>
      </c>
      <c r="AI486">
        <v>0</v>
      </c>
      <c r="AJ486" t="s">
        <v>58</v>
      </c>
      <c r="AK486" t="s">
        <v>68</v>
      </c>
      <c r="AL486" t="s">
        <v>49</v>
      </c>
      <c r="AM486" t="s">
        <v>85</v>
      </c>
      <c r="AN486">
        <f t="shared" si="7"/>
        <v>0</v>
      </c>
    </row>
    <row r="487" spans="1:40">
      <c r="A487">
        <v>27</v>
      </c>
      <c r="B487" t="s">
        <v>51</v>
      </c>
      <c r="C487" t="s">
        <v>39</v>
      </c>
      <c r="D487">
        <v>798</v>
      </c>
      <c r="E487" t="s">
        <v>53</v>
      </c>
      <c r="F487">
        <v>6</v>
      </c>
      <c r="G487">
        <v>4</v>
      </c>
      <c r="H487" t="s">
        <v>69</v>
      </c>
      <c r="I487">
        <v>655</v>
      </c>
      <c r="J487">
        <v>1</v>
      </c>
      <c r="K487" t="s">
        <v>42</v>
      </c>
      <c r="L487">
        <v>66</v>
      </c>
      <c r="M487">
        <v>2</v>
      </c>
      <c r="N487">
        <v>1</v>
      </c>
      <c r="O487" t="s">
        <v>55</v>
      </c>
      <c r="P487">
        <v>3</v>
      </c>
      <c r="Q487" t="s">
        <v>74</v>
      </c>
      <c r="R487">
        <v>2187</v>
      </c>
      <c r="S487">
        <v>5013</v>
      </c>
      <c r="T487">
        <v>0</v>
      </c>
      <c r="U487" t="s">
        <v>51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  <c r="AG487" t="s">
        <v>67</v>
      </c>
      <c r="AH487" t="s">
        <v>81</v>
      </c>
      <c r="AI487">
        <v>0</v>
      </c>
      <c r="AJ487" t="s">
        <v>47</v>
      </c>
      <c r="AK487" t="s">
        <v>68</v>
      </c>
      <c r="AL487" t="s">
        <v>66</v>
      </c>
      <c r="AM487" t="s">
        <v>70</v>
      </c>
      <c r="AN487">
        <f t="shared" si="7"/>
        <v>2</v>
      </c>
    </row>
    <row r="488" spans="1:40">
      <c r="A488">
        <v>37</v>
      </c>
      <c r="B488" t="s">
        <v>51</v>
      </c>
      <c r="C488" t="s">
        <v>39</v>
      </c>
      <c r="D488">
        <v>558</v>
      </c>
      <c r="E488" t="s">
        <v>40</v>
      </c>
      <c r="F488">
        <v>2</v>
      </c>
      <c r="G488">
        <v>3</v>
      </c>
      <c r="H488" t="s">
        <v>84</v>
      </c>
      <c r="I488">
        <v>656</v>
      </c>
      <c r="J488">
        <v>4</v>
      </c>
      <c r="K488" t="s">
        <v>54</v>
      </c>
      <c r="L488">
        <v>75</v>
      </c>
      <c r="M488">
        <v>3</v>
      </c>
      <c r="N488">
        <v>2</v>
      </c>
      <c r="O488" t="s">
        <v>43</v>
      </c>
      <c r="P488">
        <v>3</v>
      </c>
      <c r="Q488" t="s">
        <v>56</v>
      </c>
      <c r="R488">
        <v>9602</v>
      </c>
      <c r="S488">
        <v>3010</v>
      </c>
      <c r="T488">
        <v>4</v>
      </c>
      <c r="U488" t="s">
        <v>38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  <c r="AG488" t="s">
        <v>45</v>
      </c>
      <c r="AH488" t="s">
        <v>81</v>
      </c>
      <c r="AI488">
        <v>0</v>
      </c>
      <c r="AJ488" t="s">
        <v>47</v>
      </c>
      <c r="AK488" t="s">
        <v>72</v>
      </c>
      <c r="AL488" t="s">
        <v>66</v>
      </c>
      <c r="AM488" t="s">
        <v>70</v>
      </c>
      <c r="AN488">
        <f t="shared" si="7"/>
        <v>3</v>
      </c>
    </row>
    <row r="489" spans="1:40">
      <c r="A489">
        <v>20</v>
      </c>
      <c r="B489" t="s">
        <v>51</v>
      </c>
      <c r="C489" t="s">
        <v>39</v>
      </c>
      <c r="D489">
        <v>959</v>
      </c>
      <c r="E489" t="s">
        <v>53</v>
      </c>
      <c r="F489">
        <v>1</v>
      </c>
      <c r="G489">
        <v>3</v>
      </c>
      <c r="H489" t="s">
        <v>41</v>
      </c>
      <c r="I489">
        <v>657</v>
      </c>
      <c r="J489">
        <v>4</v>
      </c>
      <c r="K489" t="s">
        <v>42</v>
      </c>
      <c r="L489">
        <v>83</v>
      </c>
      <c r="M489">
        <v>2</v>
      </c>
      <c r="N489">
        <v>1</v>
      </c>
      <c r="O489" t="s">
        <v>55</v>
      </c>
      <c r="P489">
        <v>2</v>
      </c>
      <c r="Q489" t="s">
        <v>44</v>
      </c>
      <c r="R489">
        <v>2836</v>
      </c>
      <c r="S489">
        <v>11757</v>
      </c>
      <c r="T489">
        <v>1</v>
      </c>
      <c r="U489" t="s">
        <v>51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  <c r="AG489" t="s">
        <v>78</v>
      </c>
      <c r="AH489" t="s">
        <v>46</v>
      </c>
      <c r="AI489">
        <v>0</v>
      </c>
      <c r="AJ489" t="s">
        <v>65</v>
      </c>
      <c r="AK489" t="s">
        <v>72</v>
      </c>
      <c r="AL489" t="s">
        <v>60</v>
      </c>
      <c r="AM489" t="s">
        <v>85</v>
      </c>
      <c r="AN489">
        <f t="shared" si="7"/>
        <v>1</v>
      </c>
    </row>
    <row r="490" spans="1:40">
      <c r="A490">
        <v>42</v>
      </c>
      <c r="B490" t="s">
        <v>51</v>
      </c>
      <c r="C490" t="s">
        <v>39</v>
      </c>
      <c r="D490">
        <v>622</v>
      </c>
      <c r="E490" t="s">
        <v>53</v>
      </c>
      <c r="F490">
        <v>2</v>
      </c>
      <c r="G490">
        <v>4</v>
      </c>
      <c r="H490" t="s">
        <v>41</v>
      </c>
      <c r="I490">
        <v>659</v>
      </c>
      <c r="J490">
        <v>3</v>
      </c>
      <c r="K490" t="s">
        <v>42</v>
      </c>
      <c r="L490">
        <v>81</v>
      </c>
      <c r="M490">
        <v>3</v>
      </c>
      <c r="N490">
        <v>2</v>
      </c>
      <c r="O490" t="s">
        <v>76</v>
      </c>
      <c r="P490">
        <v>4</v>
      </c>
      <c r="Q490" t="s">
        <v>56</v>
      </c>
      <c r="R490">
        <v>4089</v>
      </c>
      <c r="S490">
        <v>5718</v>
      </c>
      <c r="T490">
        <v>1</v>
      </c>
      <c r="U490" t="s">
        <v>51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  <c r="AG490" t="s">
        <v>45</v>
      </c>
      <c r="AH490" t="s">
        <v>81</v>
      </c>
      <c r="AI490">
        <v>0</v>
      </c>
      <c r="AJ490" t="s">
        <v>58</v>
      </c>
      <c r="AK490" t="s">
        <v>68</v>
      </c>
      <c r="AL490" t="s">
        <v>49</v>
      </c>
      <c r="AM490" t="s">
        <v>61</v>
      </c>
      <c r="AN490">
        <f t="shared" si="7"/>
        <v>-1</v>
      </c>
    </row>
    <row r="491" spans="1:40">
      <c r="A491">
        <v>43</v>
      </c>
      <c r="B491" t="s">
        <v>51</v>
      </c>
      <c r="C491" t="s">
        <v>39</v>
      </c>
      <c r="D491">
        <v>782</v>
      </c>
      <c r="E491" t="s">
        <v>53</v>
      </c>
      <c r="F491">
        <v>6</v>
      </c>
      <c r="G491">
        <v>4</v>
      </c>
      <c r="H491" t="s">
        <v>62</v>
      </c>
      <c r="I491">
        <v>661</v>
      </c>
      <c r="J491">
        <v>2</v>
      </c>
      <c r="K491" t="s">
        <v>54</v>
      </c>
      <c r="L491">
        <v>50</v>
      </c>
      <c r="M491">
        <v>2</v>
      </c>
      <c r="N491">
        <v>4</v>
      </c>
      <c r="O491" t="s">
        <v>83</v>
      </c>
      <c r="P491">
        <v>4</v>
      </c>
      <c r="Q491" t="s">
        <v>74</v>
      </c>
      <c r="R491">
        <v>16627</v>
      </c>
      <c r="S491">
        <v>2671</v>
      </c>
      <c r="T491">
        <v>4</v>
      </c>
      <c r="U491" t="s">
        <v>38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  <c r="AG491" t="s">
        <v>45</v>
      </c>
      <c r="AH491" t="s">
        <v>64</v>
      </c>
      <c r="AI491">
        <v>0</v>
      </c>
      <c r="AJ491" t="s">
        <v>47</v>
      </c>
      <c r="AK491" t="s">
        <v>68</v>
      </c>
      <c r="AL491" t="s">
        <v>49</v>
      </c>
      <c r="AM491" t="s">
        <v>70</v>
      </c>
      <c r="AN491">
        <f t="shared" si="7"/>
        <v>-1</v>
      </c>
    </row>
    <row r="492" spans="1:40">
      <c r="A492">
        <v>38</v>
      </c>
      <c r="B492" t="s">
        <v>51</v>
      </c>
      <c r="C492" t="s">
        <v>39</v>
      </c>
      <c r="D492">
        <v>362</v>
      </c>
      <c r="E492" t="s">
        <v>53</v>
      </c>
      <c r="F492">
        <v>1</v>
      </c>
      <c r="G492">
        <v>1</v>
      </c>
      <c r="H492" t="s">
        <v>41</v>
      </c>
      <c r="I492">
        <v>662</v>
      </c>
      <c r="J492">
        <v>3</v>
      </c>
      <c r="K492" t="s">
        <v>42</v>
      </c>
      <c r="L492">
        <v>43</v>
      </c>
      <c r="M492">
        <v>3</v>
      </c>
      <c r="N492">
        <v>1</v>
      </c>
      <c r="O492" t="s">
        <v>55</v>
      </c>
      <c r="P492">
        <v>1</v>
      </c>
      <c r="Q492" t="s">
        <v>44</v>
      </c>
      <c r="R492">
        <v>2619</v>
      </c>
      <c r="S492">
        <v>14561</v>
      </c>
      <c r="T492">
        <v>3</v>
      </c>
      <c r="U492" t="s">
        <v>51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  <c r="AG492" t="s">
        <v>45</v>
      </c>
      <c r="AH492" t="s">
        <v>46</v>
      </c>
      <c r="AI492">
        <v>0</v>
      </c>
      <c r="AJ492" t="s">
        <v>47</v>
      </c>
      <c r="AK492" t="s">
        <v>59</v>
      </c>
      <c r="AL492" t="s">
        <v>73</v>
      </c>
      <c r="AM492" t="s">
        <v>70</v>
      </c>
      <c r="AN492">
        <f t="shared" si="7"/>
        <v>8</v>
      </c>
    </row>
    <row r="493" spans="1:40">
      <c r="A493">
        <v>43</v>
      </c>
      <c r="B493" t="s">
        <v>51</v>
      </c>
      <c r="C493" t="s">
        <v>52</v>
      </c>
      <c r="D493">
        <v>1001</v>
      </c>
      <c r="E493" t="s">
        <v>53</v>
      </c>
      <c r="F493">
        <v>9</v>
      </c>
      <c r="G493">
        <v>5</v>
      </c>
      <c r="H493" t="s">
        <v>69</v>
      </c>
      <c r="I493">
        <v>663</v>
      </c>
      <c r="J493">
        <v>4</v>
      </c>
      <c r="K493" t="s">
        <v>54</v>
      </c>
      <c r="L493">
        <v>72</v>
      </c>
      <c r="M493">
        <v>3</v>
      </c>
      <c r="N493">
        <v>2</v>
      </c>
      <c r="O493" t="s">
        <v>63</v>
      </c>
      <c r="P493">
        <v>3</v>
      </c>
      <c r="Q493" t="s">
        <v>74</v>
      </c>
      <c r="R493">
        <v>5679</v>
      </c>
      <c r="S493">
        <v>19627</v>
      </c>
      <c r="T493">
        <v>3</v>
      </c>
      <c r="U493" t="s">
        <v>38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  <c r="AG493" t="s">
        <v>45</v>
      </c>
      <c r="AH493" t="s">
        <v>46</v>
      </c>
      <c r="AI493">
        <v>0</v>
      </c>
      <c r="AJ493" t="s">
        <v>58</v>
      </c>
      <c r="AK493" t="s">
        <v>87</v>
      </c>
      <c r="AL493" t="s">
        <v>66</v>
      </c>
      <c r="AM493" t="s">
        <v>61</v>
      </c>
      <c r="AN493">
        <f t="shared" si="7"/>
        <v>4</v>
      </c>
    </row>
    <row r="494" spans="1:40">
      <c r="A494">
        <v>48</v>
      </c>
      <c r="B494" t="s">
        <v>51</v>
      </c>
      <c r="C494" t="s">
        <v>39</v>
      </c>
      <c r="D494">
        <v>1236</v>
      </c>
      <c r="E494" t="s">
        <v>53</v>
      </c>
      <c r="F494">
        <v>1</v>
      </c>
      <c r="G494">
        <v>4</v>
      </c>
      <c r="H494" t="s">
        <v>41</v>
      </c>
      <c r="I494">
        <v>664</v>
      </c>
      <c r="J494">
        <v>4</v>
      </c>
      <c r="K494" t="s">
        <v>42</v>
      </c>
      <c r="L494">
        <v>40</v>
      </c>
      <c r="M494">
        <v>2</v>
      </c>
      <c r="N494">
        <v>4</v>
      </c>
      <c r="O494" t="s">
        <v>79</v>
      </c>
      <c r="P494">
        <v>1</v>
      </c>
      <c r="Q494" t="s">
        <v>56</v>
      </c>
      <c r="R494">
        <v>15402</v>
      </c>
      <c r="S494">
        <v>17997</v>
      </c>
      <c r="T494">
        <v>7</v>
      </c>
      <c r="U494" t="s">
        <v>51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  <c r="AG494" t="s">
        <v>57</v>
      </c>
      <c r="AH494" t="s">
        <v>46</v>
      </c>
      <c r="AI494">
        <v>0</v>
      </c>
      <c r="AJ494" t="s">
        <v>47</v>
      </c>
      <c r="AK494" t="s">
        <v>68</v>
      </c>
      <c r="AL494" t="s">
        <v>73</v>
      </c>
      <c r="AM494" t="s">
        <v>50</v>
      </c>
      <c r="AN494">
        <f t="shared" si="7"/>
        <v>10</v>
      </c>
    </row>
    <row r="495" spans="1:40">
      <c r="A495">
        <v>44</v>
      </c>
      <c r="B495" t="s">
        <v>51</v>
      </c>
      <c r="C495" t="s">
        <v>39</v>
      </c>
      <c r="D495">
        <v>1112</v>
      </c>
      <c r="E495" t="s">
        <v>88</v>
      </c>
      <c r="F495">
        <v>1</v>
      </c>
      <c r="G495">
        <v>4</v>
      </c>
      <c r="H495" t="s">
        <v>41</v>
      </c>
      <c r="I495">
        <v>665</v>
      </c>
      <c r="J495">
        <v>1</v>
      </c>
      <c r="K495" t="s">
        <v>42</v>
      </c>
      <c r="L495">
        <v>50</v>
      </c>
      <c r="M495">
        <v>2</v>
      </c>
      <c r="N495">
        <v>2</v>
      </c>
      <c r="O495" t="s">
        <v>88</v>
      </c>
      <c r="P495">
        <v>3</v>
      </c>
      <c r="Q495" t="s">
        <v>44</v>
      </c>
      <c r="R495">
        <v>5985</v>
      </c>
      <c r="S495">
        <v>26894</v>
      </c>
      <c r="T495">
        <v>4</v>
      </c>
      <c r="U495" t="s">
        <v>51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  <c r="AG495" t="s">
        <v>45</v>
      </c>
      <c r="AH495" t="s">
        <v>46</v>
      </c>
      <c r="AI495">
        <v>0</v>
      </c>
      <c r="AJ495" t="s">
        <v>65</v>
      </c>
      <c r="AK495" t="s">
        <v>68</v>
      </c>
      <c r="AL495" t="s">
        <v>66</v>
      </c>
      <c r="AM495" t="s">
        <v>85</v>
      </c>
      <c r="AN495">
        <f t="shared" si="7"/>
        <v>-2</v>
      </c>
    </row>
    <row r="496" spans="1:40">
      <c r="A496">
        <v>34</v>
      </c>
      <c r="B496" t="s">
        <v>51</v>
      </c>
      <c r="C496" t="s">
        <v>39</v>
      </c>
      <c r="D496">
        <v>204</v>
      </c>
      <c r="E496" t="s">
        <v>40</v>
      </c>
      <c r="F496">
        <v>14</v>
      </c>
      <c r="G496">
        <v>3</v>
      </c>
      <c r="H496" t="s">
        <v>86</v>
      </c>
      <c r="I496">
        <v>666</v>
      </c>
      <c r="J496">
        <v>3</v>
      </c>
      <c r="K496" t="s">
        <v>42</v>
      </c>
      <c r="L496">
        <v>31</v>
      </c>
      <c r="M496">
        <v>3</v>
      </c>
      <c r="N496">
        <v>1</v>
      </c>
      <c r="O496" t="s">
        <v>82</v>
      </c>
      <c r="P496">
        <v>3</v>
      </c>
      <c r="Q496" t="s">
        <v>74</v>
      </c>
      <c r="R496">
        <v>2579</v>
      </c>
      <c r="S496">
        <v>2912</v>
      </c>
      <c r="T496">
        <v>1</v>
      </c>
      <c r="U496" t="s">
        <v>38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  <c r="AG496" t="s">
        <v>67</v>
      </c>
      <c r="AH496" t="s">
        <v>64</v>
      </c>
      <c r="AI496">
        <v>0</v>
      </c>
      <c r="AJ496" t="s">
        <v>58</v>
      </c>
      <c r="AK496" t="s">
        <v>72</v>
      </c>
      <c r="AL496" t="s">
        <v>66</v>
      </c>
      <c r="AM496" t="s">
        <v>61</v>
      </c>
      <c r="AN496">
        <f t="shared" si="7"/>
        <v>0</v>
      </c>
    </row>
    <row r="497" spans="1:40">
      <c r="A497">
        <v>27</v>
      </c>
      <c r="B497" t="s">
        <v>38</v>
      </c>
      <c r="C497" t="s">
        <v>39</v>
      </c>
      <c r="D497">
        <v>1420</v>
      </c>
      <c r="E497" t="s">
        <v>40</v>
      </c>
      <c r="F497">
        <v>2</v>
      </c>
      <c r="G497">
        <v>1</v>
      </c>
      <c r="H497" t="s">
        <v>84</v>
      </c>
      <c r="I497">
        <v>667</v>
      </c>
      <c r="J497">
        <v>3</v>
      </c>
      <c r="K497" t="s">
        <v>54</v>
      </c>
      <c r="L497">
        <v>85</v>
      </c>
      <c r="M497">
        <v>3</v>
      </c>
      <c r="N497">
        <v>1</v>
      </c>
      <c r="O497" t="s">
        <v>82</v>
      </c>
      <c r="P497">
        <v>1</v>
      </c>
      <c r="Q497" t="s">
        <v>74</v>
      </c>
      <c r="R497">
        <v>3041</v>
      </c>
      <c r="S497">
        <v>16346</v>
      </c>
      <c r="T497">
        <v>0</v>
      </c>
      <c r="U497" t="s">
        <v>51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  <c r="AG497" t="s">
        <v>67</v>
      </c>
      <c r="AH497" t="s">
        <v>46</v>
      </c>
      <c r="AI497">
        <v>1</v>
      </c>
      <c r="AJ497" t="s">
        <v>65</v>
      </c>
      <c r="AK497" t="s">
        <v>59</v>
      </c>
      <c r="AL497" t="s">
        <v>73</v>
      </c>
      <c r="AM497" t="s">
        <v>61</v>
      </c>
      <c r="AN497">
        <f t="shared" si="7"/>
        <v>6</v>
      </c>
    </row>
    <row r="498" spans="1:40">
      <c r="A498">
        <v>21</v>
      </c>
      <c r="B498" t="s">
        <v>51</v>
      </c>
      <c r="C498" t="s">
        <v>39</v>
      </c>
      <c r="D498">
        <v>1343</v>
      </c>
      <c r="E498" t="s">
        <v>40</v>
      </c>
      <c r="F498">
        <v>22</v>
      </c>
      <c r="G498">
        <v>1</v>
      </c>
      <c r="H498" t="s">
        <v>86</v>
      </c>
      <c r="I498">
        <v>669</v>
      </c>
      <c r="J498">
        <v>3</v>
      </c>
      <c r="K498" t="s">
        <v>54</v>
      </c>
      <c r="L498">
        <v>49</v>
      </c>
      <c r="M498">
        <v>3</v>
      </c>
      <c r="N498">
        <v>1</v>
      </c>
      <c r="O498" t="s">
        <v>82</v>
      </c>
      <c r="P498">
        <v>3</v>
      </c>
      <c r="Q498" t="s">
        <v>44</v>
      </c>
      <c r="R498">
        <v>3447</v>
      </c>
      <c r="S498">
        <v>24444</v>
      </c>
      <c r="T498">
        <v>1</v>
      </c>
      <c r="U498" t="s">
        <v>51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  <c r="AG498" t="s">
        <v>78</v>
      </c>
      <c r="AH498" t="s">
        <v>46</v>
      </c>
      <c r="AI498">
        <v>0</v>
      </c>
      <c r="AJ498" t="s">
        <v>65</v>
      </c>
      <c r="AK498" t="s">
        <v>59</v>
      </c>
      <c r="AL498" t="s">
        <v>66</v>
      </c>
      <c r="AM498" t="s">
        <v>61</v>
      </c>
      <c r="AN498">
        <f t="shared" si="7"/>
        <v>1</v>
      </c>
    </row>
    <row r="499" spans="1:40">
      <c r="A499">
        <v>44</v>
      </c>
      <c r="B499" t="s">
        <v>51</v>
      </c>
      <c r="C499" t="s">
        <v>39</v>
      </c>
      <c r="D499">
        <v>1315</v>
      </c>
      <c r="E499" t="s">
        <v>53</v>
      </c>
      <c r="F499">
        <v>3</v>
      </c>
      <c r="G499">
        <v>4</v>
      </c>
      <c r="H499" t="s">
        <v>62</v>
      </c>
      <c r="I499">
        <v>671</v>
      </c>
      <c r="J499">
        <v>4</v>
      </c>
      <c r="K499" t="s">
        <v>54</v>
      </c>
      <c r="L499">
        <v>35</v>
      </c>
      <c r="M499">
        <v>3</v>
      </c>
      <c r="N499">
        <v>5</v>
      </c>
      <c r="O499" t="s">
        <v>79</v>
      </c>
      <c r="P499">
        <v>4</v>
      </c>
      <c r="Q499" t="s">
        <v>56</v>
      </c>
      <c r="R499">
        <v>19513</v>
      </c>
      <c r="S499">
        <v>9358</v>
      </c>
      <c r="T499">
        <v>4</v>
      </c>
      <c r="U499" t="s">
        <v>38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  <c r="AG499" t="s">
        <v>45</v>
      </c>
      <c r="AH499" t="s">
        <v>71</v>
      </c>
      <c r="AI499">
        <v>0</v>
      </c>
      <c r="AJ499" t="s">
        <v>65</v>
      </c>
      <c r="AK499" t="s">
        <v>68</v>
      </c>
      <c r="AL499" t="s">
        <v>49</v>
      </c>
      <c r="AM499" t="s">
        <v>85</v>
      </c>
      <c r="AN499">
        <f t="shared" si="7"/>
        <v>-5</v>
      </c>
    </row>
    <row r="500" spans="1:40">
      <c r="A500">
        <v>22</v>
      </c>
      <c r="B500" t="s">
        <v>51</v>
      </c>
      <c r="C500" t="s">
        <v>39</v>
      </c>
      <c r="D500">
        <v>604</v>
      </c>
      <c r="E500" t="s">
        <v>53</v>
      </c>
      <c r="F500">
        <v>6</v>
      </c>
      <c r="G500">
        <v>1</v>
      </c>
      <c r="H500" t="s">
        <v>69</v>
      </c>
      <c r="I500">
        <v>675</v>
      </c>
      <c r="J500">
        <v>1</v>
      </c>
      <c r="K500" t="s">
        <v>54</v>
      </c>
      <c r="L500">
        <v>69</v>
      </c>
      <c r="M500">
        <v>3</v>
      </c>
      <c r="N500">
        <v>1</v>
      </c>
      <c r="O500" t="s">
        <v>55</v>
      </c>
      <c r="P500">
        <v>3</v>
      </c>
      <c r="Q500" t="s">
        <v>56</v>
      </c>
      <c r="R500">
        <v>2773</v>
      </c>
      <c r="S500">
        <v>12145</v>
      </c>
      <c r="T500">
        <v>0</v>
      </c>
      <c r="U500" t="s">
        <v>51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  <c r="AG500" t="s">
        <v>78</v>
      </c>
      <c r="AH500" t="s">
        <v>46</v>
      </c>
      <c r="AI500">
        <v>0</v>
      </c>
      <c r="AJ500" t="s">
        <v>65</v>
      </c>
      <c r="AK500" t="s">
        <v>59</v>
      </c>
      <c r="AL500" t="s">
        <v>66</v>
      </c>
      <c r="AM500" t="s">
        <v>61</v>
      </c>
      <c r="AN500">
        <f t="shared" si="7"/>
        <v>2</v>
      </c>
    </row>
    <row r="501" spans="1:40">
      <c r="A501">
        <v>33</v>
      </c>
      <c r="B501" t="s">
        <v>51</v>
      </c>
      <c r="C501" t="s">
        <v>39</v>
      </c>
      <c r="D501">
        <v>1216</v>
      </c>
      <c r="E501" t="s">
        <v>40</v>
      </c>
      <c r="F501">
        <v>8</v>
      </c>
      <c r="G501">
        <v>4</v>
      </c>
      <c r="H501" t="s">
        <v>84</v>
      </c>
      <c r="I501">
        <v>677</v>
      </c>
      <c r="J501">
        <v>3</v>
      </c>
      <c r="K501" t="s">
        <v>54</v>
      </c>
      <c r="L501">
        <v>39</v>
      </c>
      <c r="M501">
        <v>3</v>
      </c>
      <c r="N501">
        <v>2</v>
      </c>
      <c r="O501" t="s">
        <v>43</v>
      </c>
      <c r="P501">
        <v>3</v>
      </c>
      <c r="Q501" t="s">
        <v>74</v>
      </c>
      <c r="R501">
        <v>7104</v>
      </c>
      <c r="S501">
        <v>20431</v>
      </c>
      <c r="T501">
        <v>0</v>
      </c>
      <c r="U501" t="s">
        <v>51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  <c r="AG501" t="s">
        <v>67</v>
      </c>
      <c r="AH501" t="s">
        <v>46</v>
      </c>
      <c r="AI501">
        <v>0</v>
      </c>
      <c r="AJ501" t="s">
        <v>65</v>
      </c>
      <c r="AK501" t="s">
        <v>68</v>
      </c>
      <c r="AL501" t="s">
        <v>66</v>
      </c>
      <c r="AM501" t="s">
        <v>61</v>
      </c>
      <c r="AN501">
        <f t="shared" si="7"/>
        <v>1</v>
      </c>
    </row>
    <row r="502" spans="1:40">
      <c r="A502">
        <v>32</v>
      </c>
      <c r="B502" t="s">
        <v>51</v>
      </c>
      <c r="C502" t="s">
        <v>39</v>
      </c>
      <c r="D502">
        <v>646</v>
      </c>
      <c r="E502" t="s">
        <v>53</v>
      </c>
      <c r="F502">
        <v>9</v>
      </c>
      <c r="G502">
        <v>4</v>
      </c>
      <c r="H502" t="s">
        <v>41</v>
      </c>
      <c r="I502">
        <v>679</v>
      </c>
      <c r="J502">
        <v>1</v>
      </c>
      <c r="K502" t="s">
        <v>42</v>
      </c>
      <c r="L502">
        <v>92</v>
      </c>
      <c r="M502">
        <v>3</v>
      </c>
      <c r="N502">
        <v>2</v>
      </c>
      <c r="O502" t="s">
        <v>55</v>
      </c>
      <c r="P502">
        <v>4</v>
      </c>
      <c r="Q502" t="s">
        <v>56</v>
      </c>
      <c r="R502">
        <v>6322</v>
      </c>
      <c r="S502">
        <v>18089</v>
      </c>
      <c r="T502">
        <v>1</v>
      </c>
      <c r="U502" t="s">
        <v>38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  <c r="AG502" t="s">
        <v>67</v>
      </c>
      <c r="AH502" t="s">
        <v>46</v>
      </c>
      <c r="AI502">
        <v>0</v>
      </c>
      <c r="AJ502" t="s">
        <v>47</v>
      </c>
      <c r="AK502" t="s">
        <v>68</v>
      </c>
      <c r="AL502" t="s">
        <v>49</v>
      </c>
      <c r="AM502" t="s">
        <v>70</v>
      </c>
      <c r="AN502">
        <f t="shared" si="7"/>
        <v>-1</v>
      </c>
    </row>
    <row r="503" spans="1:40">
      <c r="A503">
        <v>30</v>
      </c>
      <c r="B503" t="s">
        <v>51</v>
      </c>
      <c r="C503" t="s">
        <v>52</v>
      </c>
      <c r="D503">
        <v>160</v>
      </c>
      <c r="E503" t="s">
        <v>53</v>
      </c>
      <c r="F503">
        <v>3</v>
      </c>
      <c r="G503">
        <v>3</v>
      </c>
      <c r="H503" t="s">
        <v>69</v>
      </c>
      <c r="I503">
        <v>680</v>
      </c>
      <c r="J503">
        <v>3</v>
      </c>
      <c r="K503" t="s">
        <v>42</v>
      </c>
      <c r="L503">
        <v>71</v>
      </c>
      <c r="M503">
        <v>3</v>
      </c>
      <c r="N503">
        <v>1</v>
      </c>
      <c r="O503" t="s">
        <v>55</v>
      </c>
      <c r="P503">
        <v>3</v>
      </c>
      <c r="Q503" t="s">
        <v>74</v>
      </c>
      <c r="R503">
        <v>2083</v>
      </c>
      <c r="S503">
        <v>22653</v>
      </c>
      <c r="T503">
        <v>1</v>
      </c>
      <c r="U503" t="s">
        <v>51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  <c r="AG503" t="s">
        <v>67</v>
      </c>
      <c r="AH503" t="s">
        <v>46</v>
      </c>
      <c r="AI503">
        <v>0</v>
      </c>
      <c r="AJ503" t="s">
        <v>65</v>
      </c>
      <c r="AK503" t="s">
        <v>72</v>
      </c>
      <c r="AL503" t="s">
        <v>66</v>
      </c>
      <c r="AM503" t="s">
        <v>61</v>
      </c>
      <c r="AN503">
        <f t="shared" si="7"/>
        <v>0</v>
      </c>
    </row>
    <row r="504" spans="1:40">
      <c r="A504">
        <v>53</v>
      </c>
      <c r="B504" t="s">
        <v>51</v>
      </c>
      <c r="C504" t="s">
        <v>39</v>
      </c>
      <c r="D504">
        <v>238</v>
      </c>
      <c r="E504" t="s">
        <v>40</v>
      </c>
      <c r="F504">
        <v>1</v>
      </c>
      <c r="G504">
        <v>1</v>
      </c>
      <c r="H504" t="s">
        <v>69</v>
      </c>
      <c r="I504">
        <v>682</v>
      </c>
      <c r="J504">
        <v>4</v>
      </c>
      <c r="K504" t="s">
        <v>42</v>
      </c>
      <c r="L504">
        <v>34</v>
      </c>
      <c r="M504">
        <v>3</v>
      </c>
      <c r="N504">
        <v>2</v>
      </c>
      <c r="O504" t="s">
        <v>43</v>
      </c>
      <c r="P504">
        <v>1</v>
      </c>
      <c r="Q504" t="s">
        <v>44</v>
      </c>
      <c r="R504">
        <v>8381</v>
      </c>
      <c r="S504">
        <v>7507</v>
      </c>
      <c r="T504">
        <v>7</v>
      </c>
      <c r="U504" t="s">
        <v>51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  <c r="AG504" t="s">
        <v>57</v>
      </c>
      <c r="AH504" t="s">
        <v>71</v>
      </c>
      <c r="AI504">
        <v>0</v>
      </c>
      <c r="AJ504" t="s">
        <v>80</v>
      </c>
      <c r="AK504" t="s">
        <v>59</v>
      </c>
      <c r="AL504" t="s">
        <v>73</v>
      </c>
      <c r="AM504" t="s">
        <v>85</v>
      </c>
      <c r="AN504">
        <f t="shared" si="7"/>
        <v>12</v>
      </c>
    </row>
    <row r="505" spans="1:40">
      <c r="A505">
        <v>34</v>
      </c>
      <c r="B505" t="s">
        <v>51</v>
      </c>
      <c r="C505" t="s">
        <v>39</v>
      </c>
      <c r="D505">
        <v>1397</v>
      </c>
      <c r="E505" t="s">
        <v>53</v>
      </c>
      <c r="F505">
        <v>1</v>
      </c>
      <c r="G505">
        <v>5</v>
      </c>
      <c r="H505" t="s">
        <v>41</v>
      </c>
      <c r="I505">
        <v>683</v>
      </c>
      <c r="J505">
        <v>2</v>
      </c>
      <c r="K505" t="s">
        <v>54</v>
      </c>
      <c r="L505">
        <v>42</v>
      </c>
      <c r="M505">
        <v>3</v>
      </c>
      <c r="N505">
        <v>1</v>
      </c>
      <c r="O505" t="s">
        <v>55</v>
      </c>
      <c r="P505">
        <v>4</v>
      </c>
      <c r="Q505" t="s">
        <v>56</v>
      </c>
      <c r="R505">
        <v>2691</v>
      </c>
      <c r="S505">
        <v>7660</v>
      </c>
      <c r="T505">
        <v>1</v>
      </c>
      <c r="U505" t="s">
        <v>51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  <c r="AG505" t="s">
        <v>67</v>
      </c>
      <c r="AH505" t="s">
        <v>71</v>
      </c>
      <c r="AI505">
        <v>0</v>
      </c>
      <c r="AJ505" t="s">
        <v>47</v>
      </c>
      <c r="AK505" t="s">
        <v>87</v>
      </c>
      <c r="AL505" t="s">
        <v>49</v>
      </c>
      <c r="AM505" t="s">
        <v>70</v>
      </c>
      <c r="AN505">
        <f t="shared" si="7"/>
        <v>7</v>
      </c>
    </row>
    <row r="506" spans="1:40">
      <c r="A506">
        <v>45</v>
      </c>
      <c r="B506" t="s">
        <v>38</v>
      </c>
      <c r="C506" t="s">
        <v>52</v>
      </c>
      <c r="D506">
        <v>306</v>
      </c>
      <c r="E506" t="s">
        <v>40</v>
      </c>
      <c r="F506">
        <v>26</v>
      </c>
      <c r="G506">
        <v>4</v>
      </c>
      <c r="H506" t="s">
        <v>41</v>
      </c>
      <c r="I506">
        <v>684</v>
      </c>
      <c r="J506">
        <v>1</v>
      </c>
      <c r="K506" t="s">
        <v>42</v>
      </c>
      <c r="L506">
        <v>100</v>
      </c>
      <c r="M506">
        <v>3</v>
      </c>
      <c r="N506">
        <v>2</v>
      </c>
      <c r="O506" t="s">
        <v>43</v>
      </c>
      <c r="P506">
        <v>1</v>
      </c>
      <c r="Q506" t="s">
        <v>56</v>
      </c>
      <c r="R506">
        <v>4286</v>
      </c>
      <c r="S506">
        <v>5630</v>
      </c>
      <c r="T506">
        <v>2</v>
      </c>
      <c r="U506" t="s">
        <v>51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  <c r="AG506" t="s">
        <v>45</v>
      </c>
      <c r="AH506" t="s">
        <v>81</v>
      </c>
      <c r="AI506">
        <v>1</v>
      </c>
      <c r="AJ506" t="s">
        <v>65</v>
      </c>
      <c r="AK506" t="s">
        <v>68</v>
      </c>
      <c r="AL506" t="s">
        <v>73</v>
      </c>
      <c r="AM506" t="s">
        <v>61</v>
      </c>
      <c r="AN506">
        <f t="shared" si="7"/>
        <v>6</v>
      </c>
    </row>
    <row r="507" spans="1:40">
      <c r="A507">
        <v>26</v>
      </c>
      <c r="B507" t="s">
        <v>51</v>
      </c>
      <c r="C507" t="s">
        <v>39</v>
      </c>
      <c r="D507">
        <v>991</v>
      </c>
      <c r="E507" t="s">
        <v>53</v>
      </c>
      <c r="F507">
        <v>6</v>
      </c>
      <c r="G507">
        <v>3</v>
      </c>
      <c r="H507" t="s">
        <v>41</v>
      </c>
      <c r="I507">
        <v>686</v>
      </c>
      <c r="J507">
        <v>3</v>
      </c>
      <c r="K507" t="s">
        <v>42</v>
      </c>
      <c r="L507">
        <v>71</v>
      </c>
      <c r="M507">
        <v>3</v>
      </c>
      <c r="N507">
        <v>1</v>
      </c>
      <c r="O507" t="s">
        <v>63</v>
      </c>
      <c r="P507">
        <v>4</v>
      </c>
      <c r="Q507" t="s">
        <v>56</v>
      </c>
      <c r="R507">
        <v>2659</v>
      </c>
      <c r="S507">
        <v>17759</v>
      </c>
      <c r="T507">
        <v>1</v>
      </c>
      <c r="U507" t="s">
        <v>38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  <c r="AG507" t="s">
        <v>67</v>
      </c>
      <c r="AH507" t="s">
        <v>46</v>
      </c>
      <c r="AI507">
        <v>0</v>
      </c>
      <c r="AJ507" t="s">
        <v>65</v>
      </c>
      <c r="AK507" t="s">
        <v>72</v>
      </c>
      <c r="AL507" t="s">
        <v>49</v>
      </c>
      <c r="AM507" t="s">
        <v>61</v>
      </c>
      <c r="AN507">
        <f t="shared" si="7"/>
        <v>-3</v>
      </c>
    </row>
    <row r="508" spans="1:40">
      <c r="A508">
        <v>37</v>
      </c>
      <c r="B508" t="s">
        <v>51</v>
      </c>
      <c r="C508" t="s">
        <v>39</v>
      </c>
      <c r="D508">
        <v>482</v>
      </c>
      <c r="E508" t="s">
        <v>53</v>
      </c>
      <c r="F508">
        <v>3</v>
      </c>
      <c r="G508">
        <v>3</v>
      </c>
      <c r="H508" t="s">
        <v>62</v>
      </c>
      <c r="I508">
        <v>689</v>
      </c>
      <c r="J508">
        <v>3</v>
      </c>
      <c r="K508" t="s">
        <v>54</v>
      </c>
      <c r="L508">
        <v>36</v>
      </c>
      <c r="M508">
        <v>3</v>
      </c>
      <c r="N508">
        <v>3</v>
      </c>
      <c r="O508" t="s">
        <v>75</v>
      </c>
      <c r="P508">
        <v>3</v>
      </c>
      <c r="Q508" t="s">
        <v>56</v>
      </c>
      <c r="R508">
        <v>9434</v>
      </c>
      <c r="S508">
        <v>9606</v>
      </c>
      <c r="T508">
        <v>1</v>
      </c>
      <c r="U508" t="s">
        <v>51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  <c r="AG508" t="s">
        <v>45</v>
      </c>
      <c r="AH508" t="s">
        <v>71</v>
      </c>
      <c r="AI508">
        <v>0</v>
      </c>
      <c r="AJ508" t="s">
        <v>58</v>
      </c>
      <c r="AK508" t="s">
        <v>72</v>
      </c>
      <c r="AL508" t="s">
        <v>66</v>
      </c>
      <c r="AM508" t="s">
        <v>61</v>
      </c>
      <c r="AN508">
        <f t="shared" si="7"/>
        <v>7</v>
      </c>
    </row>
    <row r="509" spans="1:40">
      <c r="A509">
        <v>29</v>
      </c>
      <c r="B509" t="s">
        <v>51</v>
      </c>
      <c r="C509" t="s">
        <v>39</v>
      </c>
      <c r="D509">
        <v>1176</v>
      </c>
      <c r="E509" t="s">
        <v>40</v>
      </c>
      <c r="F509">
        <v>3</v>
      </c>
      <c r="G509">
        <v>2</v>
      </c>
      <c r="H509" t="s">
        <v>69</v>
      </c>
      <c r="I509">
        <v>690</v>
      </c>
      <c r="J509">
        <v>2</v>
      </c>
      <c r="K509" t="s">
        <v>42</v>
      </c>
      <c r="L509">
        <v>62</v>
      </c>
      <c r="M509">
        <v>3</v>
      </c>
      <c r="N509">
        <v>2</v>
      </c>
      <c r="O509" t="s">
        <v>43</v>
      </c>
      <c r="P509">
        <v>3</v>
      </c>
      <c r="Q509" t="s">
        <v>56</v>
      </c>
      <c r="R509">
        <v>5561</v>
      </c>
      <c r="S509">
        <v>3487</v>
      </c>
      <c r="T509">
        <v>1</v>
      </c>
      <c r="U509" t="s">
        <v>51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  <c r="AG509" t="s">
        <v>67</v>
      </c>
      <c r="AH509" t="s">
        <v>81</v>
      </c>
      <c r="AI509">
        <v>0</v>
      </c>
      <c r="AJ509" t="s">
        <v>47</v>
      </c>
      <c r="AK509" t="s">
        <v>48</v>
      </c>
      <c r="AL509" t="s">
        <v>66</v>
      </c>
      <c r="AM509" t="s">
        <v>70</v>
      </c>
      <c r="AN509">
        <f t="shared" si="7"/>
        <v>3</v>
      </c>
    </row>
    <row r="510" spans="1:40">
      <c r="A510">
        <v>35</v>
      </c>
      <c r="B510" t="s">
        <v>51</v>
      </c>
      <c r="C510" t="s">
        <v>39</v>
      </c>
      <c r="D510">
        <v>1017</v>
      </c>
      <c r="E510" t="s">
        <v>53</v>
      </c>
      <c r="F510">
        <v>6</v>
      </c>
      <c r="G510">
        <v>4</v>
      </c>
      <c r="H510" t="s">
        <v>41</v>
      </c>
      <c r="I510">
        <v>691</v>
      </c>
      <c r="J510">
        <v>2</v>
      </c>
      <c r="K510" t="s">
        <v>54</v>
      </c>
      <c r="L510">
        <v>82</v>
      </c>
      <c r="M510">
        <v>1</v>
      </c>
      <c r="N510">
        <v>2</v>
      </c>
      <c r="O510" t="s">
        <v>55</v>
      </c>
      <c r="P510">
        <v>4</v>
      </c>
      <c r="Q510" t="s">
        <v>44</v>
      </c>
      <c r="R510">
        <v>6646</v>
      </c>
      <c r="S510">
        <v>19368</v>
      </c>
      <c r="T510">
        <v>1</v>
      </c>
      <c r="U510" t="s">
        <v>51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  <c r="AG510" t="s">
        <v>67</v>
      </c>
      <c r="AH510" t="s">
        <v>46</v>
      </c>
      <c r="AI510">
        <v>0</v>
      </c>
      <c r="AJ510" t="s">
        <v>80</v>
      </c>
      <c r="AK510" t="s">
        <v>68</v>
      </c>
      <c r="AL510" t="s">
        <v>49</v>
      </c>
      <c r="AM510" t="s">
        <v>61</v>
      </c>
      <c r="AN510">
        <f t="shared" si="7"/>
        <v>8</v>
      </c>
    </row>
    <row r="511" spans="1:40">
      <c r="A511">
        <v>33</v>
      </c>
      <c r="B511" t="s">
        <v>51</v>
      </c>
      <c r="C511" t="s">
        <v>52</v>
      </c>
      <c r="D511">
        <v>1296</v>
      </c>
      <c r="E511" t="s">
        <v>53</v>
      </c>
      <c r="F511">
        <v>6</v>
      </c>
      <c r="G511">
        <v>3</v>
      </c>
      <c r="H511" t="s">
        <v>41</v>
      </c>
      <c r="I511">
        <v>692</v>
      </c>
      <c r="J511">
        <v>3</v>
      </c>
      <c r="K511" t="s">
        <v>54</v>
      </c>
      <c r="L511">
        <v>30</v>
      </c>
      <c r="M511">
        <v>3</v>
      </c>
      <c r="N511">
        <v>2</v>
      </c>
      <c r="O511" t="s">
        <v>76</v>
      </c>
      <c r="P511">
        <v>4</v>
      </c>
      <c r="Q511" t="s">
        <v>74</v>
      </c>
      <c r="R511">
        <v>7725</v>
      </c>
      <c r="S511">
        <v>5335</v>
      </c>
      <c r="T511">
        <v>3</v>
      </c>
      <c r="U511" t="s">
        <v>51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  <c r="AG511" t="s">
        <v>67</v>
      </c>
      <c r="AH511" t="s">
        <v>81</v>
      </c>
      <c r="AI511">
        <v>0</v>
      </c>
      <c r="AJ511" t="s">
        <v>47</v>
      </c>
      <c r="AK511" t="s">
        <v>72</v>
      </c>
      <c r="AL511" t="s">
        <v>49</v>
      </c>
      <c r="AM511" t="s">
        <v>50</v>
      </c>
      <c r="AN511">
        <f t="shared" si="7"/>
        <v>5</v>
      </c>
    </row>
    <row r="512" spans="1:40">
      <c r="A512">
        <v>54</v>
      </c>
      <c r="B512" t="s">
        <v>51</v>
      </c>
      <c r="C512" t="s">
        <v>39</v>
      </c>
      <c r="D512">
        <v>397</v>
      </c>
      <c r="E512" t="s">
        <v>88</v>
      </c>
      <c r="F512">
        <v>19</v>
      </c>
      <c r="G512">
        <v>4</v>
      </c>
      <c r="H512" t="s">
        <v>69</v>
      </c>
      <c r="I512">
        <v>698</v>
      </c>
      <c r="J512">
        <v>3</v>
      </c>
      <c r="K512" t="s">
        <v>54</v>
      </c>
      <c r="L512">
        <v>88</v>
      </c>
      <c r="M512">
        <v>3</v>
      </c>
      <c r="N512">
        <v>3</v>
      </c>
      <c r="O512" t="s">
        <v>88</v>
      </c>
      <c r="P512">
        <v>2</v>
      </c>
      <c r="Q512" t="s">
        <v>56</v>
      </c>
      <c r="R512">
        <v>10725</v>
      </c>
      <c r="S512">
        <v>6729</v>
      </c>
      <c r="T512">
        <v>2</v>
      </c>
      <c r="U512" t="s">
        <v>51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  <c r="AG512" t="s">
        <v>57</v>
      </c>
      <c r="AH512" t="s">
        <v>71</v>
      </c>
      <c r="AI512">
        <v>0</v>
      </c>
      <c r="AJ512" t="s">
        <v>58</v>
      </c>
      <c r="AK512" t="s">
        <v>68</v>
      </c>
      <c r="AL512" t="s">
        <v>60</v>
      </c>
      <c r="AM512" t="s">
        <v>85</v>
      </c>
      <c r="AN512">
        <f t="shared" si="7"/>
        <v>8</v>
      </c>
    </row>
    <row r="513" spans="1:40">
      <c r="A513">
        <v>36</v>
      </c>
      <c r="B513" t="s">
        <v>51</v>
      </c>
      <c r="C513" t="s">
        <v>39</v>
      </c>
      <c r="D513">
        <v>913</v>
      </c>
      <c r="E513" t="s">
        <v>53</v>
      </c>
      <c r="F513">
        <v>9</v>
      </c>
      <c r="G513">
        <v>2</v>
      </c>
      <c r="H513" t="s">
        <v>69</v>
      </c>
      <c r="I513">
        <v>699</v>
      </c>
      <c r="J513">
        <v>2</v>
      </c>
      <c r="K513" t="s">
        <v>54</v>
      </c>
      <c r="L513">
        <v>48</v>
      </c>
      <c r="M513">
        <v>2</v>
      </c>
      <c r="N513">
        <v>2</v>
      </c>
      <c r="O513" t="s">
        <v>75</v>
      </c>
      <c r="P513">
        <v>2</v>
      </c>
      <c r="Q513" t="s">
        <v>74</v>
      </c>
      <c r="R513">
        <v>8847</v>
      </c>
      <c r="S513">
        <v>13934</v>
      </c>
      <c r="T513">
        <v>2</v>
      </c>
      <c r="U513" t="s">
        <v>38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  <c r="AG513" t="s">
        <v>45</v>
      </c>
      <c r="AH513" t="s">
        <v>46</v>
      </c>
      <c r="AI513">
        <v>0</v>
      </c>
      <c r="AJ513" t="s">
        <v>65</v>
      </c>
      <c r="AK513" t="s">
        <v>48</v>
      </c>
      <c r="AL513" t="s">
        <v>60</v>
      </c>
      <c r="AM513" t="s">
        <v>61</v>
      </c>
      <c r="AN513">
        <f t="shared" si="7"/>
        <v>3</v>
      </c>
    </row>
    <row r="514" spans="1:40">
      <c r="A514">
        <v>27</v>
      </c>
      <c r="B514" t="s">
        <v>51</v>
      </c>
      <c r="C514" t="s">
        <v>39</v>
      </c>
      <c r="D514">
        <v>1115</v>
      </c>
      <c r="E514" t="s">
        <v>53</v>
      </c>
      <c r="F514">
        <v>3</v>
      </c>
      <c r="G514">
        <v>4</v>
      </c>
      <c r="H514" t="s">
        <v>69</v>
      </c>
      <c r="I514">
        <v>700</v>
      </c>
      <c r="J514">
        <v>1</v>
      </c>
      <c r="K514" t="s">
        <v>54</v>
      </c>
      <c r="L514">
        <v>54</v>
      </c>
      <c r="M514">
        <v>2</v>
      </c>
      <c r="N514">
        <v>1</v>
      </c>
      <c r="O514" t="s">
        <v>55</v>
      </c>
      <c r="P514">
        <v>4</v>
      </c>
      <c r="Q514" t="s">
        <v>44</v>
      </c>
      <c r="R514">
        <v>2045</v>
      </c>
      <c r="S514">
        <v>15174</v>
      </c>
      <c r="T514">
        <v>0</v>
      </c>
      <c r="U514" t="s">
        <v>51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  <c r="AG514" t="s">
        <v>67</v>
      </c>
      <c r="AH514" t="s">
        <v>46</v>
      </c>
      <c r="AI514">
        <v>0</v>
      </c>
      <c r="AJ514" t="s">
        <v>65</v>
      </c>
      <c r="AK514" t="s">
        <v>68</v>
      </c>
      <c r="AL514" t="s">
        <v>49</v>
      </c>
      <c r="AM514" t="s">
        <v>61</v>
      </c>
      <c r="AN514">
        <f t="shared" si="7"/>
        <v>-2</v>
      </c>
    </row>
    <row r="515" spans="1:40">
      <c r="A515">
        <v>20</v>
      </c>
      <c r="B515" t="s">
        <v>38</v>
      </c>
      <c r="C515" t="s">
        <v>39</v>
      </c>
      <c r="D515">
        <v>1362</v>
      </c>
      <c r="E515" t="s">
        <v>53</v>
      </c>
      <c r="F515">
        <v>10</v>
      </c>
      <c r="G515">
        <v>1</v>
      </c>
      <c r="H515" t="s">
        <v>69</v>
      </c>
      <c r="I515">
        <v>701</v>
      </c>
      <c r="J515">
        <v>4</v>
      </c>
      <c r="K515" t="s">
        <v>54</v>
      </c>
      <c r="L515">
        <v>32</v>
      </c>
      <c r="M515">
        <v>3</v>
      </c>
      <c r="N515">
        <v>1</v>
      </c>
      <c r="O515" t="s">
        <v>55</v>
      </c>
      <c r="P515">
        <v>3</v>
      </c>
      <c r="Q515" t="s">
        <v>44</v>
      </c>
      <c r="R515">
        <v>1009</v>
      </c>
      <c r="S515">
        <v>26999</v>
      </c>
      <c r="T515">
        <v>1</v>
      </c>
      <c r="U515" t="s">
        <v>38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  <c r="AG515" t="s">
        <v>78</v>
      </c>
      <c r="AH515" t="s">
        <v>46</v>
      </c>
      <c r="AI515">
        <v>1</v>
      </c>
      <c r="AJ515" t="s">
        <v>65</v>
      </c>
      <c r="AK515" t="s">
        <v>59</v>
      </c>
      <c r="AL515" t="s">
        <v>66</v>
      </c>
      <c r="AM515" t="s">
        <v>61</v>
      </c>
      <c r="AN515">
        <f t="shared" ref="AN515:AN578" si="8">((3-P515)*3+((3-AB515)*2+AE515))</f>
        <v>1</v>
      </c>
    </row>
    <row r="516" spans="1:40">
      <c r="A516">
        <v>33</v>
      </c>
      <c r="B516" t="s">
        <v>38</v>
      </c>
      <c r="C516" t="s">
        <v>52</v>
      </c>
      <c r="D516">
        <v>1076</v>
      </c>
      <c r="E516" t="s">
        <v>53</v>
      </c>
      <c r="F516">
        <v>3</v>
      </c>
      <c r="G516">
        <v>3</v>
      </c>
      <c r="H516" t="s">
        <v>41</v>
      </c>
      <c r="I516">
        <v>702</v>
      </c>
      <c r="J516">
        <v>1</v>
      </c>
      <c r="K516" t="s">
        <v>54</v>
      </c>
      <c r="L516">
        <v>70</v>
      </c>
      <c r="M516">
        <v>3</v>
      </c>
      <c r="N516">
        <v>1</v>
      </c>
      <c r="O516" t="s">
        <v>55</v>
      </c>
      <c r="P516">
        <v>1</v>
      </c>
      <c r="Q516" t="s">
        <v>44</v>
      </c>
      <c r="R516">
        <v>3348</v>
      </c>
      <c r="S516">
        <v>3164</v>
      </c>
      <c r="T516">
        <v>1</v>
      </c>
      <c r="U516" t="s">
        <v>38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  <c r="AG516" t="s">
        <v>67</v>
      </c>
      <c r="AH516" t="s">
        <v>81</v>
      </c>
      <c r="AI516">
        <v>1</v>
      </c>
      <c r="AJ516" t="s">
        <v>58</v>
      </c>
      <c r="AK516" t="s">
        <v>72</v>
      </c>
      <c r="AL516" t="s">
        <v>73</v>
      </c>
      <c r="AM516" t="s">
        <v>61</v>
      </c>
      <c r="AN516">
        <f t="shared" si="8"/>
        <v>15</v>
      </c>
    </row>
    <row r="517" spans="1:40">
      <c r="A517">
        <v>35</v>
      </c>
      <c r="B517" t="s">
        <v>51</v>
      </c>
      <c r="C517" t="s">
        <v>77</v>
      </c>
      <c r="D517">
        <v>727</v>
      </c>
      <c r="E517" t="s">
        <v>53</v>
      </c>
      <c r="F517">
        <v>3</v>
      </c>
      <c r="G517">
        <v>3</v>
      </c>
      <c r="H517" t="s">
        <v>41</v>
      </c>
      <c r="I517">
        <v>704</v>
      </c>
      <c r="J517">
        <v>3</v>
      </c>
      <c r="K517" t="s">
        <v>54</v>
      </c>
      <c r="L517">
        <v>41</v>
      </c>
      <c r="M517">
        <v>2</v>
      </c>
      <c r="N517">
        <v>1</v>
      </c>
      <c r="O517" t="s">
        <v>63</v>
      </c>
      <c r="P517">
        <v>3</v>
      </c>
      <c r="Q517" t="s">
        <v>56</v>
      </c>
      <c r="R517">
        <v>1281</v>
      </c>
      <c r="S517">
        <v>16900</v>
      </c>
      <c r="T517">
        <v>1</v>
      </c>
      <c r="U517" t="s">
        <v>51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  <c r="AG517" t="s">
        <v>67</v>
      </c>
      <c r="AH517" t="s">
        <v>46</v>
      </c>
      <c r="AI517">
        <v>0</v>
      </c>
      <c r="AJ517" t="s">
        <v>65</v>
      </c>
      <c r="AK517" t="s">
        <v>72</v>
      </c>
      <c r="AL517" t="s">
        <v>66</v>
      </c>
      <c r="AM517" t="s">
        <v>61</v>
      </c>
      <c r="AN517">
        <f t="shared" si="8"/>
        <v>0</v>
      </c>
    </row>
    <row r="518" spans="1:40">
      <c r="A518">
        <v>23</v>
      </c>
      <c r="B518" t="s">
        <v>51</v>
      </c>
      <c r="C518" t="s">
        <v>39</v>
      </c>
      <c r="D518">
        <v>885</v>
      </c>
      <c r="E518" t="s">
        <v>53</v>
      </c>
      <c r="F518">
        <v>4</v>
      </c>
      <c r="G518">
        <v>3</v>
      </c>
      <c r="H518" t="s">
        <v>69</v>
      </c>
      <c r="I518">
        <v>705</v>
      </c>
      <c r="J518">
        <v>1</v>
      </c>
      <c r="K518" t="s">
        <v>54</v>
      </c>
      <c r="L518">
        <v>58</v>
      </c>
      <c r="M518">
        <v>4</v>
      </c>
      <c r="N518">
        <v>1</v>
      </c>
      <c r="O518" t="s">
        <v>55</v>
      </c>
      <c r="P518">
        <v>1</v>
      </c>
      <c r="Q518" t="s">
        <v>56</v>
      </c>
      <c r="R518">
        <v>2819</v>
      </c>
      <c r="S518">
        <v>8544</v>
      </c>
      <c r="T518">
        <v>2</v>
      </c>
      <c r="U518" t="s">
        <v>51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  <c r="AG518" t="s">
        <v>78</v>
      </c>
      <c r="AH518" t="s">
        <v>71</v>
      </c>
      <c r="AI518">
        <v>0</v>
      </c>
      <c r="AJ518" t="s">
        <v>65</v>
      </c>
      <c r="AK518" t="s">
        <v>72</v>
      </c>
      <c r="AL518" t="s">
        <v>73</v>
      </c>
      <c r="AM518" t="s">
        <v>85</v>
      </c>
      <c r="AN518">
        <f t="shared" si="8"/>
        <v>4</v>
      </c>
    </row>
    <row r="519" spans="1:40">
      <c r="A519">
        <v>25</v>
      </c>
      <c r="B519" t="s">
        <v>51</v>
      </c>
      <c r="C519" t="s">
        <v>39</v>
      </c>
      <c r="D519">
        <v>810</v>
      </c>
      <c r="E519" t="s">
        <v>40</v>
      </c>
      <c r="F519">
        <v>8</v>
      </c>
      <c r="G519">
        <v>3</v>
      </c>
      <c r="H519" t="s">
        <v>41</v>
      </c>
      <c r="I519">
        <v>707</v>
      </c>
      <c r="J519">
        <v>4</v>
      </c>
      <c r="K519" t="s">
        <v>54</v>
      </c>
      <c r="L519">
        <v>57</v>
      </c>
      <c r="M519">
        <v>4</v>
      </c>
      <c r="N519">
        <v>2</v>
      </c>
      <c r="O519" t="s">
        <v>43</v>
      </c>
      <c r="P519">
        <v>2</v>
      </c>
      <c r="Q519" t="s">
        <v>56</v>
      </c>
      <c r="R519">
        <v>4851</v>
      </c>
      <c r="S519">
        <v>15678</v>
      </c>
      <c r="T519">
        <v>0</v>
      </c>
      <c r="U519" t="s">
        <v>51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  <c r="AG519" t="s">
        <v>78</v>
      </c>
      <c r="AH519" t="s">
        <v>46</v>
      </c>
      <c r="AI519">
        <v>0</v>
      </c>
      <c r="AJ519" t="s">
        <v>65</v>
      </c>
      <c r="AK519" t="s">
        <v>72</v>
      </c>
      <c r="AL519" t="s">
        <v>60</v>
      </c>
      <c r="AM519" t="s">
        <v>61</v>
      </c>
      <c r="AN519">
        <f t="shared" si="8"/>
        <v>4</v>
      </c>
    </row>
    <row r="520" spans="1:40">
      <c r="A520">
        <v>38</v>
      </c>
      <c r="B520" t="s">
        <v>51</v>
      </c>
      <c r="C520" t="s">
        <v>39</v>
      </c>
      <c r="D520">
        <v>243</v>
      </c>
      <c r="E520" t="s">
        <v>40</v>
      </c>
      <c r="F520">
        <v>7</v>
      </c>
      <c r="G520">
        <v>4</v>
      </c>
      <c r="H520" t="s">
        <v>84</v>
      </c>
      <c r="I520">
        <v>709</v>
      </c>
      <c r="J520">
        <v>4</v>
      </c>
      <c r="K520" t="s">
        <v>42</v>
      </c>
      <c r="L520">
        <v>46</v>
      </c>
      <c r="M520">
        <v>2</v>
      </c>
      <c r="N520">
        <v>2</v>
      </c>
      <c r="O520" t="s">
        <v>43</v>
      </c>
      <c r="P520">
        <v>4</v>
      </c>
      <c r="Q520" t="s">
        <v>44</v>
      </c>
      <c r="R520">
        <v>4028</v>
      </c>
      <c r="S520">
        <v>7791</v>
      </c>
      <c r="T520">
        <v>0</v>
      </c>
      <c r="U520" t="s">
        <v>51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  <c r="AG520" t="s">
        <v>45</v>
      </c>
      <c r="AH520" t="s">
        <v>71</v>
      </c>
      <c r="AI520">
        <v>0</v>
      </c>
      <c r="AJ520" t="s">
        <v>58</v>
      </c>
      <c r="AK520" t="s">
        <v>68</v>
      </c>
      <c r="AL520" t="s">
        <v>49</v>
      </c>
      <c r="AM520" t="s">
        <v>61</v>
      </c>
      <c r="AN520">
        <f t="shared" si="8"/>
        <v>-3</v>
      </c>
    </row>
    <row r="521" spans="1:40">
      <c r="A521">
        <v>29</v>
      </c>
      <c r="B521" t="s">
        <v>51</v>
      </c>
      <c r="C521" t="s">
        <v>52</v>
      </c>
      <c r="D521">
        <v>806</v>
      </c>
      <c r="E521" t="s">
        <v>53</v>
      </c>
      <c r="F521">
        <v>1</v>
      </c>
      <c r="G521">
        <v>4</v>
      </c>
      <c r="H521" t="s">
        <v>41</v>
      </c>
      <c r="I521">
        <v>710</v>
      </c>
      <c r="J521">
        <v>2</v>
      </c>
      <c r="K521" t="s">
        <v>54</v>
      </c>
      <c r="L521">
        <v>76</v>
      </c>
      <c r="M521">
        <v>1</v>
      </c>
      <c r="N521">
        <v>1</v>
      </c>
      <c r="O521" t="s">
        <v>55</v>
      </c>
      <c r="P521">
        <v>4</v>
      </c>
      <c r="Q521" t="s">
        <v>74</v>
      </c>
      <c r="R521">
        <v>2720</v>
      </c>
      <c r="S521">
        <v>18959</v>
      </c>
      <c r="T521">
        <v>1</v>
      </c>
      <c r="U521" t="s">
        <v>51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  <c r="AG521" t="s">
        <v>67</v>
      </c>
      <c r="AH521" t="s">
        <v>46</v>
      </c>
      <c r="AI521">
        <v>0</v>
      </c>
      <c r="AJ521" t="s">
        <v>58</v>
      </c>
      <c r="AK521" t="s">
        <v>68</v>
      </c>
      <c r="AL521" t="s">
        <v>49</v>
      </c>
      <c r="AM521" t="s">
        <v>61</v>
      </c>
      <c r="AN521">
        <f t="shared" si="8"/>
        <v>-1</v>
      </c>
    </row>
    <row r="522" spans="1:40">
      <c r="A522">
        <v>48</v>
      </c>
      <c r="B522" t="s">
        <v>51</v>
      </c>
      <c r="C522" t="s">
        <v>39</v>
      </c>
      <c r="D522">
        <v>817</v>
      </c>
      <c r="E522" t="s">
        <v>40</v>
      </c>
      <c r="F522">
        <v>2</v>
      </c>
      <c r="G522">
        <v>1</v>
      </c>
      <c r="H522" t="s">
        <v>84</v>
      </c>
      <c r="I522">
        <v>712</v>
      </c>
      <c r="J522">
        <v>2</v>
      </c>
      <c r="K522" t="s">
        <v>54</v>
      </c>
      <c r="L522">
        <v>56</v>
      </c>
      <c r="M522">
        <v>4</v>
      </c>
      <c r="N522">
        <v>2</v>
      </c>
      <c r="O522" t="s">
        <v>43</v>
      </c>
      <c r="P522">
        <v>2</v>
      </c>
      <c r="Q522" t="s">
        <v>56</v>
      </c>
      <c r="R522">
        <v>8120</v>
      </c>
      <c r="S522">
        <v>18597</v>
      </c>
      <c r="T522">
        <v>3</v>
      </c>
      <c r="U522" t="s">
        <v>51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  <c r="AG522" t="s">
        <v>57</v>
      </c>
      <c r="AH522" t="s">
        <v>46</v>
      </c>
      <c r="AI522">
        <v>0</v>
      </c>
      <c r="AJ522" t="s">
        <v>65</v>
      </c>
      <c r="AK522" t="s">
        <v>59</v>
      </c>
      <c r="AL522" t="s">
        <v>60</v>
      </c>
      <c r="AM522" t="s">
        <v>61</v>
      </c>
      <c r="AN522">
        <f t="shared" si="8"/>
        <v>5</v>
      </c>
    </row>
    <row r="523" spans="1:40">
      <c r="A523">
        <v>27</v>
      </c>
      <c r="B523" t="s">
        <v>51</v>
      </c>
      <c r="C523" t="s">
        <v>52</v>
      </c>
      <c r="D523">
        <v>1410</v>
      </c>
      <c r="E523" t="s">
        <v>40</v>
      </c>
      <c r="F523">
        <v>3</v>
      </c>
      <c r="G523">
        <v>1</v>
      </c>
      <c r="H523" t="s">
        <v>69</v>
      </c>
      <c r="I523">
        <v>714</v>
      </c>
      <c r="J523">
        <v>4</v>
      </c>
      <c r="K523" t="s">
        <v>42</v>
      </c>
      <c r="L523">
        <v>71</v>
      </c>
      <c r="M523">
        <v>4</v>
      </c>
      <c r="N523">
        <v>2</v>
      </c>
      <c r="O523" t="s">
        <v>43</v>
      </c>
      <c r="P523">
        <v>4</v>
      </c>
      <c r="Q523" t="s">
        <v>74</v>
      </c>
      <c r="R523">
        <v>4647</v>
      </c>
      <c r="S523">
        <v>16673</v>
      </c>
      <c r="T523">
        <v>1</v>
      </c>
      <c r="U523" t="s">
        <v>38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  <c r="AG523" t="s">
        <v>67</v>
      </c>
      <c r="AH523" t="s">
        <v>46</v>
      </c>
      <c r="AI523">
        <v>0</v>
      </c>
      <c r="AJ523" t="s">
        <v>58</v>
      </c>
      <c r="AK523" t="s">
        <v>59</v>
      </c>
      <c r="AL523" t="s">
        <v>49</v>
      </c>
      <c r="AM523" t="s">
        <v>61</v>
      </c>
      <c r="AN523">
        <f t="shared" si="8"/>
        <v>-3</v>
      </c>
    </row>
    <row r="524" spans="1:40">
      <c r="A524">
        <v>37</v>
      </c>
      <c r="B524" t="s">
        <v>51</v>
      </c>
      <c r="C524" t="s">
        <v>39</v>
      </c>
      <c r="D524">
        <v>1225</v>
      </c>
      <c r="E524" t="s">
        <v>53</v>
      </c>
      <c r="F524">
        <v>10</v>
      </c>
      <c r="G524">
        <v>2</v>
      </c>
      <c r="H524" t="s">
        <v>41</v>
      </c>
      <c r="I524">
        <v>715</v>
      </c>
      <c r="J524">
        <v>4</v>
      </c>
      <c r="K524" t="s">
        <v>54</v>
      </c>
      <c r="L524">
        <v>80</v>
      </c>
      <c r="M524">
        <v>4</v>
      </c>
      <c r="N524">
        <v>1</v>
      </c>
      <c r="O524" t="s">
        <v>55</v>
      </c>
      <c r="P524">
        <v>4</v>
      </c>
      <c r="Q524" t="s">
        <v>44</v>
      </c>
      <c r="R524">
        <v>4680</v>
      </c>
      <c r="S524">
        <v>15232</v>
      </c>
      <c r="T524">
        <v>3</v>
      </c>
      <c r="U524" t="s">
        <v>51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  <c r="AG524" t="s">
        <v>45</v>
      </c>
      <c r="AH524" t="s">
        <v>46</v>
      </c>
      <c r="AI524">
        <v>0</v>
      </c>
      <c r="AJ524" t="s">
        <v>65</v>
      </c>
      <c r="AK524" t="s">
        <v>48</v>
      </c>
      <c r="AL524" t="s">
        <v>49</v>
      </c>
      <c r="AM524" t="s">
        <v>61</v>
      </c>
      <c r="AN524">
        <f t="shared" si="8"/>
        <v>-3</v>
      </c>
    </row>
    <row r="525" spans="1:40">
      <c r="A525">
        <v>50</v>
      </c>
      <c r="B525" t="s">
        <v>51</v>
      </c>
      <c r="C525" t="s">
        <v>39</v>
      </c>
      <c r="D525">
        <v>1207</v>
      </c>
      <c r="E525" t="s">
        <v>53</v>
      </c>
      <c r="F525">
        <v>28</v>
      </c>
      <c r="G525">
        <v>1</v>
      </c>
      <c r="H525" t="s">
        <v>69</v>
      </c>
      <c r="I525">
        <v>716</v>
      </c>
      <c r="J525">
        <v>4</v>
      </c>
      <c r="K525" t="s">
        <v>54</v>
      </c>
      <c r="L525">
        <v>74</v>
      </c>
      <c r="M525">
        <v>4</v>
      </c>
      <c r="N525">
        <v>1</v>
      </c>
      <c r="O525" t="s">
        <v>63</v>
      </c>
      <c r="P525">
        <v>3</v>
      </c>
      <c r="Q525" t="s">
        <v>56</v>
      </c>
      <c r="R525">
        <v>3221</v>
      </c>
      <c r="S525">
        <v>3297</v>
      </c>
      <c r="T525">
        <v>1</v>
      </c>
      <c r="U525" t="s">
        <v>38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  <c r="AG525" t="s">
        <v>57</v>
      </c>
      <c r="AH525" t="s">
        <v>81</v>
      </c>
      <c r="AI525">
        <v>0</v>
      </c>
      <c r="AJ525" t="s">
        <v>80</v>
      </c>
      <c r="AK525" t="s">
        <v>59</v>
      </c>
      <c r="AL525" t="s">
        <v>66</v>
      </c>
      <c r="AM525" t="s">
        <v>61</v>
      </c>
      <c r="AN525">
        <f t="shared" si="8"/>
        <v>3</v>
      </c>
    </row>
    <row r="526" spans="1:40">
      <c r="A526">
        <v>34</v>
      </c>
      <c r="B526" t="s">
        <v>51</v>
      </c>
      <c r="C526" t="s">
        <v>39</v>
      </c>
      <c r="D526">
        <v>1442</v>
      </c>
      <c r="E526" t="s">
        <v>53</v>
      </c>
      <c r="F526">
        <v>9</v>
      </c>
      <c r="G526">
        <v>3</v>
      </c>
      <c r="H526" t="s">
        <v>69</v>
      </c>
      <c r="I526">
        <v>717</v>
      </c>
      <c r="J526">
        <v>4</v>
      </c>
      <c r="K526" t="s">
        <v>42</v>
      </c>
      <c r="L526">
        <v>46</v>
      </c>
      <c r="M526">
        <v>2</v>
      </c>
      <c r="N526">
        <v>3</v>
      </c>
      <c r="O526" t="s">
        <v>76</v>
      </c>
      <c r="P526">
        <v>2</v>
      </c>
      <c r="Q526" t="s">
        <v>44</v>
      </c>
      <c r="R526">
        <v>8621</v>
      </c>
      <c r="S526">
        <v>17654</v>
      </c>
      <c r="T526">
        <v>1</v>
      </c>
      <c r="U526" t="s">
        <v>51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  <c r="AG526" t="s">
        <v>67</v>
      </c>
      <c r="AH526" t="s">
        <v>46</v>
      </c>
      <c r="AI526">
        <v>0</v>
      </c>
      <c r="AJ526" t="s">
        <v>58</v>
      </c>
      <c r="AK526" t="s">
        <v>72</v>
      </c>
      <c r="AL526" t="s">
        <v>60</v>
      </c>
      <c r="AM526" t="s">
        <v>85</v>
      </c>
      <c r="AN526">
        <f t="shared" si="8"/>
        <v>8</v>
      </c>
    </row>
    <row r="527" spans="1:40">
      <c r="A527">
        <v>24</v>
      </c>
      <c r="B527" t="s">
        <v>38</v>
      </c>
      <c r="C527" t="s">
        <v>39</v>
      </c>
      <c r="D527">
        <v>693</v>
      </c>
      <c r="E527" t="s">
        <v>40</v>
      </c>
      <c r="F527">
        <v>3</v>
      </c>
      <c r="G527">
        <v>2</v>
      </c>
      <c r="H527" t="s">
        <v>41</v>
      </c>
      <c r="I527">
        <v>720</v>
      </c>
      <c r="J527">
        <v>1</v>
      </c>
      <c r="K527" t="s">
        <v>42</v>
      </c>
      <c r="L527">
        <v>65</v>
      </c>
      <c r="M527">
        <v>3</v>
      </c>
      <c r="N527">
        <v>2</v>
      </c>
      <c r="O527" t="s">
        <v>43</v>
      </c>
      <c r="P527">
        <v>3</v>
      </c>
      <c r="Q527" t="s">
        <v>44</v>
      </c>
      <c r="R527">
        <v>4577</v>
      </c>
      <c r="S527">
        <v>24785</v>
      </c>
      <c r="T527">
        <v>9</v>
      </c>
      <c r="U527" t="s">
        <v>51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  <c r="AG527" t="s">
        <v>78</v>
      </c>
      <c r="AH527" t="s">
        <v>46</v>
      </c>
      <c r="AI527">
        <v>1</v>
      </c>
      <c r="AJ527" t="s">
        <v>65</v>
      </c>
      <c r="AK527" t="s">
        <v>48</v>
      </c>
      <c r="AL527" t="s">
        <v>66</v>
      </c>
      <c r="AM527" t="s">
        <v>61</v>
      </c>
      <c r="AN527">
        <f t="shared" si="8"/>
        <v>2</v>
      </c>
    </row>
    <row r="528" spans="1:40">
      <c r="A528">
        <v>39</v>
      </c>
      <c r="B528" t="s">
        <v>51</v>
      </c>
      <c r="C528" t="s">
        <v>39</v>
      </c>
      <c r="D528">
        <v>408</v>
      </c>
      <c r="E528" t="s">
        <v>53</v>
      </c>
      <c r="F528">
        <v>2</v>
      </c>
      <c r="G528">
        <v>4</v>
      </c>
      <c r="H528" t="s">
        <v>86</v>
      </c>
      <c r="I528">
        <v>721</v>
      </c>
      <c r="J528">
        <v>4</v>
      </c>
      <c r="K528" t="s">
        <v>42</v>
      </c>
      <c r="L528">
        <v>80</v>
      </c>
      <c r="M528">
        <v>2</v>
      </c>
      <c r="N528">
        <v>2</v>
      </c>
      <c r="O528" t="s">
        <v>76</v>
      </c>
      <c r="P528">
        <v>3</v>
      </c>
      <c r="Q528" t="s">
        <v>44</v>
      </c>
      <c r="R528">
        <v>4553</v>
      </c>
      <c r="S528">
        <v>20978</v>
      </c>
      <c r="T528">
        <v>1</v>
      </c>
      <c r="U528" t="s">
        <v>51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  <c r="AG528" t="s">
        <v>45</v>
      </c>
      <c r="AH528" t="s">
        <v>46</v>
      </c>
      <c r="AI528">
        <v>0</v>
      </c>
      <c r="AJ528" t="s">
        <v>80</v>
      </c>
      <c r="AK528" t="s">
        <v>68</v>
      </c>
      <c r="AL528" t="s">
        <v>66</v>
      </c>
      <c r="AM528" t="s">
        <v>61</v>
      </c>
      <c r="AN528">
        <f t="shared" si="8"/>
        <v>11</v>
      </c>
    </row>
    <row r="529" spans="1:40">
      <c r="A529">
        <v>32</v>
      </c>
      <c r="B529" t="s">
        <v>51</v>
      </c>
      <c r="C529" t="s">
        <v>39</v>
      </c>
      <c r="D529">
        <v>929</v>
      </c>
      <c r="E529" t="s">
        <v>40</v>
      </c>
      <c r="F529">
        <v>10</v>
      </c>
      <c r="G529">
        <v>3</v>
      </c>
      <c r="H529" t="s">
        <v>84</v>
      </c>
      <c r="I529">
        <v>722</v>
      </c>
      <c r="J529">
        <v>4</v>
      </c>
      <c r="K529" t="s">
        <v>54</v>
      </c>
      <c r="L529">
        <v>55</v>
      </c>
      <c r="M529">
        <v>3</v>
      </c>
      <c r="N529">
        <v>2</v>
      </c>
      <c r="O529" t="s">
        <v>43</v>
      </c>
      <c r="P529">
        <v>4</v>
      </c>
      <c r="Q529" t="s">
        <v>44</v>
      </c>
      <c r="R529">
        <v>5396</v>
      </c>
      <c r="S529">
        <v>21703</v>
      </c>
      <c r="T529">
        <v>1</v>
      </c>
      <c r="U529" t="s">
        <v>51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  <c r="AG529" t="s">
        <v>67</v>
      </c>
      <c r="AH529" t="s">
        <v>46</v>
      </c>
      <c r="AI529">
        <v>0</v>
      </c>
      <c r="AJ529" t="s">
        <v>47</v>
      </c>
      <c r="AK529" t="s">
        <v>72</v>
      </c>
      <c r="AL529" t="s">
        <v>49</v>
      </c>
      <c r="AM529" t="s">
        <v>70</v>
      </c>
      <c r="AN529">
        <f t="shared" si="8"/>
        <v>-1</v>
      </c>
    </row>
    <row r="530" spans="1:40">
      <c r="A530">
        <v>50</v>
      </c>
      <c r="B530" t="s">
        <v>38</v>
      </c>
      <c r="C530" t="s">
        <v>52</v>
      </c>
      <c r="D530">
        <v>562</v>
      </c>
      <c r="E530" t="s">
        <v>40</v>
      </c>
      <c r="F530">
        <v>8</v>
      </c>
      <c r="G530">
        <v>2</v>
      </c>
      <c r="H530" t="s">
        <v>86</v>
      </c>
      <c r="I530">
        <v>723</v>
      </c>
      <c r="J530">
        <v>2</v>
      </c>
      <c r="K530" t="s">
        <v>54</v>
      </c>
      <c r="L530">
        <v>50</v>
      </c>
      <c r="M530">
        <v>3</v>
      </c>
      <c r="N530">
        <v>2</v>
      </c>
      <c r="O530" t="s">
        <v>43</v>
      </c>
      <c r="P530">
        <v>3</v>
      </c>
      <c r="Q530" t="s">
        <v>56</v>
      </c>
      <c r="R530">
        <v>6796</v>
      </c>
      <c r="S530">
        <v>23452</v>
      </c>
      <c r="T530">
        <v>3</v>
      </c>
      <c r="U530" t="s">
        <v>38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  <c r="AG530" t="s">
        <v>57</v>
      </c>
      <c r="AH530" t="s">
        <v>46</v>
      </c>
      <c r="AI530">
        <v>1</v>
      </c>
      <c r="AJ530" t="s">
        <v>65</v>
      </c>
      <c r="AK530" t="s">
        <v>48</v>
      </c>
      <c r="AL530" t="s">
        <v>66</v>
      </c>
      <c r="AM530" t="s">
        <v>61</v>
      </c>
      <c r="AN530">
        <f t="shared" si="8"/>
        <v>1</v>
      </c>
    </row>
    <row r="531" spans="1:40">
      <c r="A531">
        <v>38</v>
      </c>
      <c r="B531" t="s">
        <v>51</v>
      </c>
      <c r="C531" t="s">
        <v>39</v>
      </c>
      <c r="D531">
        <v>827</v>
      </c>
      <c r="E531" t="s">
        <v>53</v>
      </c>
      <c r="F531">
        <v>1</v>
      </c>
      <c r="G531">
        <v>4</v>
      </c>
      <c r="H531" t="s">
        <v>41</v>
      </c>
      <c r="I531">
        <v>724</v>
      </c>
      <c r="J531">
        <v>2</v>
      </c>
      <c r="K531" t="s">
        <v>42</v>
      </c>
      <c r="L531">
        <v>33</v>
      </c>
      <c r="M531">
        <v>4</v>
      </c>
      <c r="N531">
        <v>2</v>
      </c>
      <c r="O531" t="s">
        <v>76</v>
      </c>
      <c r="P531">
        <v>4</v>
      </c>
      <c r="Q531" t="s">
        <v>44</v>
      </c>
      <c r="R531">
        <v>7625</v>
      </c>
      <c r="S531">
        <v>19383</v>
      </c>
      <c r="T531">
        <v>0</v>
      </c>
      <c r="U531" t="s">
        <v>51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  <c r="AG531" t="s">
        <v>45</v>
      </c>
      <c r="AH531" t="s">
        <v>46</v>
      </c>
      <c r="AI531">
        <v>0</v>
      </c>
      <c r="AJ531" t="s">
        <v>47</v>
      </c>
      <c r="AK531" t="s">
        <v>68</v>
      </c>
      <c r="AL531" t="s">
        <v>49</v>
      </c>
      <c r="AM531" t="s">
        <v>70</v>
      </c>
      <c r="AN531">
        <f t="shared" si="8"/>
        <v>0</v>
      </c>
    </row>
    <row r="532" spans="1:40">
      <c r="A532">
        <v>27</v>
      </c>
      <c r="B532" t="s">
        <v>51</v>
      </c>
      <c r="C532" t="s">
        <v>39</v>
      </c>
      <c r="D532">
        <v>608</v>
      </c>
      <c r="E532" t="s">
        <v>53</v>
      </c>
      <c r="F532">
        <v>1</v>
      </c>
      <c r="G532">
        <v>2</v>
      </c>
      <c r="H532" t="s">
        <v>41</v>
      </c>
      <c r="I532">
        <v>725</v>
      </c>
      <c r="J532">
        <v>3</v>
      </c>
      <c r="K532" t="s">
        <v>42</v>
      </c>
      <c r="L532">
        <v>68</v>
      </c>
      <c r="M532">
        <v>3</v>
      </c>
      <c r="N532">
        <v>3</v>
      </c>
      <c r="O532" t="s">
        <v>75</v>
      </c>
      <c r="P532">
        <v>1</v>
      </c>
      <c r="Q532" t="s">
        <v>56</v>
      </c>
      <c r="R532">
        <v>7412</v>
      </c>
      <c r="S532">
        <v>6009</v>
      </c>
      <c r="T532">
        <v>1</v>
      </c>
      <c r="U532" t="s">
        <v>51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  <c r="AG532" t="s">
        <v>67</v>
      </c>
      <c r="AH532" t="s">
        <v>71</v>
      </c>
      <c r="AI532">
        <v>0</v>
      </c>
      <c r="AJ532" t="s">
        <v>58</v>
      </c>
      <c r="AK532" t="s">
        <v>48</v>
      </c>
      <c r="AL532" t="s">
        <v>73</v>
      </c>
      <c r="AM532" t="s">
        <v>61</v>
      </c>
      <c r="AN532">
        <f t="shared" si="8"/>
        <v>6</v>
      </c>
    </row>
    <row r="533" spans="1:40">
      <c r="A533">
        <v>32</v>
      </c>
      <c r="B533" t="s">
        <v>51</v>
      </c>
      <c r="C533" t="s">
        <v>39</v>
      </c>
      <c r="D533">
        <v>1018</v>
      </c>
      <c r="E533" t="s">
        <v>53</v>
      </c>
      <c r="F533">
        <v>3</v>
      </c>
      <c r="G533">
        <v>2</v>
      </c>
      <c r="H533" t="s">
        <v>41</v>
      </c>
      <c r="I533">
        <v>727</v>
      </c>
      <c r="J533">
        <v>3</v>
      </c>
      <c r="K533" t="s">
        <v>42</v>
      </c>
      <c r="L533">
        <v>39</v>
      </c>
      <c r="M533">
        <v>3</v>
      </c>
      <c r="N533">
        <v>3</v>
      </c>
      <c r="O533" t="s">
        <v>83</v>
      </c>
      <c r="P533">
        <v>4</v>
      </c>
      <c r="Q533" t="s">
        <v>44</v>
      </c>
      <c r="R533">
        <v>11159</v>
      </c>
      <c r="S533">
        <v>19373</v>
      </c>
      <c r="T533">
        <v>3</v>
      </c>
      <c r="U533" t="s">
        <v>51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  <c r="AG533" t="s">
        <v>67</v>
      </c>
      <c r="AH533" t="s">
        <v>46</v>
      </c>
      <c r="AI533">
        <v>0</v>
      </c>
      <c r="AJ533" t="s">
        <v>58</v>
      </c>
      <c r="AK533" t="s">
        <v>48</v>
      </c>
      <c r="AL533" t="s">
        <v>49</v>
      </c>
      <c r="AM533" t="s">
        <v>61</v>
      </c>
      <c r="AN533">
        <f t="shared" si="8"/>
        <v>4</v>
      </c>
    </row>
    <row r="534" spans="1:40">
      <c r="A534">
        <v>47</v>
      </c>
      <c r="B534" t="s">
        <v>51</v>
      </c>
      <c r="C534" t="s">
        <v>39</v>
      </c>
      <c r="D534">
        <v>703</v>
      </c>
      <c r="E534" t="s">
        <v>40</v>
      </c>
      <c r="F534">
        <v>14</v>
      </c>
      <c r="G534">
        <v>4</v>
      </c>
      <c r="H534" t="s">
        <v>84</v>
      </c>
      <c r="I534">
        <v>728</v>
      </c>
      <c r="J534">
        <v>4</v>
      </c>
      <c r="K534" t="s">
        <v>54</v>
      </c>
      <c r="L534">
        <v>42</v>
      </c>
      <c r="M534">
        <v>3</v>
      </c>
      <c r="N534">
        <v>2</v>
      </c>
      <c r="O534" t="s">
        <v>43</v>
      </c>
      <c r="P534">
        <v>1</v>
      </c>
      <c r="Q534" t="s">
        <v>44</v>
      </c>
      <c r="R534">
        <v>4960</v>
      </c>
      <c r="S534">
        <v>11825</v>
      </c>
      <c r="T534">
        <v>2</v>
      </c>
      <c r="U534" t="s">
        <v>51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  <c r="AG534" t="s">
        <v>57</v>
      </c>
      <c r="AH534" t="s">
        <v>46</v>
      </c>
      <c r="AI534">
        <v>0</v>
      </c>
      <c r="AJ534" t="s">
        <v>58</v>
      </c>
      <c r="AK534" t="s">
        <v>68</v>
      </c>
      <c r="AL534" t="s">
        <v>73</v>
      </c>
      <c r="AM534" t="s">
        <v>61</v>
      </c>
      <c r="AN534">
        <f t="shared" si="8"/>
        <v>7</v>
      </c>
    </row>
    <row r="535" spans="1:40">
      <c r="A535">
        <v>40</v>
      </c>
      <c r="B535" t="s">
        <v>51</v>
      </c>
      <c r="C535" t="s">
        <v>52</v>
      </c>
      <c r="D535">
        <v>580</v>
      </c>
      <c r="E535" t="s">
        <v>40</v>
      </c>
      <c r="F535">
        <v>5</v>
      </c>
      <c r="G535">
        <v>4</v>
      </c>
      <c r="H535" t="s">
        <v>41</v>
      </c>
      <c r="I535">
        <v>729</v>
      </c>
      <c r="J535">
        <v>4</v>
      </c>
      <c r="K535" t="s">
        <v>54</v>
      </c>
      <c r="L535">
        <v>48</v>
      </c>
      <c r="M535">
        <v>2</v>
      </c>
      <c r="N535">
        <v>3</v>
      </c>
      <c r="O535" t="s">
        <v>43</v>
      </c>
      <c r="P535">
        <v>1</v>
      </c>
      <c r="Q535" t="s">
        <v>56</v>
      </c>
      <c r="R535">
        <v>10475</v>
      </c>
      <c r="S535">
        <v>23772</v>
      </c>
      <c r="T535">
        <v>5</v>
      </c>
      <c r="U535" t="s">
        <v>38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  <c r="AG535" t="s">
        <v>45</v>
      </c>
      <c r="AH535" t="s">
        <v>46</v>
      </c>
      <c r="AI535">
        <v>0</v>
      </c>
      <c r="AJ535" t="s">
        <v>80</v>
      </c>
      <c r="AK535" t="s">
        <v>68</v>
      </c>
      <c r="AL535" t="s">
        <v>73</v>
      </c>
      <c r="AM535" t="s">
        <v>61</v>
      </c>
      <c r="AN535">
        <f t="shared" si="8"/>
        <v>7</v>
      </c>
    </row>
    <row r="536" spans="1:40">
      <c r="A536">
        <v>53</v>
      </c>
      <c r="B536" t="s">
        <v>51</v>
      </c>
      <c r="C536" t="s">
        <v>39</v>
      </c>
      <c r="D536">
        <v>970</v>
      </c>
      <c r="E536" t="s">
        <v>53</v>
      </c>
      <c r="F536">
        <v>7</v>
      </c>
      <c r="G536">
        <v>3</v>
      </c>
      <c r="H536" t="s">
        <v>41</v>
      </c>
      <c r="I536">
        <v>730</v>
      </c>
      <c r="J536">
        <v>3</v>
      </c>
      <c r="K536" t="s">
        <v>54</v>
      </c>
      <c r="L536">
        <v>59</v>
      </c>
      <c r="M536">
        <v>4</v>
      </c>
      <c r="N536">
        <v>4</v>
      </c>
      <c r="O536" t="s">
        <v>83</v>
      </c>
      <c r="P536">
        <v>3</v>
      </c>
      <c r="Q536" t="s">
        <v>56</v>
      </c>
      <c r="R536">
        <v>14814</v>
      </c>
      <c r="S536">
        <v>13514</v>
      </c>
      <c r="T536">
        <v>3</v>
      </c>
      <c r="U536" t="s">
        <v>51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  <c r="AG536" t="s">
        <v>57</v>
      </c>
      <c r="AH536" t="s">
        <v>46</v>
      </c>
      <c r="AI536">
        <v>0</v>
      </c>
      <c r="AJ536" t="s">
        <v>65</v>
      </c>
      <c r="AK536" t="s">
        <v>72</v>
      </c>
      <c r="AL536" t="s">
        <v>66</v>
      </c>
      <c r="AM536" t="s">
        <v>61</v>
      </c>
      <c r="AN536">
        <f t="shared" si="8"/>
        <v>1</v>
      </c>
    </row>
    <row r="537" spans="1:40">
      <c r="A537">
        <v>41</v>
      </c>
      <c r="B537" t="s">
        <v>51</v>
      </c>
      <c r="C537" t="s">
        <v>39</v>
      </c>
      <c r="D537">
        <v>427</v>
      </c>
      <c r="E537" t="s">
        <v>88</v>
      </c>
      <c r="F537">
        <v>10</v>
      </c>
      <c r="G537">
        <v>4</v>
      </c>
      <c r="H537" t="s">
        <v>88</v>
      </c>
      <c r="I537">
        <v>731</v>
      </c>
      <c r="J537">
        <v>2</v>
      </c>
      <c r="K537" t="s">
        <v>54</v>
      </c>
      <c r="L537">
        <v>73</v>
      </c>
      <c r="M537">
        <v>2</v>
      </c>
      <c r="N537">
        <v>5</v>
      </c>
      <c r="O537" t="s">
        <v>79</v>
      </c>
      <c r="P537">
        <v>4</v>
      </c>
      <c r="Q537" t="s">
        <v>74</v>
      </c>
      <c r="R537">
        <v>19141</v>
      </c>
      <c r="S537">
        <v>8861</v>
      </c>
      <c r="T537">
        <v>3</v>
      </c>
      <c r="U537" t="s">
        <v>51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  <c r="AG537" t="s">
        <v>45</v>
      </c>
      <c r="AH537" t="s">
        <v>71</v>
      </c>
      <c r="AI537">
        <v>0</v>
      </c>
      <c r="AJ537" t="s">
        <v>47</v>
      </c>
      <c r="AK537" t="s">
        <v>68</v>
      </c>
      <c r="AL537" t="s">
        <v>49</v>
      </c>
      <c r="AM537" t="s">
        <v>70</v>
      </c>
      <c r="AN537">
        <f t="shared" si="8"/>
        <v>11</v>
      </c>
    </row>
    <row r="538" spans="1:40">
      <c r="A538">
        <v>60</v>
      </c>
      <c r="B538" t="s">
        <v>51</v>
      </c>
      <c r="C538" t="s">
        <v>39</v>
      </c>
      <c r="D538">
        <v>1179</v>
      </c>
      <c r="E538" t="s">
        <v>40</v>
      </c>
      <c r="F538">
        <v>16</v>
      </c>
      <c r="G538">
        <v>4</v>
      </c>
      <c r="H538" t="s">
        <v>84</v>
      </c>
      <c r="I538">
        <v>732</v>
      </c>
      <c r="J538">
        <v>1</v>
      </c>
      <c r="K538" t="s">
        <v>54</v>
      </c>
      <c r="L538">
        <v>84</v>
      </c>
      <c r="M538">
        <v>3</v>
      </c>
      <c r="N538">
        <v>2</v>
      </c>
      <c r="O538" t="s">
        <v>43</v>
      </c>
      <c r="P538">
        <v>1</v>
      </c>
      <c r="Q538" t="s">
        <v>44</v>
      </c>
      <c r="R538">
        <v>5405</v>
      </c>
      <c r="S538">
        <v>11924</v>
      </c>
      <c r="T538">
        <v>8</v>
      </c>
      <c r="U538" t="s">
        <v>51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  <c r="AG538" t="s">
        <v>57</v>
      </c>
      <c r="AH538" t="s">
        <v>46</v>
      </c>
      <c r="AI538">
        <v>0</v>
      </c>
      <c r="AJ538" t="s">
        <v>65</v>
      </c>
      <c r="AK538" t="s">
        <v>68</v>
      </c>
      <c r="AL538" t="s">
        <v>73</v>
      </c>
      <c r="AM538" t="s">
        <v>61</v>
      </c>
      <c r="AN538">
        <f t="shared" si="8"/>
        <v>8</v>
      </c>
    </row>
    <row r="539" spans="1:40">
      <c r="A539">
        <v>27</v>
      </c>
      <c r="B539" t="s">
        <v>51</v>
      </c>
      <c r="C539" t="s">
        <v>52</v>
      </c>
      <c r="D539">
        <v>294</v>
      </c>
      <c r="E539" t="s">
        <v>53</v>
      </c>
      <c r="F539">
        <v>10</v>
      </c>
      <c r="G539">
        <v>2</v>
      </c>
      <c r="H539" t="s">
        <v>41</v>
      </c>
      <c r="I539">
        <v>733</v>
      </c>
      <c r="J539">
        <v>4</v>
      </c>
      <c r="K539" t="s">
        <v>54</v>
      </c>
      <c r="L539">
        <v>32</v>
      </c>
      <c r="M539">
        <v>3</v>
      </c>
      <c r="N539">
        <v>3</v>
      </c>
      <c r="O539" t="s">
        <v>75</v>
      </c>
      <c r="P539">
        <v>1</v>
      </c>
      <c r="Q539" t="s">
        <v>74</v>
      </c>
      <c r="R539">
        <v>8793</v>
      </c>
      <c r="S539">
        <v>4809</v>
      </c>
      <c r="T539">
        <v>1</v>
      </c>
      <c r="U539" t="s">
        <v>51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  <c r="AG539" t="s">
        <v>67</v>
      </c>
      <c r="AH539" t="s">
        <v>81</v>
      </c>
      <c r="AI539">
        <v>0</v>
      </c>
      <c r="AJ539" t="s">
        <v>47</v>
      </c>
      <c r="AK539" t="s">
        <v>48</v>
      </c>
      <c r="AL539" t="s">
        <v>73</v>
      </c>
      <c r="AM539" t="s">
        <v>70</v>
      </c>
      <c r="AN539">
        <f t="shared" si="8"/>
        <v>9</v>
      </c>
    </row>
    <row r="540" spans="1:40">
      <c r="A540">
        <v>41</v>
      </c>
      <c r="B540" t="s">
        <v>51</v>
      </c>
      <c r="C540" t="s">
        <v>39</v>
      </c>
      <c r="D540">
        <v>314</v>
      </c>
      <c r="E540" t="s">
        <v>88</v>
      </c>
      <c r="F540">
        <v>1</v>
      </c>
      <c r="G540">
        <v>3</v>
      </c>
      <c r="H540" t="s">
        <v>88</v>
      </c>
      <c r="I540">
        <v>734</v>
      </c>
      <c r="J540">
        <v>4</v>
      </c>
      <c r="K540" t="s">
        <v>54</v>
      </c>
      <c r="L540">
        <v>59</v>
      </c>
      <c r="M540">
        <v>2</v>
      </c>
      <c r="N540">
        <v>5</v>
      </c>
      <c r="O540" t="s">
        <v>79</v>
      </c>
      <c r="P540">
        <v>3</v>
      </c>
      <c r="Q540" t="s">
        <v>56</v>
      </c>
      <c r="R540">
        <v>19189</v>
      </c>
      <c r="S540">
        <v>19562</v>
      </c>
      <c r="T540">
        <v>1</v>
      </c>
      <c r="U540" t="s">
        <v>51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  <c r="AG540" t="s">
        <v>45</v>
      </c>
      <c r="AH540" t="s">
        <v>46</v>
      </c>
      <c r="AI540">
        <v>0</v>
      </c>
      <c r="AJ540" t="s">
        <v>80</v>
      </c>
      <c r="AK540" t="s">
        <v>72</v>
      </c>
      <c r="AL540" t="s">
        <v>66</v>
      </c>
      <c r="AM540" t="s">
        <v>61</v>
      </c>
      <c r="AN540">
        <f t="shared" si="8"/>
        <v>2</v>
      </c>
    </row>
    <row r="541" spans="1:40">
      <c r="A541">
        <v>50</v>
      </c>
      <c r="B541" t="s">
        <v>51</v>
      </c>
      <c r="C541" t="s">
        <v>39</v>
      </c>
      <c r="D541">
        <v>316</v>
      </c>
      <c r="E541" t="s">
        <v>40</v>
      </c>
      <c r="F541">
        <v>8</v>
      </c>
      <c r="G541">
        <v>4</v>
      </c>
      <c r="H541" t="s">
        <v>84</v>
      </c>
      <c r="I541">
        <v>738</v>
      </c>
      <c r="J541">
        <v>4</v>
      </c>
      <c r="K541" t="s">
        <v>54</v>
      </c>
      <c r="L541">
        <v>54</v>
      </c>
      <c r="M541">
        <v>3</v>
      </c>
      <c r="N541">
        <v>1</v>
      </c>
      <c r="O541" t="s">
        <v>82</v>
      </c>
      <c r="P541">
        <v>2</v>
      </c>
      <c r="Q541" t="s">
        <v>56</v>
      </c>
      <c r="R541">
        <v>3875</v>
      </c>
      <c r="S541">
        <v>9983</v>
      </c>
      <c r="T541">
        <v>7</v>
      </c>
      <c r="U541" t="s">
        <v>51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  <c r="AG541" t="s">
        <v>57</v>
      </c>
      <c r="AH541" t="s">
        <v>71</v>
      </c>
      <c r="AI541">
        <v>0</v>
      </c>
      <c r="AJ541" t="s">
        <v>65</v>
      </c>
      <c r="AK541" t="s">
        <v>68</v>
      </c>
      <c r="AL541" t="s">
        <v>60</v>
      </c>
      <c r="AM541" t="s">
        <v>61</v>
      </c>
      <c r="AN541">
        <f t="shared" si="8"/>
        <v>5</v>
      </c>
    </row>
    <row r="542" spans="1:40">
      <c r="A542">
        <v>28</v>
      </c>
      <c r="B542" t="s">
        <v>38</v>
      </c>
      <c r="C542" t="s">
        <v>39</v>
      </c>
      <c r="D542">
        <v>654</v>
      </c>
      <c r="E542" t="s">
        <v>53</v>
      </c>
      <c r="F542">
        <v>1</v>
      </c>
      <c r="G542">
        <v>2</v>
      </c>
      <c r="H542" t="s">
        <v>41</v>
      </c>
      <c r="I542">
        <v>741</v>
      </c>
      <c r="J542">
        <v>1</v>
      </c>
      <c r="K542" t="s">
        <v>42</v>
      </c>
      <c r="L542">
        <v>67</v>
      </c>
      <c r="M542">
        <v>1</v>
      </c>
      <c r="N542">
        <v>1</v>
      </c>
      <c r="O542" t="s">
        <v>55</v>
      </c>
      <c r="P542">
        <v>2</v>
      </c>
      <c r="Q542" t="s">
        <v>44</v>
      </c>
      <c r="R542">
        <v>2216</v>
      </c>
      <c r="S542">
        <v>3872</v>
      </c>
      <c r="T542">
        <v>7</v>
      </c>
      <c r="U542" t="s">
        <v>38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  <c r="AG542" t="s">
        <v>67</v>
      </c>
      <c r="AH542" t="s">
        <v>81</v>
      </c>
      <c r="AI542">
        <v>1</v>
      </c>
      <c r="AJ542" t="s">
        <v>58</v>
      </c>
      <c r="AK542" t="s">
        <v>48</v>
      </c>
      <c r="AL542" t="s">
        <v>60</v>
      </c>
      <c r="AM542" t="s">
        <v>61</v>
      </c>
      <c r="AN542">
        <f t="shared" si="8"/>
        <v>6</v>
      </c>
    </row>
    <row r="543" spans="1:40">
      <c r="A543">
        <v>36</v>
      </c>
      <c r="B543" t="s">
        <v>51</v>
      </c>
      <c r="C543" t="s">
        <v>77</v>
      </c>
      <c r="D543">
        <v>427</v>
      </c>
      <c r="E543" t="s">
        <v>53</v>
      </c>
      <c r="F543">
        <v>8</v>
      </c>
      <c r="G543">
        <v>3</v>
      </c>
      <c r="H543" t="s">
        <v>41</v>
      </c>
      <c r="I543">
        <v>742</v>
      </c>
      <c r="J543">
        <v>1</v>
      </c>
      <c r="K543" t="s">
        <v>42</v>
      </c>
      <c r="L543">
        <v>63</v>
      </c>
      <c r="M543">
        <v>4</v>
      </c>
      <c r="N543">
        <v>3</v>
      </c>
      <c r="O543" t="s">
        <v>83</v>
      </c>
      <c r="P543">
        <v>1</v>
      </c>
      <c r="Q543" t="s">
        <v>56</v>
      </c>
      <c r="R543">
        <v>11713</v>
      </c>
      <c r="S543">
        <v>20335</v>
      </c>
      <c r="T543">
        <v>9</v>
      </c>
      <c r="U543" t="s">
        <v>51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  <c r="AG543" t="s">
        <v>45</v>
      </c>
      <c r="AH543" t="s">
        <v>46</v>
      </c>
      <c r="AI543">
        <v>0</v>
      </c>
      <c r="AJ543" t="s">
        <v>58</v>
      </c>
      <c r="AK543" t="s">
        <v>72</v>
      </c>
      <c r="AL543" t="s">
        <v>73</v>
      </c>
      <c r="AM543" t="s">
        <v>61</v>
      </c>
      <c r="AN543">
        <f t="shared" si="8"/>
        <v>6</v>
      </c>
    </row>
    <row r="544" spans="1:40">
      <c r="A544">
        <v>38</v>
      </c>
      <c r="B544" t="s">
        <v>51</v>
      </c>
      <c r="C544" t="s">
        <v>39</v>
      </c>
      <c r="D544">
        <v>168</v>
      </c>
      <c r="E544" t="s">
        <v>53</v>
      </c>
      <c r="F544">
        <v>1</v>
      </c>
      <c r="G544">
        <v>3</v>
      </c>
      <c r="H544" t="s">
        <v>41</v>
      </c>
      <c r="I544">
        <v>743</v>
      </c>
      <c r="J544">
        <v>3</v>
      </c>
      <c r="K544" t="s">
        <v>42</v>
      </c>
      <c r="L544">
        <v>81</v>
      </c>
      <c r="M544">
        <v>3</v>
      </c>
      <c r="N544">
        <v>3</v>
      </c>
      <c r="O544" t="s">
        <v>75</v>
      </c>
      <c r="P544">
        <v>3</v>
      </c>
      <c r="Q544" t="s">
        <v>44</v>
      </c>
      <c r="R544">
        <v>7861</v>
      </c>
      <c r="S544">
        <v>15397</v>
      </c>
      <c r="T544">
        <v>4</v>
      </c>
      <c r="U544" t="s">
        <v>38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  <c r="AG544" t="s">
        <v>45</v>
      </c>
      <c r="AH544" t="s">
        <v>46</v>
      </c>
      <c r="AI544">
        <v>0</v>
      </c>
      <c r="AJ544" t="s">
        <v>65</v>
      </c>
      <c r="AK544" t="s">
        <v>72</v>
      </c>
      <c r="AL544" t="s">
        <v>66</v>
      </c>
      <c r="AM544" t="s">
        <v>85</v>
      </c>
      <c r="AN544">
        <f t="shared" si="8"/>
        <v>-2</v>
      </c>
    </row>
    <row r="545" spans="1:40">
      <c r="A545">
        <v>44</v>
      </c>
      <c r="B545" t="s">
        <v>51</v>
      </c>
      <c r="C545" t="s">
        <v>77</v>
      </c>
      <c r="D545">
        <v>381</v>
      </c>
      <c r="E545" t="s">
        <v>53</v>
      </c>
      <c r="F545">
        <v>24</v>
      </c>
      <c r="G545">
        <v>3</v>
      </c>
      <c r="H545" t="s">
        <v>69</v>
      </c>
      <c r="I545">
        <v>744</v>
      </c>
      <c r="J545">
        <v>1</v>
      </c>
      <c r="K545" t="s">
        <v>54</v>
      </c>
      <c r="L545">
        <v>49</v>
      </c>
      <c r="M545">
        <v>1</v>
      </c>
      <c r="N545">
        <v>1</v>
      </c>
      <c r="O545" t="s">
        <v>63</v>
      </c>
      <c r="P545">
        <v>3</v>
      </c>
      <c r="Q545" t="s">
        <v>44</v>
      </c>
      <c r="R545">
        <v>3708</v>
      </c>
      <c r="S545">
        <v>2104</v>
      </c>
      <c r="T545">
        <v>2</v>
      </c>
      <c r="U545" t="s">
        <v>51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  <c r="AG545" t="s">
        <v>45</v>
      </c>
      <c r="AH545" t="s">
        <v>64</v>
      </c>
      <c r="AI545">
        <v>0</v>
      </c>
      <c r="AJ545" t="s">
        <v>65</v>
      </c>
      <c r="AK545" t="s">
        <v>72</v>
      </c>
      <c r="AL545" t="s">
        <v>66</v>
      </c>
      <c r="AM545" t="s">
        <v>61</v>
      </c>
      <c r="AN545">
        <f t="shared" si="8"/>
        <v>1</v>
      </c>
    </row>
    <row r="546" spans="1:40">
      <c r="A546">
        <v>47</v>
      </c>
      <c r="B546" t="s">
        <v>51</v>
      </c>
      <c r="C546" t="s">
        <v>52</v>
      </c>
      <c r="D546">
        <v>217</v>
      </c>
      <c r="E546" t="s">
        <v>40</v>
      </c>
      <c r="F546">
        <v>3</v>
      </c>
      <c r="G546">
        <v>3</v>
      </c>
      <c r="H546" t="s">
        <v>69</v>
      </c>
      <c r="I546">
        <v>746</v>
      </c>
      <c r="J546">
        <v>4</v>
      </c>
      <c r="K546" t="s">
        <v>42</v>
      </c>
      <c r="L546">
        <v>49</v>
      </c>
      <c r="M546">
        <v>3</v>
      </c>
      <c r="N546">
        <v>4</v>
      </c>
      <c r="O546" t="s">
        <v>43</v>
      </c>
      <c r="P546">
        <v>3</v>
      </c>
      <c r="Q546" t="s">
        <v>74</v>
      </c>
      <c r="R546">
        <v>13770</v>
      </c>
      <c r="S546">
        <v>10225</v>
      </c>
      <c r="T546">
        <v>9</v>
      </c>
      <c r="U546" t="s">
        <v>38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  <c r="AG546" t="s">
        <v>57</v>
      </c>
      <c r="AH546" t="s">
        <v>46</v>
      </c>
      <c r="AI546">
        <v>0</v>
      </c>
      <c r="AJ546" t="s">
        <v>47</v>
      </c>
      <c r="AK546" t="s">
        <v>72</v>
      </c>
      <c r="AL546" t="s">
        <v>66</v>
      </c>
      <c r="AM546" t="s">
        <v>70</v>
      </c>
      <c r="AN546">
        <f t="shared" si="8"/>
        <v>13</v>
      </c>
    </row>
    <row r="547" spans="1:40">
      <c r="A547">
        <v>30</v>
      </c>
      <c r="B547" t="s">
        <v>51</v>
      </c>
      <c r="C547" t="s">
        <v>39</v>
      </c>
      <c r="D547">
        <v>501</v>
      </c>
      <c r="E547" t="s">
        <v>40</v>
      </c>
      <c r="F547">
        <v>27</v>
      </c>
      <c r="G547">
        <v>5</v>
      </c>
      <c r="H547" t="s">
        <v>84</v>
      </c>
      <c r="I547">
        <v>747</v>
      </c>
      <c r="J547">
        <v>3</v>
      </c>
      <c r="K547" t="s">
        <v>54</v>
      </c>
      <c r="L547">
        <v>99</v>
      </c>
      <c r="M547">
        <v>3</v>
      </c>
      <c r="N547">
        <v>2</v>
      </c>
      <c r="O547" t="s">
        <v>43</v>
      </c>
      <c r="P547">
        <v>4</v>
      </c>
      <c r="Q547" t="s">
        <v>74</v>
      </c>
      <c r="R547">
        <v>5304</v>
      </c>
      <c r="S547">
        <v>25275</v>
      </c>
      <c r="T547">
        <v>7</v>
      </c>
      <c r="U547" t="s">
        <v>51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  <c r="AG547" t="s">
        <v>67</v>
      </c>
      <c r="AH547" t="s">
        <v>46</v>
      </c>
      <c r="AI547">
        <v>0</v>
      </c>
      <c r="AJ547" t="s">
        <v>47</v>
      </c>
      <c r="AK547" t="s">
        <v>87</v>
      </c>
      <c r="AL547" t="s">
        <v>49</v>
      </c>
      <c r="AM547" t="s">
        <v>70</v>
      </c>
      <c r="AN547">
        <f t="shared" si="8"/>
        <v>6</v>
      </c>
    </row>
    <row r="548" spans="1:40">
      <c r="A548">
        <v>29</v>
      </c>
      <c r="B548" t="s">
        <v>51</v>
      </c>
      <c r="C548" t="s">
        <v>39</v>
      </c>
      <c r="D548">
        <v>1396</v>
      </c>
      <c r="E548" t="s">
        <v>40</v>
      </c>
      <c r="F548">
        <v>10</v>
      </c>
      <c r="G548">
        <v>3</v>
      </c>
      <c r="H548" t="s">
        <v>41</v>
      </c>
      <c r="I548">
        <v>749</v>
      </c>
      <c r="J548">
        <v>3</v>
      </c>
      <c r="K548" t="s">
        <v>54</v>
      </c>
      <c r="L548">
        <v>99</v>
      </c>
      <c r="M548">
        <v>3</v>
      </c>
      <c r="N548">
        <v>1</v>
      </c>
      <c r="O548" t="s">
        <v>82</v>
      </c>
      <c r="P548">
        <v>3</v>
      </c>
      <c r="Q548" t="s">
        <v>44</v>
      </c>
      <c r="R548">
        <v>2642</v>
      </c>
      <c r="S548">
        <v>2755</v>
      </c>
      <c r="T548">
        <v>1</v>
      </c>
      <c r="U548" t="s">
        <v>51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  <c r="AG548" t="s">
        <v>67</v>
      </c>
      <c r="AH548" t="s">
        <v>64</v>
      </c>
      <c r="AI548">
        <v>0</v>
      </c>
      <c r="AJ548" t="s">
        <v>65</v>
      </c>
      <c r="AK548" t="s">
        <v>72</v>
      </c>
      <c r="AL548" t="s">
        <v>66</v>
      </c>
      <c r="AM548" t="s">
        <v>61</v>
      </c>
      <c r="AN548">
        <f t="shared" si="8"/>
        <v>0</v>
      </c>
    </row>
    <row r="549" spans="1:40">
      <c r="A549">
        <v>42</v>
      </c>
      <c r="B549" t="s">
        <v>38</v>
      </c>
      <c r="C549" t="s">
        <v>52</v>
      </c>
      <c r="D549">
        <v>933</v>
      </c>
      <c r="E549" t="s">
        <v>53</v>
      </c>
      <c r="F549">
        <v>19</v>
      </c>
      <c r="G549">
        <v>3</v>
      </c>
      <c r="H549" t="s">
        <v>69</v>
      </c>
      <c r="I549">
        <v>752</v>
      </c>
      <c r="J549">
        <v>3</v>
      </c>
      <c r="K549" t="s">
        <v>54</v>
      </c>
      <c r="L549">
        <v>57</v>
      </c>
      <c r="M549">
        <v>4</v>
      </c>
      <c r="N549">
        <v>1</v>
      </c>
      <c r="O549" t="s">
        <v>55</v>
      </c>
      <c r="P549">
        <v>3</v>
      </c>
      <c r="Q549" t="s">
        <v>74</v>
      </c>
      <c r="R549">
        <v>2759</v>
      </c>
      <c r="S549">
        <v>20366</v>
      </c>
      <c r="T549">
        <v>6</v>
      </c>
      <c r="U549" t="s">
        <v>38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  <c r="AG549" t="s">
        <v>45</v>
      </c>
      <c r="AH549" t="s">
        <v>46</v>
      </c>
      <c r="AI549">
        <v>1</v>
      </c>
      <c r="AJ549" t="s">
        <v>65</v>
      </c>
      <c r="AK549" t="s">
        <v>72</v>
      </c>
      <c r="AL549" t="s">
        <v>66</v>
      </c>
      <c r="AM549" t="s">
        <v>61</v>
      </c>
      <c r="AN549">
        <f t="shared" si="8"/>
        <v>2</v>
      </c>
    </row>
    <row r="550" spans="1:40">
      <c r="A550">
        <v>43</v>
      </c>
      <c r="B550" t="s">
        <v>51</v>
      </c>
      <c r="C550" t="s">
        <v>52</v>
      </c>
      <c r="D550">
        <v>775</v>
      </c>
      <c r="E550" t="s">
        <v>40</v>
      </c>
      <c r="F550">
        <v>15</v>
      </c>
      <c r="G550">
        <v>3</v>
      </c>
      <c r="H550" t="s">
        <v>41</v>
      </c>
      <c r="I550">
        <v>754</v>
      </c>
      <c r="J550">
        <v>4</v>
      </c>
      <c r="K550" t="s">
        <v>54</v>
      </c>
      <c r="L550">
        <v>47</v>
      </c>
      <c r="M550">
        <v>2</v>
      </c>
      <c r="N550">
        <v>2</v>
      </c>
      <c r="O550" t="s">
        <v>43</v>
      </c>
      <c r="P550">
        <v>4</v>
      </c>
      <c r="Q550" t="s">
        <v>56</v>
      </c>
      <c r="R550">
        <v>6804</v>
      </c>
      <c r="S550">
        <v>23683</v>
      </c>
      <c r="T550">
        <v>3</v>
      </c>
      <c r="U550" t="s">
        <v>51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  <c r="AG550" t="s">
        <v>45</v>
      </c>
      <c r="AH550" t="s">
        <v>46</v>
      </c>
      <c r="AI550">
        <v>0</v>
      </c>
      <c r="AJ550" t="s">
        <v>65</v>
      </c>
      <c r="AK550" t="s">
        <v>72</v>
      </c>
      <c r="AL550" t="s">
        <v>49</v>
      </c>
      <c r="AM550" t="s">
        <v>61</v>
      </c>
      <c r="AN550">
        <f t="shared" si="8"/>
        <v>-1</v>
      </c>
    </row>
    <row r="551" spans="1:40">
      <c r="A551">
        <v>34</v>
      </c>
      <c r="B551" t="s">
        <v>51</v>
      </c>
      <c r="C551" t="s">
        <v>39</v>
      </c>
      <c r="D551">
        <v>970</v>
      </c>
      <c r="E551" t="s">
        <v>53</v>
      </c>
      <c r="F551">
        <v>8</v>
      </c>
      <c r="G551">
        <v>2</v>
      </c>
      <c r="H551" t="s">
        <v>69</v>
      </c>
      <c r="I551">
        <v>757</v>
      </c>
      <c r="J551">
        <v>2</v>
      </c>
      <c r="K551" t="s">
        <v>42</v>
      </c>
      <c r="L551">
        <v>96</v>
      </c>
      <c r="M551">
        <v>3</v>
      </c>
      <c r="N551">
        <v>2</v>
      </c>
      <c r="O551" t="s">
        <v>76</v>
      </c>
      <c r="P551">
        <v>3</v>
      </c>
      <c r="Q551" t="s">
        <v>44</v>
      </c>
      <c r="R551">
        <v>6142</v>
      </c>
      <c r="S551">
        <v>7360</v>
      </c>
      <c r="T551">
        <v>3</v>
      </c>
      <c r="U551" t="s">
        <v>51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  <c r="AG551" t="s">
        <v>67</v>
      </c>
      <c r="AH551" t="s">
        <v>71</v>
      </c>
      <c r="AI551">
        <v>0</v>
      </c>
      <c r="AJ551" t="s">
        <v>65</v>
      </c>
      <c r="AK551" t="s">
        <v>48</v>
      </c>
      <c r="AL551" t="s">
        <v>66</v>
      </c>
      <c r="AM551" t="s">
        <v>61</v>
      </c>
      <c r="AN551">
        <f t="shared" si="8"/>
        <v>4</v>
      </c>
    </row>
    <row r="552" spans="1:40">
      <c r="A552">
        <v>23</v>
      </c>
      <c r="B552" t="s">
        <v>51</v>
      </c>
      <c r="C552" t="s">
        <v>39</v>
      </c>
      <c r="D552">
        <v>650</v>
      </c>
      <c r="E552" t="s">
        <v>53</v>
      </c>
      <c r="F552">
        <v>9</v>
      </c>
      <c r="G552">
        <v>1</v>
      </c>
      <c r="H552" t="s">
        <v>69</v>
      </c>
      <c r="I552">
        <v>758</v>
      </c>
      <c r="J552">
        <v>2</v>
      </c>
      <c r="K552" t="s">
        <v>54</v>
      </c>
      <c r="L552">
        <v>37</v>
      </c>
      <c r="M552">
        <v>3</v>
      </c>
      <c r="N552">
        <v>1</v>
      </c>
      <c r="O552" t="s">
        <v>63</v>
      </c>
      <c r="P552">
        <v>1</v>
      </c>
      <c r="Q552" t="s">
        <v>56</v>
      </c>
      <c r="R552">
        <v>2500</v>
      </c>
      <c r="S552">
        <v>4344</v>
      </c>
      <c r="T552">
        <v>1</v>
      </c>
      <c r="U552" t="s">
        <v>51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  <c r="AG552" t="s">
        <v>78</v>
      </c>
      <c r="AH552" t="s">
        <v>81</v>
      </c>
      <c r="AI552">
        <v>0</v>
      </c>
      <c r="AJ552" t="s">
        <v>65</v>
      </c>
      <c r="AK552" t="s">
        <v>59</v>
      </c>
      <c r="AL552" t="s">
        <v>73</v>
      </c>
      <c r="AM552" t="s">
        <v>85</v>
      </c>
      <c r="AN552">
        <f t="shared" si="8"/>
        <v>4</v>
      </c>
    </row>
    <row r="553" spans="1:40">
      <c r="A553">
        <v>39</v>
      </c>
      <c r="B553" t="s">
        <v>51</v>
      </c>
      <c r="C553" t="s">
        <v>39</v>
      </c>
      <c r="D553">
        <v>141</v>
      </c>
      <c r="E553" t="s">
        <v>88</v>
      </c>
      <c r="F553">
        <v>3</v>
      </c>
      <c r="G553">
        <v>3</v>
      </c>
      <c r="H553" t="s">
        <v>88</v>
      </c>
      <c r="I553">
        <v>760</v>
      </c>
      <c r="J553">
        <v>3</v>
      </c>
      <c r="K553" t="s">
        <v>42</v>
      </c>
      <c r="L553">
        <v>44</v>
      </c>
      <c r="M553">
        <v>4</v>
      </c>
      <c r="N553">
        <v>2</v>
      </c>
      <c r="O553" t="s">
        <v>88</v>
      </c>
      <c r="P553">
        <v>2</v>
      </c>
      <c r="Q553" t="s">
        <v>56</v>
      </c>
      <c r="R553">
        <v>6389</v>
      </c>
      <c r="S553">
        <v>18767</v>
      </c>
      <c r="T553">
        <v>9</v>
      </c>
      <c r="U553" t="s">
        <v>51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  <c r="AG553" t="s">
        <v>45</v>
      </c>
      <c r="AH553" t="s">
        <v>46</v>
      </c>
      <c r="AI553">
        <v>0</v>
      </c>
      <c r="AJ553" t="s">
        <v>47</v>
      </c>
      <c r="AK553" t="s">
        <v>72</v>
      </c>
      <c r="AL553" t="s">
        <v>60</v>
      </c>
      <c r="AM553" t="s">
        <v>50</v>
      </c>
      <c r="AN553">
        <f t="shared" si="8"/>
        <v>10</v>
      </c>
    </row>
    <row r="554" spans="1:40">
      <c r="A554">
        <v>56</v>
      </c>
      <c r="B554" t="s">
        <v>51</v>
      </c>
      <c r="C554" t="s">
        <v>39</v>
      </c>
      <c r="D554">
        <v>832</v>
      </c>
      <c r="E554" t="s">
        <v>53</v>
      </c>
      <c r="F554">
        <v>9</v>
      </c>
      <c r="G554">
        <v>3</v>
      </c>
      <c r="H554" t="s">
        <v>69</v>
      </c>
      <c r="I554">
        <v>762</v>
      </c>
      <c r="J554">
        <v>3</v>
      </c>
      <c r="K554" t="s">
        <v>54</v>
      </c>
      <c r="L554">
        <v>81</v>
      </c>
      <c r="M554">
        <v>3</v>
      </c>
      <c r="N554">
        <v>4</v>
      </c>
      <c r="O554" t="s">
        <v>76</v>
      </c>
      <c r="P554">
        <v>4</v>
      </c>
      <c r="Q554" t="s">
        <v>56</v>
      </c>
      <c r="R554">
        <v>11103</v>
      </c>
      <c r="S554">
        <v>20420</v>
      </c>
      <c r="T554">
        <v>7</v>
      </c>
      <c r="U554" t="s">
        <v>51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  <c r="AG554" t="s">
        <v>57</v>
      </c>
      <c r="AH554" t="s">
        <v>46</v>
      </c>
      <c r="AI554">
        <v>0</v>
      </c>
      <c r="AJ554" t="s">
        <v>47</v>
      </c>
      <c r="AK554" t="s">
        <v>72</v>
      </c>
      <c r="AL554" t="s">
        <v>49</v>
      </c>
      <c r="AM554" t="s">
        <v>70</v>
      </c>
      <c r="AN554">
        <f t="shared" si="8"/>
        <v>0</v>
      </c>
    </row>
    <row r="555" spans="1:40">
      <c r="A555">
        <v>40</v>
      </c>
      <c r="B555" t="s">
        <v>51</v>
      </c>
      <c r="C555" t="s">
        <v>39</v>
      </c>
      <c r="D555">
        <v>804</v>
      </c>
      <c r="E555" t="s">
        <v>53</v>
      </c>
      <c r="F555">
        <v>2</v>
      </c>
      <c r="G555">
        <v>1</v>
      </c>
      <c r="H555" t="s">
        <v>69</v>
      </c>
      <c r="I555">
        <v>763</v>
      </c>
      <c r="J555">
        <v>4</v>
      </c>
      <c r="K555" t="s">
        <v>42</v>
      </c>
      <c r="L555">
        <v>86</v>
      </c>
      <c r="M555">
        <v>2</v>
      </c>
      <c r="N555">
        <v>1</v>
      </c>
      <c r="O555" t="s">
        <v>55</v>
      </c>
      <c r="P555">
        <v>4</v>
      </c>
      <c r="Q555" t="s">
        <v>44</v>
      </c>
      <c r="R555">
        <v>2342</v>
      </c>
      <c r="S555">
        <v>22929</v>
      </c>
      <c r="T555">
        <v>0</v>
      </c>
      <c r="U555" t="s">
        <v>38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  <c r="AG555" t="s">
        <v>45</v>
      </c>
      <c r="AH555" t="s">
        <v>46</v>
      </c>
      <c r="AI555">
        <v>0</v>
      </c>
      <c r="AJ555" t="s">
        <v>47</v>
      </c>
      <c r="AK555" t="s">
        <v>59</v>
      </c>
      <c r="AL555" t="s">
        <v>49</v>
      </c>
      <c r="AM555" t="s">
        <v>70</v>
      </c>
      <c r="AN555">
        <f t="shared" si="8"/>
        <v>1</v>
      </c>
    </row>
    <row r="556" spans="1:40">
      <c r="A556">
        <v>27</v>
      </c>
      <c r="B556" t="s">
        <v>51</v>
      </c>
      <c r="C556" t="s">
        <v>39</v>
      </c>
      <c r="D556">
        <v>975</v>
      </c>
      <c r="E556" t="s">
        <v>53</v>
      </c>
      <c r="F556">
        <v>7</v>
      </c>
      <c r="G556">
        <v>3</v>
      </c>
      <c r="H556" t="s">
        <v>69</v>
      </c>
      <c r="I556">
        <v>764</v>
      </c>
      <c r="J556">
        <v>4</v>
      </c>
      <c r="K556" t="s">
        <v>42</v>
      </c>
      <c r="L556">
        <v>55</v>
      </c>
      <c r="M556">
        <v>2</v>
      </c>
      <c r="N556">
        <v>2</v>
      </c>
      <c r="O556" t="s">
        <v>76</v>
      </c>
      <c r="P556">
        <v>1</v>
      </c>
      <c r="Q556" t="s">
        <v>44</v>
      </c>
      <c r="R556">
        <v>6811</v>
      </c>
      <c r="S556">
        <v>23398</v>
      </c>
      <c r="T556">
        <v>8</v>
      </c>
      <c r="U556" t="s">
        <v>51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  <c r="AG556" t="s">
        <v>67</v>
      </c>
      <c r="AH556" t="s">
        <v>46</v>
      </c>
      <c r="AI556">
        <v>0</v>
      </c>
      <c r="AJ556" t="s">
        <v>47</v>
      </c>
      <c r="AK556" t="s">
        <v>72</v>
      </c>
      <c r="AL556" t="s">
        <v>73</v>
      </c>
      <c r="AM556" t="s">
        <v>50</v>
      </c>
      <c r="AN556">
        <f t="shared" si="8"/>
        <v>10</v>
      </c>
    </row>
    <row r="557" spans="1:40">
      <c r="A557">
        <v>29</v>
      </c>
      <c r="B557" t="s">
        <v>51</v>
      </c>
      <c r="C557" t="s">
        <v>39</v>
      </c>
      <c r="D557">
        <v>1090</v>
      </c>
      <c r="E557" t="s">
        <v>40</v>
      </c>
      <c r="F557">
        <v>10</v>
      </c>
      <c r="G557">
        <v>3</v>
      </c>
      <c r="H557" t="s">
        <v>84</v>
      </c>
      <c r="I557">
        <v>766</v>
      </c>
      <c r="J557">
        <v>4</v>
      </c>
      <c r="K557" t="s">
        <v>54</v>
      </c>
      <c r="L557">
        <v>83</v>
      </c>
      <c r="M557">
        <v>3</v>
      </c>
      <c r="N557">
        <v>1</v>
      </c>
      <c r="O557" t="s">
        <v>82</v>
      </c>
      <c r="P557">
        <v>2</v>
      </c>
      <c r="Q557" t="s">
        <v>74</v>
      </c>
      <c r="R557">
        <v>2297</v>
      </c>
      <c r="S557">
        <v>17967</v>
      </c>
      <c r="T557">
        <v>1</v>
      </c>
      <c r="U557" t="s">
        <v>51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  <c r="AG557" t="s">
        <v>67</v>
      </c>
      <c r="AH557" t="s">
        <v>46</v>
      </c>
      <c r="AI557">
        <v>0</v>
      </c>
      <c r="AJ557" t="s">
        <v>65</v>
      </c>
      <c r="AK557" t="s">
        <v>72</v>
      </c>
      <c r="AL557" t="s">
        <v>60</v>
      </c>
      <c r="AM557" t="s">
        <v>61</v>
      </c>
      <c r="AN557">
        <f t="shared" si="8"/>
        <v>5</v>
      </c>
    </row>
    <row r="558" spans="1:40">
      <c r="A558">
        <v>53</v>
      </c>
      <c r="B558" t="s">
        <v>51</v>
      </c>
      <c r="C558" t="s">
        <v>39</v>
      </c>
      <c r="D558">
        <v>346</v>
      </c>
      <c r="E558" t="s">
        <v>53</v>
      </c>
      <c r="F558">
        <v>6</v>
      </c>
      <c r="G558">
        <v>3</v>
      </c>
      <c r="H558" t="s">
        <v>41</v>
      </c>
      <c r="I558">
        <v>769</v>
      </c>
      <c r="J558">
        <v>4</v>
      </c>
      <c r="K558" t="s">
        <v>54</v>
      </c>
      <c r="L558">
        <v>86</v>
      </c>
      <c r="M558">
        <v>3</v>
      </c>
      <c r="N558">
        <v>2</v>
      </c>
      <c r="O558" t="s">
        <v>63</v>
      </c>
      <c r="P558">
        <v>4</v>
      </c>
      <c r="Q558" t="s">
        <v>44</v>
      </c>
      <c r="R558">
        <v>2450</v>
      </c>
      <c r="S558">
        <v>10919</v>
      </c>
      <c r="T558">
        <v>2</v>
      </c>
      <c r="U558" t="s">
        <v>51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  <c r="AG558" t="s">
        <v>57</v>
      </c>
      <c r="AH558" t="s">
        <v>46</v>
      </c>
      <c r="AI558">
        <v>0</v>
      </c>
      <c r="AJ558" t="s">
        <v>65</v>
      </c>
      <c r="AK558" t="s">
        <v>72</v>
      </c>
      <c r="AL558" t="s">
        <v>49</v>
      </c>
      <c r="AM558" t="s">
        <v>61</v>
      </c>
      <c r="AN558">
        <f t="shared" si="8"/>
        <v>-1</v>
      </c>
    </row>
    <row r="559" spans="1:40">
      <c r="A559">
        <v>35</v>
      </c>
      <c r="B559" t="s">
        <v>51</v>
      </c>
      <c r="C559" t="s">
        <v>77</v>
      </c>
      <c r="D559">
        <v>1225</v>
      </c>
      <c r="E559" t="s">
        <v>53</v>
      </c>
      <c r="F559">
        <v>2</v>
      </c>
      <c r="G559">
        <v>4</v>
      </c>
      <c r="H559" t="s">
        <v>41</v>
      </c>
      <c r="I559">
        <v>771</v>
      </c>
      <c r="J559">
        <v>4</v>
      </c>
      <c r="K559" t="s">
        <v>42</v>
      </c>
      <c r="L559">
        <v>61</v>
      </c>
      <c r="M559">
        <v>3</v>
      </c>
      <c r="N559">
        <v>2</v>
      </c>
      <c r="O559" t="s">
        <v>76</v>
      </c>
      <c r="P559">
        <v>1</v>
      </c>
      <c r="Q559" t="s">
        <v>74</v>
      </c>
      <c r="R559">
        <v>5093</v>
      </c>
      <c r="S559">
        <v>4761</v>
      </c>
      <c r="T559">
        <v>2</v>
      </c>
      <c r="U559" t="s">
        <v>51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  <c r="AG559" t="s">
        <v>67</v>
      </c>
      <c r="AH559" t="s">
        <v>81</v>
      </c>
      <c r="AI559">
        <v>0</v>
      </c>
      <c r="AJ559" t="s">
        <v>65</v>
      </c>
      <c r="AK559" t="s">
        <v>68</v>
      </c>
      <c r="AL559" t="s">
        <v>73</v>
      </c>
      <c r="AM559" t="s">
        <v>85</v>
      </c>
      <c r="AN559">
        <f t="shared" si="8"/>
        <v>4</v>
      </c>
    </row>
    <row r="560" spans="1:40">
      <c r="A560">
        <v>32</v>
      </c>
      <c r="B560" t="s">
        <v>51</v>
      </c>
      <c r="C560" t="s">
        <v>52</v>
      </c>
      <c r="D560">
        <v>430</v>
      </c>
      <c r="E560" t="s">
        <v>53</v>
      </c>
      <c r="F560">
        <v>24</v>
      </c>
      <c r="G560">
        <v>4</v>
      </c>
      <c r="H560" t="s">
        <v>41</v>
      </c>
      <c r="I560">
        <v>772</v>
      </c>
      <c r="J560">
        <v>1</v>
      </c>
      <c r="K560" t="s">
        <v>54</v>
      </c>
      <c r="L560">
        <v>80</v>
      </c>
      <c r="M560">
        <v>3</v>
      </c>
      <c r="N560">
        <v>2</v>
      </c>
      <c r="O560" t="s">
        <v>63</v>
      </c>
      <c r="P560">
        <v>4</v>
      </c>
      <c r="Q560" t="s">
        <v>56</v>
      </c>
      <c r="R560">
        <v>5309</v>
      </c>
      <c r="S560">
        <v>21146</v>
      </c>
      <c r="T560">
        <v>1</v>
      </c>
      <c r="U560" t="s">
        <v>51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  <c r="AG560" t="s">
        <v>67</v>
      </c>
      <c r="AH560" t="s">
        <v>46</v>
      </c>
      <c r="AI560">
        <v>0</v>
      </c>
      <c r="AJ560" t="s">
        <v>58</v>
      </c>
      <c r="AK560" t="s">
        <v>68</v>
      </c>
      <c r="AL560" t="s">
        <v>49</v>
      </c>
      <c r="AM560" t="s">
        <v>61</v>
      </c>
      <c r="AN560">
        <f t="shared" si="8"/>
        <v>1</v>
      </c>
    </row>
    <row r="561" spans="1:40">
      <c r="A561">
        <v>38</v>
      </c>
      <c r="B561" t="s">
        <v>51</v>
      </c>
      <c r="C561" t="s">
        <v>39</v>
      </c>
      <c r="D561">
        <v>268</v>
      </c>
      <c r="E561" t="s">
        <v>53</v>
      </c>
      <c r="F561">
        <v>2</v>
      </c>
      <c r="G561">
        <v>5</v>
      </c>
      <c r="H561" t="s">
        <v>69</v>
      </c>
      <c r="I561">
        <v>773</v>
      </c>
      <c r="J561">
        <v>4</v>
      </c>
      <c r="K561" t="s">
        <v>54</v>
      </c>
      <c r="L561">
        <v>92</v>
      </c>
      <c r="M561">
        <v>3</v>
      </c>
      <c r="N561">
        <v>1</v>
      </c>
      <c r="O561" t="s">
        <v>55</v>
      </c>
      <c r="P561">
        <v>3</v>
      </c>
      <c r="Q561" t="s">
        <v>56</v>
      </c>
      <c r="R561">
        <v>3057</v>
      </c>
      <c r="S561">
        <v>20471</v>
      </c>
      <c r="T561">
        <v>6</v>
      </c>
      <c r="U561" t="s">
        <v>38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  <c r="AG561" t="s">
        <v>45</v>
      </c>
      <c r="AH561" t="s">
        <v>46</v>
      </c>
      <c r="AI561">
        <v>0</v>
      </c>
      <c r="AJ561" t="s">
        <v>47</v>
      </c>
      <c r="AK561" t="s">
        <v>87</v>
      </c>
      <c r="AL561" t="s">
        <v>66</v>
      </c>
      <c r="AM561" t="s">
        <v>50</v>
      </c>
      <c r="AN561">
        <f t="shared" si="8"/>
        <v>4</v>
      </c>
    </row>
    <row r="562" spans="1:40">
      <c r="A562">
        <v>34</v>
      </c>
      <c r="B562" t="s">
        <v>51</v>
      </c>
      <c r="C562" t="s">
        <v>39</v>
      </c>
      <c r="D562">
        <v>167</v>
      </c>
      <c r="E562" t="s">
        <v>53</v>
      </c>
      <c r="F562">
        <v>8</v>
      </c>
      <c r="G562">
        <v>5</v>
      </c>
      <c r="H562" t="s">
        <v>41</v>
      </c>
      <c r="I562">
        <v>775</v>
      </c>
      <c r="J562">
        <v>2</v>
      </c>
      <c r="K562" t="s">
        <v>42</v>
      </c>
      <c r="L562">
        <v>32</v>
      </c>
      <c r="M562">
        <v>3</v>
      </c>
      <c r="N562">
        <v>2</v>
      </c>
      <c r="O562" t="s">
        <v>75</v>
      </c>
      <c r="P562">
        <v>1</v>
      </c>
      <c r="Q562" t="s">
        <v>74</v>
      </c>
      <c r="R562">
        <v>5121</v>
      </c>
      <c r="S562">
        <v>4187</v>
      </c>
      <c r="T562">
        <v>3</v>
      </c>
      <c r="U562" t="s">
        <v>51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  <c r="AG562" t="s">
        <v>67</v>
      </c>
      <c r="AH562" t="s">
        <v>81</v>
      </c>
      <c r="AI562">
        <v>0</v>
      </c>
      <c r="AJ562" t="s">
        <v>65</v>
      </c>
      <c r="AK562" t="s">
        <v>87</v>
      </c>
      <c r="AL562" t="s">
        <v>73</v>
      </c>
      <c r="AM562" t="s">
        <v>61</v>
      </c>
      <c r="AN562">
        <f t="shared" si="8"/>
        <v>6</v>
      </c>
    </row>
    <row r="563" spans="1:40">
      <c r="A563">
        <v>52</v>
      </c>
      <c r="B563" t="s">
        <v>51</v>
      </c>
      <c r="C563" t="s">
        <v>39</v>
      </c>
      <c r="D563">
        <v>621</v>
      </c>
      <c r="E563" t="s">
        <v>40</v>
      </c>
      <c r="F563">
        <v>3</v>
      </c>
      <c r="G563">
        <v>4</v>
      </c>
      <c r="H563" t="s">
        <v>84</v>
      </c>
      <c r="I563">
        <v>776</v>
      </c>
      <c r="J563">
        <v>3</v>
      </c>
      <c r="K563" t="s">
        <v>54</v>
      </c>
      <c r="L563">
        <v>31</v>
      </c>
      <c r="M563">
        <v>2</v>
      </c>
      <c r="N563">
        <v>4</v>
      </c>
      <c r="O563" t="s">
        <v>79</v>
      </c>
      <c r="P563">
        <v>1</v>
      </c>
      <c r="Q563" t="s">
        <v>56</v>
      </c>
      <c r="R563">
        <v>16856</v>
      </c>
      <c r="S563">
        <v>10084</v>
      </c>
      <c r="T563">
        <v>1</v>
      </c>
      <c r="U563" t="s">
        <v>51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  <c r="AG563" t="s">
        <v>57</v>
      </c>
      <c r="AH563" t="s">
        <v>46</v>
      </c>
      <c r="AI563">
        <v>0</v>
      </c>
      <c r="AJ563" t="s">
        <v>80</v>
      </c>
      <c r="AK563" t="s">
        <v>68</v>
      </c>
      <c r="AL563" t="s">
        <v>73</v>
      </c>
      <c r="AM563" t="s">
        <v>85</v>
      </c>
      <c r="AN563">
        <f t="shared" si="8"/>
        <v>5</v>
      </c>
    </row>
    <row r="564" spans="1:40">
      <c r="A564">
        <v>33</v>
      </c>
      <c r="B564" t="s">
        <v>38</v>
      </c>
      <c r="C564" t="s">
        <v>39</v>
      </c>
      <c r="D564">
        <v>527</v>
      </c>
      <c r="E564" t="s">
        <v>53</v>
      </c>
      <c r="F564">
        <v>1</v>
      </c>
      <c r="G564">
        <v>4</v>
      </c>
      <c r="H564" t="s">
        <v>62</v>
      </c>
      <c r="I564">
        <v>780</v>
      </c>
      <c r="J564">
        <v>4</v>
      </c>
      <c r="K564" t="s">
        <v>54</v>
      </c>
      <c r="L564">
        <v>63</v>
      </c>
      <c r="M564">
        <v>3</v>
      </c>
      <c r="N564">
        <v>1</v>
      </c>
      <c r="O564" t="s">
        <v>55</v>
      </c>
      <c r="P564">
        <v>4</v>
      </c>
      <c r="Q564" t="s">
        <v>44</v>
      </c>
      <c r="R564">
        <v>2686</v>
      </c>
      <c r="S564">
        <v>5207</v>
      </c>
      <c r="T564">
        <v>1</v>
      </c>
      <c r="U564" t="s">
        <v>38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  <c r="AG564" t="s">
        <v>67</v>
      </c>
      <c r="AH564" t="s">
        <v>81</v>
      </c>
      <c r="AI564">
        <v>1</v>
      </c>
      <c r="AJ564" t="s">
        <v>47</v>
      </c>
      <c r="AK564" t="s">
        <v>68</v>
      </c>
      <c r="AL564" t="s">
        <v>49</v>
      </c>
      <c r="AM564" t="s">
        <v>70</v>
      </c>
      <c r="AN564">
        <f t="shared" si="8"/>
        <v>6</v>
      </c>
    </row>
    <row r="565" spans="1:40">
      <c r="A565">
        <v>25</v>
      </c>
      <c r="B565" t="s">
        <v>51</v>
      </c>
      <c r="C565" t="s">
        <v>39</v>
      </c>
      <c r="D565">
        <v>883</v>
      </c>
      <c r="E565" t="s">
        <v>40</v>
      </c>
      <c r="F565">
        <v>26</v>
      </c>
      <c r="G565">
        <v>1</v>
      </c>
      <c r="H565" t="s">
        <v>69</v>
      </c>
      <c r="I565">
        <v>781</v>
      </c>
      <c r="J565">
        <v>3</v>
      </c>
      <c r="K565" t="s">
        <v>42</v>
      </c>
      <c r="L565">
        <v>32</v>
      </c>
      <c r="M565">
        <v>3</v>
      </c>
      <c r="N565">
        <v>2</v>
      </c>
      <c r="O565" t="s">
        <v>43</v>
      </c>
      <c r="P565">
        <v>4</v>
      </c>
      <c r="Q565" t="s">
        <v>44</v>
      </c>
      <c r="R565">
        <v>6180</v>
      </c>
      <c r="S565">
        <v>22807</v>
      </c>
      <c r="T565">
        <v>1</v>
      </c>
      <c r="U565" t="s">
        <v>51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  <c r="AG565" t="s">
        <v>78</v>
      </c>
      <c r="AH565" t="s">
        <v>46</v>
      </c>
      <c r="AI565">
        <v>0</v>
      </c>
      <c r="AJ565" t="s">
        <v>47</v>
      </c>
      <c r="AK565" t="s">
        <v>59</v>
      </c>
      <c r="AL565" t="s">
        <v>49</v>
      </c>
      <c r="AM565" t="s">
        <v>70</v>
      </c>
      <c r="AN565">
        <f t="shared" si="8"/>
        <v>0</v>
      </c>
    </row>
    <row r="566" spans="1:40">
      <c r="A566">
        <v>45</v>
      </c>
      <c r="B566" t="s">
        <v>51</v>
      </c>
      <c r="C566" t="s">
        <v>39</v>
      </c>
      <c r="D566">
        <v>954</v>
      </c>
      <c r="E566" t="s">
        <v>40</v>
      </c>
      <c r="F566">
        <v>2</v>
      </c>
      <c r="G566">
        <v>2</v>
      </c>
      <c r="H566" t="s">
        <v>86</v>
      </c>
      <c r="I566">
        <v>783</v>
      </c>
      <c r="J566">
        <v>2</v>
      </c>
      <c r="K566" t="s">
        <v>54</v>
      </c>
      <c r="L566">
        <v>46</v>
      </c>
      <c r="M566">
        <v>1</v>
      </c>
      <c r="N566">
        <v>2</v>
      </c>
      <c r="O566" t="s">
        <v>82</v>
      </c>
      <c r="P566">
        <v>3</v>
      </c>
      <c r="Q566" t="s">
        <v>44</v>
      </c>
      <c r="R566">
        <v>6632</v>
      </c>
      <c r="S566">
        <v>12388</v>
      </c>
      <c r="T566">
        <v>0</v>
      </c>
      <c r="U566" t="s">
        <v>51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  <c r="AG566" t="s">
        <v>45</v>
      </c>
      <c r="AH566" t="s">
        <v>46</v>
      </c>
      <c r="AI566">
        <v>0</v>
      </c>
      <c r="AJ566" t="s">
        <v>58</v>
      </c>
      <c r="AK566" t="s">
        <v>48</v>
      </c>
      <c r="AL566" t="s">
        <v>66</v>
      </c>
      <c r="AM566" t="s">
        <v>61</v>
      </c>
      <c r="AN566">
        <f t="shared" si="8"/>
        <v>3</v>
      </c>
    </row>
    <row r="567" spans="1:40">
      <c r="A567">
        <v>23</v>
      </c>
      <c r="B567" t="s">
        <v>51</v>
      </c>
      <c r="C567" t="s">
        <v>39</v>
      </c>
      <c r="D567">
        <v>310</v>
      </c>
      <c r="E567" t="s">
        <v>53</v>
      </c>
      <c r="F567">
        <v>10</v>
      </c>
      <c r="G567">
        <v>1</v>
      </c>
      <c r="H567" t="s">
        <v>69</v>
      </c>
      <c r="I567">
        <v>784</v>
      </c>
      <c r="J567">
        <v>1</v>
      </c>
      <c r="K567" t="s">
        <v>54</v>
      </c>
      <c r="L567">
        <v>79</v>
      </c>
      <c r="M567">
        <v>4</v>
      </c>
      <c r="N567">
        <v>1</v>
      </c>
      <c r="O567" t="s">
        <v>55</v>
      </c>
      <c r="P567">
        <v>3</v>
      </c>
      <c r="Q567" t="s">
        <v>44</v>
      </c>
      <c r="R567">
        <v>3505</v>
      </c>
      <c r="S567">
        <v>19630</v>
      </c>
      <c r="T567">
        <v>1</v>
      </c>
      <c r="U567" t="s">
        <v>51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  <c r="AG567" t="s">
        <v>78</v>
      </c>
      <c r="AH567" t="s">
        <v>46</v>
      </c>
      <c r="AI567">
        <v>0</v>
      </c>
      <c r="AJ567" t="s">
        <v>65</v>
      </c>
      <c r="AK567" t="s">
        <v>59</v>
      </c>
      <c r="AL567" t="s">
        <v>66</v>
      </c>
      <c r="AM567" t="s">
        <v>61</v>
      </c>
      <c r="AN567">
        <f t="shared" si="8"/>
        <v>0</v>
      </c>
    </row>
    <row r="568" spans="1:40">
      <c r="A568">
        <v>47</v>
      </c>
      <c r="B568" t="s">
        <v>38</v>
      </c>
      <c r="C568" t="s">
        <v>52</v>
      </c>
      <c r="D568">
        <v>719</v>
      </c>
      <c r="E568" t="s">
        <v>40</v>
      </c>
      <c r="F568">
        <v>27</v>
      </c>
      <c r="G568">
        <v>2</v>
      </c>
      <c r="H568" t="s">
        <v>41</v>
      </c>
      <c r="I568">
        <v>785</v>
      </c>
      <c r="J568">
        <v>2</v>
      </c>
      <c r="K568" t="s">
        <v>42</v>
      </c>
      <c r="L568">
        <v>77</v>
      </c>
      <c r="M568">
        <v>4</v>
      </c>
      <c r="N568">
        <v>2</v>
      </c>
      <c r="O568" t="s">
        <v>43</v>
      </c>
      <c r="P568">
        <v>3</v>
      </c>
      <c r="Q568" t="s">
        <v>44</v>
      </c>
      <c r="R568">
        <v>6397</v>
      </c>
      <c r="S568">
        <v>10339</v>
      </c>
      <c r="T568">
        <v>4</v>
      </c>
      <c r="U568" t="s">
        <v>38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  <c r="AG568" t="s">
        <v>57</v>
      </c>
      <c r="AH568" t="s">
        <v>46</v>
      </c>
      <c r="AI568">
        <v>1</v>
      </c>
      <c r="AJ568" t="s">
        <v>65</v>
      </c>
      <c r="AK568" t="s">
        <v>48</v>
      </c>
      <c r="AL568" t="s">
        <v>66</v>
      </c>
      <c r="AM568" t="s">
        <v>61</v>
      </c>
      <c r="AN568">
        <f t="shared" si="8"/>
        <v>1</v>
      </c>
    </row>
    <row r="569" spans="1:40">
      <c r="A569">
        <v>34</v>
      </c>
      <c r="B569" t="s">
        <v>51</v>
      </c>
      <c r="C569" t="s">
        <v>39</v>
      </c>
      <c r="D569">
        <v>304</v>
      </c>
      <c r="E569" t="s">
        <v>40</v>
      </c>
      <c r="F569">
        <v>2</v>
      </c>
      <c r="G569">
        <v>3</v>
      </c>
      <c r="H569" t="s">
        <v>62</v>
      </c>
      <c r="I569">
        <v>786</v>
      </c>
      <c r="J569">
        <v>4</v>
      </c>
      <c r="K569" t="s">
        <v>54</v>
      </c>
      <c r="L569">
        <v>60</v>
      </c>
      <c r="M569">
        <v>3</v>
      </c>
      <c r="N569">
        <v>2</v>
      </c>
      <c r="O569" t="s">
        <v>43</v>
      </c>
      <c r="P569">
        <v>4</v>
      </c>
      <c r="Q569" t="s">
        <v>44</v>
      </c>
      <c r="R569">
        <v>6274</v>
      </c>
      <c r="S569">
        <v>18686</v>
      </c>
      <c r="T569">
        <v>1</v>
      </c>
      <c r="U569" t="s">
        <v>51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  <c r="AG569" t="s">
        <v>67</v>
      </c>
      <c r="AH569" t="s">
        <v>46</v>
      </c>
      <c r="AI569">
        <v>0</v>
      </c>
      <c r="AJ569" t="s">
        <v>58</v>
      </c>
      <c r="AK569" t="s">
        <v>72</v>
      </c>
      <c r="AL569" t="s">
        <v>49</v>
      </c>
      <c r="AM569" t="s">
        <v>61</v>
      </c>
      <c r="AN569">
        <f t="shared" si="8"/>
        <v>-2</v>
      </c>
    </row>
    <row r="570" spans="1:40">
      <c r="A570">
        <v>55</v>
      </c>
      <c r="B570" t="s">
        <v>38</v>
      </c>
      <c r="C570" t="s">
        <v>39</v>
      </c>
      <c r="D570">
        <v>725</v>
      </c>
      <c r="E570" t="s">
        <v>53</v>
      </c>
      <c r="F570">
        <v>2</v>
      </c>
      <c r="G570">
        <v>3</v>
      </c>
      <c r="H570" t="s">
        <v>69</v>
      </c>
      <c r="I570">
        <v>787</v>
      </c>
      <c r="J570">
        <v>4</v>
      </c>
      <c r="K570" t="s">
        <v>54</v>
      </c>
      <c r="L570">
        <v>78</v>
      </c>
      <c r="M570">
        <v>3</v>
      </c>
      <c r="N570">
        <v>5</v>
      </c>
      <c r="O570" t="s">
        <v>79</v>
      </c>
      <c r="P570">
        <v>1</v>
      </c>
      <c r="Q570" t="s">
        <v>56</v>
      </c>
      <c r="R570">
        <v>19859</v>
      </c>
      <c r="S570">
        <v>21199</v>
      </c>
      <c r="T570">
        <v>5</v>
      </c>
      <c r="U570" t="s">
        <v>38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  <c r="AG570" t="s">
        <v>57</v>
      </c>
      <c r="AH570" t="s">
        <v>46</v>
      </c>
      <c r="AI570">
        <v>1</v>
      </c>
      <c r="AJ570" t="s">
        <v>65</v>
      </c>
      <c r="AK570" t="s">
        <v>72</v>
      </c>
      <c r="AL570" t="s">
        <v>73</v>
      </c>
      <c r="AM570" t="s">
        <v>61</v>
      </c>
      <c r="AN570">
        <f t="shared" si="8"/>
        <v>7</v>
      </c>
    </row>
    <row r="571" spans="1:40">
      <c r="A571">
        <v>36</v>
      </c>
      <c r="B571" t="s">
        <v>51</v>
      </c>
      <c r="C571" t="s">
        <v>77</v>
      </c>
      <c r="D571">
        <v>1434</v>
      </c>
      <c r="E571" t="s">
        <v>40</v>
      </c>
      <c r="F571">
        <v>8</v>
      </c>
      <c r="G571">
        <v>4</v>
      </c>
      <c r="H571" t="s">
        <v>41</v>
      </c>
      <c r="I571">
        <v>789</v>
      </c>
      <c r="J571">
        <v>1</v>
      </c>
      <c r="K571" t="s">
        <v>54</v>
      </c>
      <c r="L571">
        <v>76</v>
      </c>
      <c r="M571">
        <v>2</v>
      </c>
      <c r="N571">
        <v>3</v>
      </c>
      <c r="O571" t="s">
        <v>43</v>
      </c>
      <c r="P571">
        <v>1</v>
      </c>
      <c r="Q571" t="s">
        <v>44</v>
      </c>
      <c r="R571">
        <v>7587</v>
      </c>
      <c r="S571">
        <v>14229</v>
      </c>
      <c r="T571">
        <v>1</v>
      </c>
      <c r="U571" t="s">
        <v>51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  <c r="AG571" t="s">
        <v>45</v>
      </c>
      <c r="AH571" t="s">
        <v>46</v>
      </c>
      <c r="AI571">
        <v>0</v>
      </c>
      <c r="AJ571" t="s">
        <v>58</v>
      </c>
      <c r="AK571" t="s">
        <v>68</v>
      </c>
      <c r="AL571" t="s">
        <v>73</v>
      </c>
      <c r="AM571" t="s">
        <v>61</v>
      </c>
      <c r="AN571">
        <f t="shared" si="8"/>
        <v>6</v>
      </c>
    </row>
    <row r="572" spans="1:40">
      <c r="A572">
        <v>52</v>
      </c>
      <c r="B572" t="s">
        <v>51</v>
      </c>
      <c r="C572" t="s">
        <v>77</v>
      </c>
      <c r="D572">
        <v>715</v>
      </c>
      <c r="E572" t="s">
        <v>53</v>
      </c>
      <c r="F572">
        <v>19</v>
      </c>
      <c r="G572">
        <v>4</v>
      </c>
      <c r="H572" t="s">
        <v>69</v>
      </c>
      <c r="I572">
        <v>791</v>
      </c>
      <c r="J572">
        <v>4</v>
      </c>
      <c r="K572" t="s">
        <v>54</v>
      </c>
      <c r="L572">
        <v>41</v>
      </c>
      <c r="M572">
        <v>3</v>
      </c>
      <c r="N572">
        <v>1</v>
      </c>
      <c r="O572" t="s">
        <v>55</v>
      </c>
      <c r="P572">
        <v>4</v>
      </c>
      <c r="Q572" t="s">
        <v>56</v>
      </c>
      <c r="R572">
        <v>4258</v>
      </c>
      <c r="S572">
        <v>26589</v>
      </c>
      <c r="T572">
        <v>0</v>
      </c>
      <c r="U572" t="s">
        <v>51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  <c r="AG572" t="s">
        <v>57</v>
      </c>
      <c r="AH572" t="s">
        <v>46</v>
      </c>
      <c r="AI572">
        <v>0</v>
      </c>
      <c r="AJ572" t="s">
        <v>65</v>
      </c>
      <c r="AK572" t="s">
        <v>68</v>
      </c>
      <c r="AL572" t="s">
        <v>49</v>
      </c>
      <c r="AM572" t="s">
        <v>61</v>
      </c>
      <c r="AN572">
        <f t="shared" si="8"/>
        <v>-2</v>
      </c>
    </row>
    <row r="573" spans="1:40">
      <c r="A573">
        <v>26</v>
      </c>
      <c r="B573" t="s">
        <v>51</v>
      </c>
      <c r="C573" t="s">
        <v>52</v>
      </c>
      <c r="D573">
        <v>575</v>
      </c>
      <c r="E573" t="s">
        <v>53</v>
      </c>
      <c r="F573">
        <v>1</v>
      </c>
      <c r="G573">
        <v>2</v>
      </c>
      <c r="H573" t="s">
        <v>41</v>
      </c>
      <c r="I573">
        <v>792</v>
      </c>
      <c r="J573">
        <v>1</v>
      </c>
      <c r="K573" t="s">
        <v>42</v>
      </c>
      <c r="L573">
        <v>71</v>
      </c>
      <c r="M573">
        <v>1</v>
      </c>
      <c r="N573">
        <v>1</v>
      </c>
      <c r="O573" t="s">
        <v>63</v>
      </c>
      <c r="P573">
        <v>4</v>
      </c>
      <c r="Q573" t="s">
        <v>74</v>
      </c>
      <c r="R573">
        <v>4364</v>
      </c>
      <c r="S573">
        <v>5288</v>
      </c>
      <c r="T573">
        <v>3</v>
      </c>
      <c r="U573" t="s">
        <v>51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  <c r="AG573" t="s">
        <v>67</v>
      </c>
      <c r="AH573" t="s">
        <v>81</v>
      </c>
      <c r="AI573">
        <v>0</v>
      </c>
      <c r="AJ573" t="s">
        <v>65</v>
      </c>
      <c r="AK573" t="s">
        <v>48</v>
      </c>
      <c r="AL573" t="s">
        <v>49</v>
      </c>
      <c r="AM573" t="s">
        <v>61</v>
      </c>
      <c r="AN573">
        <f t="shared" si="8"/>
        <v>-1</v>
      </c>
    </row>
    <row r="574" spans="1:40">
      <c r="A574">
        <v>29</v>
      </c>
      <c r="B574" t="s">
        <v>51</v>
      </c>
      <c r="C574" t="s">
        <v>39</v>
      </c>
      <c r="D574">
        <v>657</v>
      </c>
      <c r="E574" t="s">
        <v>53</v>
      </c>
      <c r="F574">
        <v>27</v>
      </c>
      <c r="G574">
        <v>3</v>
      </c>
      <c r="H574" t="s">
        <v>69</v>
      </c>
      <c r="I574">
        <v>793</v>
      </c>
      <c r="J574">
        <v>2</v>
      </c>
      <c r="K574" t="s">
        <v>42</v>
      </c>
      <c r="L574">
        <v>66</v>
      </c>
      <c r="M574">
        <v>3</v>
      </c>
      <c r="N574">
        <v>2</v>
      </c>
      <c r="O574" t="s">
        <v>76</v>
      </c>
      <c r="P574">
        <v>3</v>
      </c>
      <c r="Q574" t="s">
        <v>56</v>
      </c>
      <c r="R574">
        <v>4335</v>
      </c>
      <c r="S574">
        <v>25549</v>
      </c>
      <c r="T574">
        <v>4</v>
      </c>
      <c r="U574" t="s">
        <v>51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  <c r="AG574" t="s">
        <v>67</v>
      </c>
      <c r="AH574" t="s">
        <v>46</v>
      </c>
      <c r="AI574">
        <v>0</v>
      </c>
      <c r="AJ574" t="s">
        <v>47</v>
      </c>
      <c r="AK574" t="s">
        <v>72</v>
      </c>
      <c r="AL574" t="s">
        <v>66</v>
      </c>
      <c r="AM574" t="s">
        <v>70</v>
      </c>
      <c r="AN574">
        <f t="shared" si="8"/>
        <v>3</v>
      </c>
    </row>
    <row r="575" spans="1:40">
      <c r="A575">
        <v>26</v>
      </c>
      <c r="B575" t="s">
        <v>38</v>
      </c>
      <c r="C575" t="s">
        <v>39</v>
      </c>
      <c r="D575">
        <v>1146</v>
      </c>
      <c r="E575" t="s">
        <v>40</v>
      </c>
      <c r="F575">
        <v>8</v>
      </c>
      <c r="G575">
        <v>3</v>
      </c>
      <c r="H575" t="s">
        <v>86</v>
      </c>
      <c r="I575">
        <v>796</v>
      </c>
      <c r="J575">
        <v>4</v>
      </c>
      <c r="K575" t="s">
        <v>54</v>
      </c>
      <c r="L575">
        <v>38</v>
      </c>
      <c r="M575">
        <v>2</v>
      </c>
      <c r="N575">
        <v>2</v>
      </c>
      <c r="O575" t="s">
        <v>43</v>
      </c>
      <c r="P575">
        <v>1</v>
      </c>
      <c r="Q575" t="s">
        <v>44</v>
      </c>
      <c r="R575">
        <v>5326</v>
      </c>
      <c r="S575">
        <v>3064</v>
      </c>
      <c r="T575">
        <v>6</v>
      </c>
      <c r="U575" t="s">
        <v>51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  <c r="AG575" t="s">
        <v>67</v>
      </c>
      <c r="AH575" t="s">
        <v>81</v>
      </c>
      <c r="AI575">
        <v>1</v>
      </c>
      <c r="AJ575" t="s">
        <v>47</v>
      </c>
      <c r="AK575" t="s">
        <v>72</v>
      </c>
      <c r="AL575" t="s">
        <v>73</v>
      </c>
      <c r="AM575" t="s">
        <v>70</v>
      </c>
      <c r="AN575">
        <f t="shared" si="8"/>
        <v>9</v>
      </c>
    </row>
    <row r="576" spans="1:40">
      <c r="A576">
        <v>34</v>
      </c>
      <c r="B576" t="s">
        <v>51</v>
      </c>
      <c r="C576" t="s">
        <v>39</v>
      </c>
      <c r="D576">
        <v>182</v>
      </c>
      <c r="E576" t="s">
        <v>53</v>
      </c>
      <c r="F576">
        <v>1</v>
      </c>
      <c r="G576">
        <v>4</v>
      </c>
      <c r="H576" t="s">
        <v>41</v>
      </c>
      <c r="I576">
        <v>797</v>
      </c>
      <c r="J576">
        <v>2</v>
      </c>
      <c r="K576" t="s">
        <v>42</v>
      </c>
      <c r="L576">
        <v>72</v>
      </c>
      <c r="M576">
        <v>4</v>
      </c>
      <c r="N576">
        <v>1</v>
      </c>
      <c r="O576" t="s">
        <v>55</v>
      </c>
      <c r="P576">
        <v>4</v>
      </c>
      <c r="Q576" t="s">
        <v>44</v>
      </c>
      <c r="R576">
        <v>3280</v>
      </c>
      <c r="S576">
        <v>13551</v>
      </c>
      <c r="T576">
        <v>2</v>
      </c>
      <c r="U576" t="s">
        <v>51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  <c r="AG576" t="s">
        <v>67</v>
      </c>
      <c r="AH576" t="s">
        <v>46</v>
      </c>
      <c r="AI576">
        <v>0</v>
      </c>
      <c r="AJ576" t="s">
        <v>65</v>
      </c>
      <c r="AK576" t="s">
        <v>68</v>
      </c>
      <c r="AL576" t="s">
        <v>49</v>
      </c>
      <c r="AM576" t="s">
        <v>61</v>
      </c>
      <c r="AN576">
        <f t="shared" si="8"/>
        <v>-2</v>
      </c>
    </row>
    <row r="577" spans="1:40">
      <c r="A577">
        <v>54</v>
      </c>
      <c r="B577" t="s">
        <v>51</v>
      </c>
      <c r="C577" t="s">
        <v>39</v>
      </c>
      <c r="D577">
        <v>376</v>
      </c>
      <c r="E577" t="s">
        <v>53</v>
      </c>
      <c r="F577">
        <v>19</v>
      </c>
      <c r="G577">
        <v>4</v>
      </c>
      <c r="H577" t="s">
        <v>69</v>
      </c>
      <c r="I577">
        <v>799</v>
      </c>
      <c r="J577">
        <v>4</v>
      </c>
      <c r="K577" t="s">
        <v>42</v>
      </c>
      <c r="L577">
        <v>95</v>
      </c>
      <c r="M577">
        <v>3</v>
      </c>
      <c r="N577">
        <v>2</v>
      </c>
      <c r="O577" t="s">
        <v>75</v>
      </c>
      <c r="P577">
        <v>1</v>
      </c>
      <c r="Q577" t="s">
        <v>74</v>
      </c>
      <c r="R577">
        <v>5485</v>
      </c>
      <c r="S577">
        <v>22670</v>
      </c>
      <c r="T577">
        <v>9</v>
      </c>
      <c r="U577" t="s">
        <v>38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  <c r="AG577" t="s">
        <v>57</v>
      </c>
      <c r="AH577" t="s">
        <v>46</v>
      </c>
      <c r="AI577">
        <v>0</v>
      </c>
      <c r="AJ577" t="s">
        <v>65</v>
      </c>
      <c r="AK577" t="s">
        <v>68</v>
      </c>
      <c r="AL577" t="s">
        <v>73</v>
      </c>
      <c r="AM577" t="s">
        <v>61</v>
      </c>
      <c r="AN577">
        <f t="shared" si="8"/>
        <v>7</v>
      </c>
    </row>
    <row r="578" spans="1:40">
      <c r="A578">
        <v>27</v>
      </c>
      <c r="B578" t="s">
        <v>51</v>
      </c>
      <c r="C578" t="s">
        <v>52</v>
      </c>
      <c r="D578">
        <v>829</v>
      </c>
      <c r="E578" t="s">
        <v>40</v>
      </c>
      <c r="F578">
        <v>8</v>
      </c>
      <c r="G578">
        <v>1</v>
      </c>
      <c r="H578" t="s">
        <v>84</v>
      </c>
      <c r="I578">
        <v>800</v>
      </c>
      <c r="J578">
        <v>3</v>
      </c>
      <c r="K578" t="s">
        <v>54</v>
      </c>
      <c r="L578">
        <v>84</v>
      </c>
      <c r="M578">
        <v>3</v>
      </c>
      <c r="N578">
        <v>2</v>
      </c>
      <c r="O578" t="s">
        <v>43</v>
      </c>
      <c r="P578">
        <v>4</v>
      </c>
      <c r="Q578" t="s">
        <v>56</v>
      </c>
      <c r="R578">
        <v>4342</v>
      </c>
      <c r="S578">
        <v>24008</v>
      </c>
      <c r="T578">
        <v>0</v>
      </c>
      <c r="U578" t="s">
        <v>51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  <c r="AG578" t="s">
        <v>67</v>
      </c>
      <c r="AH578" t="s">
        <v>46</v>
      </c>
      <c r="AI578">
        <v>0</v>
      </c>
      <c r="AJ578" t="s">
        <v>65</v>
      </c>
      <c r="AK578" t="s">
        <v>59</v>
      </c>
      <c r="AL578" t="s">
        <v>49</v>
      </c>
      <c r="AM578" t="s">
        <v>61</v>
      </c>
      <c r="AN578">
        <f t="shared" si="8"/>
        <v>-2</v>
      </c>
    </row>
    <row r="579" spans="1:40">
      <c r="A579">
        <v>37</v>
      </c>
      <c r="B579" t="s">
        <v>51</v>
      </c>
      <c r="C579" t="s">
        <v>39</v>
      </c>
      <c r="D579">
        <v>571</v>
      </c>
      <c r="E579" t="s">
        <v>53</v>
      </c>
      <c r="F579">
        <v>10</v>
      </c>
      <c r="G579">
        <v>1</v>
      </c>
      <c r="H579" t="s">
        <v>41</v>
      </c>
      <c r="I579">
        <v>802</v>
      </c>
      <c r="J579">
        <v>4</v>
      </c>
      <c r="K579" t="s">
        <v>42</v>
      </c>
      <c r="L579">
        <v>82</v>
      </c>
      <c r="M579">
        <v>3</v>
      </c>
      <c r="N579">
        <v>1</v>
      </c>
      <c r="O579" t="s">
        <v>55</v>
      </c>
      <c r="P579">
        <v>1</v>
      </c>
      <c r="Q579" t="s">
        <v>74</v>
      </c>
      <c r="R579">
        <v>2782</v>
      </c>
      <c r="S579">
        <v>19905</v>
      </c>
      <c r="T579">
        <v>0</v>
      </c>
      <c r="U579" t="s">
        <v>38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  <c r="AG579" t="s">
        <v>45</v>
      </c>
      <c r="AH579" t="s">
        <v>46</v>
      </c>
      <c r="AI579">
        <v>0</v>
      </c>
      <c r="AJ579" t="s">
        <v>47</v>
      </c>
      <c r="AK579" t="s">
        <v>59</v>
      </c>
      <c r="AL579" t="s">
        <v>73</v>
      </c>
      <c r="AM579" t="s">
        <v>70</v>
      </c>
      <c r="AN579">
        <f t="shared" ref="AN579:AN642" si="9">((3-P579)*3+((3-AB579)*2+AE579))</f>
        <v>12</v>
      </c>
    </row>
    <row r="580" spans="1:40">
      <c r="A580">
        <v>38</v>
      </c>
      <c r="B580" t="s">
        <v>51</v>
      </c>
      <c r="C580" t="s">
        <v>52</v>
      </c>
      <c r="D580">
        <v>240</v>
      </c>
      <c r="E580" t="s">
        <v>53</v>
      </c>
      <c r="F580">
        <v>2</v>
      </c>
      <c r="G580">
        <v>4</v>
      </c>
      <c r="H580" t="s">
        <v>41</v>
      </c>
      <c r="I580">
        <v>803</v>
      </c>
      <c r="J580">
        <v>1</v>
      </c>
      <c r="K580" t="s">
        <v>42</v>
      </c>
      <c r="L580">
        <v>75</v>
      </c>
      <c r="M580">
        <v>4</v>
      </c>
      <c r="N580">
        <v>2</v>
      </c>
      <c r="O580" t="s">
        <v>75</v>
      </c>
      <c r="P580">
        <v>1</v>
      </c>
      <c r="Q580" t="s">
        <v>44</v>
      </c>
      <c r="R580">
        <v>5980</v>
      </c>
      <c r="S580">
        <v>26085</v>
      </c>
      <c r="T580">
        <v>6</v>
      </c>
      <c r="U580" t="s">
        <v>38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  <c r="AG580" t="s">
        <v>45</v>
      </c>
      <c r="AH580" t="s">
        <v>46</v>
      </c>
      <c r="AI580">
        <v>0</v>
      </c>
      <c r="AJ580" t="s">
        <v>80</v>
      </c>
      <c r="AK580" t="s">
        <v>68</v>
      </c>
      <c r="AL580" t="s">
        <v>73</v>
      </c>
      <c r="AM580" t="s">
        <v>61</v>
      </c>
      <c r="AN580">
        <f t="shared" si="9"/>
        <v>10</v>
      </c>
    </row>
    <row r="581" spans="1:40">
      <c r="A581">
        <v>34</v>
      </c>
      <c r="B581" t="s">
        <v>51</v>
      </c>
      <c r="C581" t="s">
        <v>39</v>
      </c>
      <c r="D581">
        <v>121</v>
      </c>
      <c r="E581" t="s">
        <v>53</v>
      </c>
      <c r="F581">
        <v>2</v>
      </c>
      <c r="G581">
        <v>4</v>
      </c>
      <c r="H581" t="s">
        <v>69</v>
      </c>
      <c r="I581">
        <v>804</v>
      </c>
      <c r="J581">
        <v>3</v>
      </c>
      <c r="K581" t="s">
        <v>42</v>
      </c>
      <c r="L581">
        <v>86</v>
      </c>
      <c r="M581">
        <v>2</v>
      </c>
      <c r="N581">
        <v>1</v>
      </c>
      <c r="O581" t="s">
        <v>55</v>
      </c>
      <c r="P581">
        <v>1</v>
      </c>
      <c r="Q581" t="s">
        <v>44</v>
      </c>
      <c r="R581">
        <v>4381</v>
      </c>
      <c r="S581">
        <v>7530</v>
      </c>
      <c r="T581">
        <v>1</v>
      </c>
      <c r="U581" t="s">
        <v>51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  <c r="AG581" t="s">
        <v>67</v>
      </c>
      <c r="AH581" t="s">
        <v>71</v>
      </c>
      <c r="AI581">
        <v>0</v>
      </c>
      <c r="AJ581" t="s">
        <v>58</v>
      </c>
      <c r="AK581" t="s">
        <v>68</v>
      </c>
      <c r="AL581" t="s">
        <v>73</v>
      </c>
      <c r="AM581" t="s">
        <v>61</v>
      </c>
      <c r="AN581">
        <f t="shared" si="9"/>
        <v>7</v>
      </c>
    </row>
    <row r="582" spans="1:40">
      <c r="A582">
        <v>35</v>
      </c>
      <c r="B582" t="s">
        <v>51</v>
      </c>
      <c r="C582" t="s">
        <v>39</v>
      </c>
      <c r="D582">
        <v>384</v>
      </c>
      <c r="E582" t="s">
        <v>40</v>
      </c>
      <c r="F582">
        <v>8</v>
      </c>
      <c r="G582">
        <v>4</v>
      </c>
      <c r="H582" t="s">
        <v>41</v>
      </c>
      <c r="I582">
        <v>805</v>
      </c>
      <c r="J582">
        <v>1</v>
      </c>
      <c r="K582" t="s">
        <v>42</v>
      </c>
      <c r="L582">
        <v>72</v>
      </c>
      <c r="M582">
        <v>3</v>
      </c>
      <c r="N582">
        <v>1</v>
      </c>
      <c r="O582" t="s">
        <v>82</v>
      </c>
      <c r="P582">
        <v>4</v>
      </c>
      <c r="Q582" t="s">
        <v>56</v>
      </c>
      <c r="R582">
        <v>2572</v>
      </c>
      <c r="S582">
        <v>20317</v>
      </c>
      <c r="T582">
        <v>1</v>
      </c>
      <c r="U582" t="s">
        <v>51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  <c r="AG582" t="s">
        <v>67</v>
      </c>
      <c r="AH582" t="s">
        <v>46</v>
      </c>
      <c r="AI582">
        <v>0</v>
      </c>
      <c r="AJ582" t="s">
        <v>47</v>
      </c>
      <c r="AK582" t="s">
        <v>68</v>
      </c>
      <c r="AL582" t="s">
        <v>49</v>
      </c>
      <c r="AM582" t="s">
        <v>70</v>
      </c>
      <c r="AN582">
        <f t="shared" si="9"/>
        <v>-1</v>
      </c>
    </row>
    <row r="583" spans="1:40">
      <c r="A583">
        <v>30</v>
      </c>
      <c r="B583" t="s">
        <v>51</v>
      </c>
      <c r="C583" t="s">
        <v>39</v>
      </c>
      <c r="D583">
        <v>921</v>
      </c>
      <c r="E583" t="s">
        <v>53</v>
      </c>
      <c r="F583">
        <v>1</v>
      </c>
      <c r="G583">
        <v>3</v>
      </c>
      <c r="H583" t="s">
        <v>41</v>
      </c>
      <c r="I583">
        <v>806</v>
      </c>
      <c r="J583">
        <v>4</v>
      </c>
      <c r="K583" t="s">
        <v>54</v>
      </c>
      <c r="L583">
        <v>38</v>
      </c>
      <c r="M583">
        <v>1</v>
      </c>
      <c r="N583">
        <v>1</v>
      </c>
      <c r="O583" t="s">
        <v>63</v>
      </c>
      <c r="P583">
        <v>3</v>
      </c>
      <c r="Q583" t="s">
        <v>56</v>
      </c>
      <c r="R583">
        <v>3833</v>
      </c>
      <c r="S583">
        <v>24375</v>
      </c>
      <c r="T583">
        <v>3</v>
      </c>
      <c r="U583" t="s">
        <v>51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  <c r="AG583" t="s">
        <v>67</v>
      </c>
      <c r="AH583" t="s">
        <v>46</v>
      </c>
      <c r="AI583">
        <v>0</v>
      </c>
      <c r="AJ583" t="s">
        <v>65</v>
      </c>
      <c r="AK583" t="s">
        <v>72</v>
      </c>
      <c r="AL583" t="s">
        <v>66</v>
      </c>
      <c r="AM583" t="s">
        <v>61</v>
      </c>
      <c r="AN583">
        <f t="shared" si="9"/>
        <v>0</v>
      </c>
    </row>
    <row r="584" spans="1:40">
      <c r="A584">
        <v>40</v>
      </c>
      <c r="B584" t="s">
        <v>51</v>
      </c>
      <c r="C584" t="s">
        <v>52</v>
      </c>
      <c r="D584">
        <v>791</v>
      </c>
      <c r="E584" t="s">
        <v>53</v>
      </c>
      <c r="F584">
        <v>2</v>
      </c>
      <c r="G584">
        <v>2</v>
      </c>
      <c r="H584" t="s">
        <v>69</v>
      </c>
      <c r="I584">
        <v>807</v>
      </c>
      <c r="J584">
        <v>3</v>
      </c>
      <c r="K584" t="s">
        <v>42</v>
      </c>
      <c r="L584">
        <v>38</v>
      </c>
      <c r="M584">
        <v>4</v>
      </c>
      <c r="N584">
        <v>2</v>
      </c>
      <c r="O584" t="s">
        <v>76</v>
      </c>
      <c r="P584">
        <v>2</v>
      </c>
      <c r="Q584" t="s">
        <v>56</v>
      </c>
      <c r="R584">
        <v>4244</v>
      </c>
      <c r="S584">
        <v>9931</v>
      </c>
      <c r="T584">
        <v>1</v>
      </c>
      <c r="U584" t="s">
        <v>51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  <c r="AG584" t="s">
        <v>45</v>
      </c>
      <c r="AH584" t="s">
        <v>71</v>
      </c>
      <c r="AI584">
        <v>0</v>
      </c>
      <c r="AJ584" t="s">
        <v>58</v>
      </c>
      <c r="AK584" t="s">
        <v>48</v>
      </c>
      <c r="AL584" t="s">
        <v>60</v>
      </c>
      <c r="AM584" t="s">
        <v>61</v>
      </c>
      <c r="AN584">
        <f t="shared" si="9"/>
        <v>6</v>
      </c>
    </row>
    <row r="585" spans="1:40">
      <c r="A585">
        <v>34</v>
      </c>
      <c r="B585" t="s">
        <v>51</v>
      </c>
      <c r="C585" t="s">
        <v>39</v>
      </c>
      <c r="D585">
        <v>1111</v>
      </c>
      <c r="E585" t="s">
        <v>40</v>
      </c>
      <c r="F585">
        <v>8</v>
      </c>
      <c r="G585">
        <v>2</v>
      </c>
      <c r="H585" t="s">
        <v>41</v>
      </c>
      <c r="I585">
        <v>808</v>
      </c>
      <c r="J585">
        <v>3</v>
      </c>
      <c r="K585" t="s">
        <v>42</v>
      </c>
      <c r="L585">
        <v>93</v>
      </c>
      <c r="M585">
        <v>3</v>
      </c>
      <c r="N585">
        <v>2</v>
      </c>
      <c r="O585" t="s">
        <v>43</v>
      </c>
      <c r="P585">
        <v>1</v>
      </c>
      <c r="Q585" t="s">
        <v>56</v>
      </c>
      <c r="R585">
        <v>6500</v>
      </c>
      <c r="S585">
        <v>13305</v>
      </c>
      <c r="T585">
        <v>5</v>
      </c>
      <c r="U585" t="s">
        <v>51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  <c r="AG585" t="s">
        <v>67</v>
      </c>
      <c r="AH585" t="s">
        <v>46</v>
      </c>
      <c r="AI585">
        <v>0</v>
      </c>
      <c r="AJ585" t="s">
        <v>65</v>
      </c>
      <c r="AK585" t="s">
        <v>48</v>
      </c>
      <c r="AL585" t="s">
        <v>73</v>
      </c>
      <c r="AM585" t="s">
        <v>61</v>
      </c>
      <c r="AN585">
        <f t="shared" si="9"/>
        <v>7</v>
      </c>
    </row>
    <row r="586" spans="1:40">
      <c r="A586">
        <v>42</v>
      </c>
      <c r="B586" t="s">
        <v>51</v>
      </c>
      <c r="C586" t="s">
        <v>52</v>
      </c>
      <c r="D586">
        <v>570</v>
      </c>
      <c r="E586" t="s">
        <v>53</v>
      </c>
      <c r="F586">
        <v>8</v>
      </c>
      <c r="G586">
        <v>3</v>
      </c>
      <c r="H586" t="s">
        <v>41</v>
      </c>
      <c r="I586">
        <v>809</v>
      </c>
      <c r="J586">
        <v>2</v>
      </c>
      <c r="K586" t="s">
        <v>54</v>
      </c>
      <c r="L586">
        <v>66</v>
      </c>
      <c r="M586">
        <v>3</v>
      </c>
      <c r="N586">
        <v>5</v>
      </c>
      <c r="O586" t="s">
        <v>79</v>
      </c>
      <c r="P586">
        <v>4</v>
      </c>
      <c r="Q586" t="s">
        <v>74</v>
      </c>
      <c r="R586">
        <v>18430</v>
      </c>
      <c r="S586">
        <v>16225</v>
      </c>
      <c r="T586">
        <v>1</v>
      </c>
      <c r="U586" t="s">
        <v>51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  <c r="AG586" t="s">
        <v>45</v>
      </c>
      <c r="AH586" t="s">
        <v>46</v>
      </c>
      <c r="AI586">
        <v>0</v>
      </c>
      <c r="AJ586" t="s">
        <v>47</v>
      </c>
      <c r="AK586" t="s">
        <v>72</v>
      </c>
      <c r="AL586" t="s">
        <v>49</v>
      </c>
      <c r="AM586" t="s">
        <v>70</v>
      </c>
      <c r="AN586">
        <f t="shared" si="9"/>
        <v>13</v>
      </c>
    </row>
    <row r="587" spans="1:40">
      <c r="A587">
        <v>23</v>
      </c>
      <c r="B587" t="s">
        <v>38</v>
      </c>
      <c r="C587" t="s">
        <v>39</v>
      </c>
      <c r="D587">
        <v>1243</v>
      </c>
      <c r="E587" t="s">
        <v>53</v>
      </c>
      <c r="F587">
        <v>6</v>
      </c>
      <c r="G587">
        <v>3</v>
      </c>
      <c r="H587" t="s">
        <v>41</v>
      </c>
      <c r="I587">
        <v>811</v>
      </c>
      <c r="J587">
        <v>3</v>
      </c>
      <c r="K587" t="s">
        <v>54</v>
      </c>
      <c r="L587">
        <v>63</v>
      </c>
      <c r="M587">
        <v>4</v>
      </c>
      <c r="N587">
        <v>1</v>
      </c>
      <c r="O587" t="s">
        <v>63</v>
      </c>
      <c r="P587">
        <v>1</v>
      </c>
      <c r="Q587" t="s">
        <v>56</v>
      </c>
      <c r="R587">
        <v>1601</v>
      </c>
      <c r="S587">
        <v>3445</v>
      </c>
      <c r="T587">
        <v>1</v>
      </c>
      <c r="U587" t="s">
        <v>38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  <c r="AG587" t="s">
        <v>78</v>
      </c>
      <c r="AH587" t="s">
        <v>81</v>
      </c>
      <c r="AI587">
        <v>1</v>
      </c>
      <c r="AJ587" t="s">
        <v>65</v>
      </c>
      <c r="AK587" t="s">
        <v>72</v>
      </c>
      <c r="AL587" t="s">
        <v>73</v>
      </c>
      <c r="AM587" t="s">
        <v>61</v>
      </c>
      <c r="AN587">
        <f t="shared" si="9"/>
        <v>6</v>
      </c>
    </row>
    <row r="588" spans="1:40">
      <c r="A588">
        <v>24</v>
      </c>
      <c r="B588" t="s">
        <v>51</v>
      </c>
      <c r="C588" t="s">
        <v>77</v>
      </c>
      <c r="D588">
        <v>1092</v>
      </c>
      <c r="E588" t="s">
        <v>53</v>
      </c>
      <c r="F588">
        <v>9</v>
      </c>
      <c r="G588">
        <v>3</v>
      </c>
      <c r="H588" t="s">
        <v>41</v>
      </c>
      <c r="I588">
        <v>812</v>
      </c>
      <c r="J588">
        <v>3</v>
      </c>
      <c r="K588" t="s">
        <v>54</v>
      </c>
      <c r="L588">
        <v>60</v>
      </c>
      <c r="M588">
        <v>2</v>
      </c>
      <c r="N588">
        <v>1</v>
      </c>
      <c r="O588" t="s">
        <v>63</v>
      </c>
      <c r="P588">
        <v>2</v>
      </c>
      <c r="Q588" t="s">
        <v>74</v>
      </c>
      <c r="R588">
        <v>2694</v>
      </c>
      <c r="S588">
        <v>26551</v>
      </c>
      <c r="T588">
        <v>1</v>
      </c>
      <c r="U588" t="s">
        <v>51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  <c r="AG588" t="s">
        <v>78</v>
      </c>
      <c r="AH588" t="s">
        <v>46</v>
      </c>
      <c r="AI588">
        <v>0</v>
      </c>
      <c r="AJ588" t="s">
        <v>65</v>
      </c>
      <c r="AK588" t="s">
        <v>72</v>
      </c>
      <c r="AL588" t="s">
        <v>60</v>
      </c>
      <c r="AM588" t="s">
        <v>61</v>
      </c>
      <c r="AN588">
        <f t="shared" si="9"/>
        <v>3</v>
      </c>
    </row>
    <row r="589" spans="1:40">
      <c r="A589">
        <v>52</v>
      </c>
      <c r="B589" t="s">
        <v>51</v>
      </c>
      <c r="C589" t="s">
        <v>39</v>
      </c>
      <c r="D589">
        <v>1325</v>
      </c>
      <c r="E589" t="s">
        <v>53</v>
      </c>
      <c r="F589">
        <v>11</v>
      </c>
      <c r="G589">
        <v>4</v>
      </c>
      <c r="H589" t="s">
        <v>41</v>
      </c>
      <c r="I589">
        <v>813</v>
      </c>
      <c r="J589">
        <v>4</v>
      </c>
      <c r="K589" t="s">
        <v>42</v>
      </c>
      <c r="L589">
        <v>82</v>
      </c>
      <c r="M589">
        <v>3</v>
      </c>
      <c r="N589">
        <v>2</v>
      </c>
      <c r="O589" t="s">
        <v>63</v>
      </c>
      <c r="P589">
        <v>3</v>
      </c>
      <c r="Q589" t="s">
        <v>56</v>
      </c>
      <c r="R589">
        <v>3149</v>
      </c>
      <c r="S589">
        <v>21821</v>
      </c>
      <c r="T589">
        <v>8</v>
      </c>
      <c r="U589" t="s">
        <v>51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  <c r="AG589" t="s">
        <v>57</v>
      </c>
      <c r="AH589" t="s">
        <v>46</v>
      </c>
      <c r="AI589">
        <v>0</v>
      </c>
      <c r="AJ589" t="s">
        <v>65</v>
      </c>
      <c r="AK589" t="s">
        <v>68</v>
      </c>
      <c r="AL589" t="s">
        <v>66</v>
      </c>
      <c r="AM589" t="s">
        <v>61</v>
      </c>
      <c r="AN589">
        <f t="shared" si="9"/>
        <v>1</v>
      </c>
    </row>
    <row r="590" spans="1:40">
      <c r="A590">
        <v>50</v>
      </c>
      <c r="B590" t="s">
        <v>51</v>
      </c>
      <c r="C590" t="s">
        <v>39</v>
      </c>
      <c r="D590">
        <v>691</v>
      </c>
      <c r="E590" t="s">
        <v>53</v>
      </c>
      <c r="F590">
        <v>2</v>
      </c>
      <c r="G590">
        <v>3</v>
      </c>
      <c r="H590" t="s">
        <v>69</v>
      </c>
      <c r="I590">
        <v>815</v>
      </c>
      <c r="J590">
        <v>3</v>
      </c>
      <c r="K590" t="s">
        <v>54</v>
      </c>
      <c r="L590">
        <v>64</v>
      </c>
      <c r="M590">
        <v>3</v>
      </c>
      <c r="N590">
        <v>4</v>
      </c>
      <c r="O590" t="s">
        <v>83</v>
      </c>
      <c r="P590">
        <v>3</v>
      </c>
      <c r="Q590" t="s">
        <v>56</v>
      </c>
      <c r="R590">
        <v>17639</v>
      </c>
      <c r="S590">
        <v>6881</v>
      </c>
      <c r="T590">
        <v>5</v>
      </c>
      <c r="U590" t="s">
        <v>51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  <c r="AG590" t="s">
        <v>57</v>
      </c>
      <c r="AH590" t="s">
        <v>71</v>
      </c>
      <c r="AI590">
        <v>0</v>
      </c>
      <c r="AJ590" t="s">
        <v>65</v>
      </c>
      <c r="AK590" t="s">
        <v>72</v>
      </c>
      <c r="AL590" t="s">
        <v>66</v>
      </c>
      <c r="AM590" t="s">
        <v>61</v>
      </c>
      <c r="AN590">
        <f t="shared" si="9"/>
        <v>0</v>
      </c>
    </row>
    <row r="591" spans="1:40">
      <c r="A591">
        <v>29</v>
      </c>
      <c r="B591" t="s">
        <v>38</v>
      </c>
      <c r="C591" t="s">
        <v>39</v>
      </c>
      <c r="D591">
        <v>805</v>
      </c>
      <c r="E591" t="s">
        <v>53</v>
      </c>
      <c r="F591">
        <v>1</v>
      </c>
      <c r="G591">
        <v>2</v>
      </c>
      <c r="H591" t="s">
        <v>41</v>
      </c>
      <c r="I591">
        <v>816</v>
      </c>
      <c r="J591">
        <v>2</v>
      </c>
      <c r="K591" t="s">
        <v>42</v>
      </c>
      <c r="L591">
        <v>36</v>
      </c>
      <c r="M591">
        <v>2</v>
      </c>
      <c r="N591">
        <v>1</v>
      </c>
      <c r="O591" t="s">
        <v>63</v>
      </c>
      <c r="P591">
        <v>1</v>
      </c>
      <c r="Q591" t="s">
        <v>56</v>
      </c>
      <c r="R591">
        <v>2319</v>
      </c>
      <c r="S591">
        <v>6689</v>
      </c>
      <c r="T591">
        <v>1</v>
      </c>
      <c r="U591" t="s">
        <v>38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  <c r="AG591" t="s">
        <v>67</v>
      </c>
      <c r="AH591" t="s">
        <v>71</v>
      </c>
      <c r="AI591">
        <v>1</v>
      </c>
      <c r="AJ591" t="s">
        <v>65</v>
      </c>
      <c r="AK591" t="s">
        <v>48</v>
      </c>
      <c r="AL591" t="s">
        <v>73</v>
      </c>
      <c r="AM591" t="s">
        <v>61</v>
      </c>
      <c r="AN591">
        <f t="shared" si="9"/>
        <v>6</v>
      </c>
    </row>
    <row r="592" spans="1:40">
      <c r="A592">
        <v>33</v>
      </c>
      <c r="B592" t="s">
        <v>51</v>
      </c>
      <c r="C592" t="s">
        <v>39</v>
      </c>
      <c r="D592">
        <v>213</v>
      </c>
      <c r="E592" t="s">
        <v>53</v>
      </c>
      <c r="F592">
        <v>7</v>
      </c>
      <c r="G592">
        <v>3</v>
      </c>
      <c r="H592" t="s">
        <v>69</v>
      </c>
      <c r="I592">
        <v>817</v>
      </c>
      <c r="J592">
        <v>3</v>
      </c>
      <c r="K592" t="s">
        <v>54</v>
      </c>
      <c r="L592">
        <v>49</v>
      </c>
      <c r="M592">
        <v>3</v>
      </c>
      <c r="N592">
        <v>3</v>
      </c>
      <c r="O592" t="s">
        <v>83</v>
      </c>
      <c r="P592">
        <v>3</v>
      </c>
      <c r="Q592" t="s">
        <v>56</v>
      </c>
      <c r="R592">
        <v>11691</v>
      </c>
      <c r="S592">
        <v>25995</v>
      </c>
      <c r="T592">
        <v>0</v>
      </c>
      <c r="U592" t="s">
        <v>51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  <c r="AG592" t="s">
        <v>67</v>
      </c>
      <c r="AH592" t="s">
        <v>46</v>
      </c>
      <c r="AI592">
        <v>0</v>
      </c>
      <c r="AJ592" t="s">
        <v>80</v>
      </c>
      <c r="AK592" t="s">
        <v>72</v>
      </c>
      <c r="AL592" t="s">
        <v>66</v>
      </c>
      <c r="AM592" t="s">
        <v>85</v>
      </c>
      <c r="AN592">
        <f t="shared" si="9"/>
        <v>1</v>
      </c>
    </row>
    <row r="593" spans="1:40">
      <c r="A593">
        <v>33</v>
      </c>
      <c r="B593" t="s">
        <v>38</v>
      </c>
      <c r="C593" t="s">
        <v>39</v>
      </c>
      <c r="D593">
        <v>118</v>
      </c>
      <c r="E593" t="s">
        <v>40</v>
      </c>
      <c r="F593">
        <v>16</v>
      </c>
      <c r="G593">
        <v>3</v>
      </c>
      <c r="H593" t="s">
        <v>84</v>
      </c>
      <c r="I593">
        <v>819</v>
      </c>
      <c r="J593">
        <v>1</v>
      </c>
      <c r="K593" t="s">
        <v>42</v>
      </c>
      <c r="L593">
        <v>69</v>
      </c>
      <c r="M593">
        <v>3</v>
      </c>
      <c r="N593">
        <v>2</v>
      </c>
      <c r="O593" t="s">
        <v>43</v>
      </c>
      <c r="P593">
        <v>1</v>
      </c>
      <c r="Q593" t="s">
        <v>44</v>
      </c>
      <c r="R593">
        <v>5324</v>
      </c>
      <c r="S593">
        <v>26507</v>
      </c>
      <c r="T593">
        <v>5</v>
      </c>
      <c r="U593" t="s">
        <v>51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  <c r="AG593" t="s">
        <v>67</v>
      </c>
      <c r="AH593" t="s">
        <v>46</v>
      </c>
      <c r="AI593">
        <v>1</v>
      </c>
      <c r="AJ593" t="s">
        <v>65</v>
      </c>
      <c r="AK593" t="s">
        <v>72</v>
      </c>
      <c r="AL593" t="s">
        <v>73</v>
      </c>
      <c r="AM593" t="s">
        <v>61</v>
      </c>
      <c r="AN593">
        <f t="shared" si="9"/>
        <v>6</v>
      </c>
    </row>
    <row r="594" spans="1:40">
      <c r="A594">
        <v>47</v>
      </c>
      <c r="B594" t="s">
        <v>51</v>
      </c>
      <c r="C594" t="s">
        <v>39</v>
      </c>
      <c r="D594">
        <v>202</v>
      </c>
      <c r="E594" t="s">
        <v>53</v>
      </c>
      <c r="F594">
        <v>2</v>
      </c>
      <c r="G594">
        <v>2</v>
      </c>
      <c r="H594" t="s">
        <v>62</v>
      </c>
      <c r="I594">
        <v>820</v>
      </c>
      <c r="J594">
        <v>3</v>
      </c>
      <c r="K594" t="s">
        <v>42</v>
      </c>
      <c r="L594">
        <v>33</v>
      </c>
      <c r="M594">
        <v>3</v>
      </c>
      <c r="N594">
        <v>4</v>
      </c>
      <c r="O594" t="s">
        <v>79</v>
      </c>
      <c r="P594">
        <v>4</v>
      </c>
      <c r="Q594" t="s">
        <v>56</v>
      </c>
      <c r="R594">
        <v>16752</v>
      </c>
      <c r="S594">
        <v>12982</v>
      </c>
      <c r="T594">
        <v>1</v>
      </c>
      <c r="U594" t="s">
        <v>38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  <c r="AG594" t="s">
        <v>57</v>
      </c>
      <c r="AH594" t="s">
        <v>46</v>
      </c>
      <c r="AI594">
        <v>0</v>
      </c>
      <c r="AJ594" t="s">
        <v>47</v>
      </c>
      <c r="AK594" t="s">
        <v>48</v>
      </c>
      <c r="AL594" t="s">
        <v>49</v>
      </c>
      <c r="AM594" t="s">
        <v>70</v>
      </c>
      <c r="AN594">
        <f t="shared" si="9"/>
        <v>2</v>
      </c>
    </row>
    <row r="595" spans="1:40">
      <c r="A595">
        <v>36</v>
      </c>
      <c r="B595" t="s">
        <v>51</v>
      </c>
      <c r="C595" t="s">
        <v>39</v>
      </c>
      <c r="D595">
        <v>676</v>
      </c>
      <c r="E595" t="s">
        <v>53</v>
      </c>
      <c r="F595">
        <v>1</v>
      </c>
      <c r="G595">
        <v>3</v>
      </c>
      <c r="H595" t="s">
        <v>62</v>
      </c>
      <c r="I595">
        <v>823</v>
      </c>
      <c r="J595">
        <v>3</v>
      </c>
      <c r="K595" t="s">
        <v>42</v>
      </c>
      <c r="L595">
        <v>35</v>
      </c>
      <c r="M595">
        <v>3</v>
      </c>
      <c r="N595">
        <v>2</v>
      </c>
      <c r="O595" t="s">
        <v>75</v>
      </c>
      <c r="P595">
        <v>2</v>
      </c>
      <c r="Q595" t="s">
        <v>56</v>
      </c>
      <c r="R595">
        <v>5228</v>
      </c>
      <c r="S595">
        <v>23361</v>
      </c>
      <c r="T595">
        <v>0</v>
      </c>
      <c r="U595" t="s">
        <v>51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  <c r="AG595" t="s">
        <v>45</v>
      </c>
      <c r="AH595" t="s">
        <v>46</v>
      </c>
      <c r="AI595">
        <v>0</v>
      </c>
      <c r="AJ595" t="s">
        <v>58</v>
      </c>
      <c r="AK595" t="s">
        <v>72</v>
      </c>
      <c r="AL595" t="s">
        <v>60</v>
      </c>
      <c r="AM595" t="s">
        <v>61</v>
      </c>
      <c r="AN595">
        <f t="shared" si="9"/>
        <v>3</v>
      </c>
    </row>
    <row r="596" spans="1:40">
      <c r="A596">
        <v>29</v>
      </c>
      <c r="B596" t="s">
        <v>51</v>
      </c>
      <c r="C596" t="s">
        <v>39</v>
      </c>
      <c r="D596">
        <v>1252</v>
      </c>
      <c r="E596" t="s">
        <v>53</v>
      </c>
      <c r="F596">
        <v>23</v>
      </c>
      <c r="G596">
        <v>2</v>
      </c>
      <c r="H596" t="s">
        <v>41</v>
      </c>
      <c r="I596">
        <v>824</v>
      </c>
      <c r="J596">
        <v>3</v>
      </c>
      <c r="K596" t="s">
        <v>54</v>
      </c>
      <c r="L596">
        <v>81</v>
      </c>
      <c r="M596">
        <v>4</v>
      </c>
      <c r="N596">
        <v>1</v>
      </c>
      <c r="O596" t="s">
        <v>55</v>
      </c>
      <c r="P596">
        <v>3</v>
      </c>
      <c r="Q596" t="s">
        <v>56</v>
      </c>
      <c r="R596">
        <v>2700</v>
      </c>
      <c r="S596">
        <v>23779</v>
      </c>
      <c r="T596">
        <v>1</v>
      </c>
      <c r="U596" t="s">
        <v>51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  <c r="AG596" t="s">
        <v>67</v>
      </c>
      <c r="AH596" t="s">
        <v>46</v>
      </c>
      <c r="AI596">
        <v>0</v>
      </c>
      <c r="AJ596" t="s">
        <v>58</v>
      </c>
      <c r="AK596" t="s">
        <v>48</v>
      </c>
      <c r="AL596" t="s">
        <v>66</v>
      </c>
      <c r="AM596" t="s">
        <v>61</v>
      </c>
      <c r="AN596">
        <f t="shared" si="9"/>
        <v>0</v>
      </c>
    </row>
    <row r="597" spans="1:40">
      <c r="A597">
        <v>58</v>
      </c>
      <c r="B597" t="s">
        <v>38</v>
      </c>
      <c r="C597" t="s">
        <v>39</v>
      </c>
      <c r="D597">
        <v>286</v>
      </c>
      <c r="E597" t="s">
        <v>53</v>
      </c>
      <c r="F597">
        <v>2</v>
      </c>
      <c r="G597">
        <v>4</v>
      </c>
      <c r="H597" t="s">
        <v>41</v>
      </c>
      <c r="I597">
        <v>825</v>
      </c>
      <c r="J597">
        <v>4</v>
      </c>
      <c r="K597" t="s">
        <v>54</v>
      </c>
      <c r="L597">
        <v>31</v>
      </c>
      <c r="M597">
        <v>3</v>
      </c>
      <c r="N597">
        <v>5</v>
      </c>
      <c r="O597" t="s">
        <v>83</v>
      </c>
      <c r="P597">
        <v>2</v>
      </c>
      <c r="Q597" t="s">
        <v>44</v>
      </c>
      <c r="R597">
        <v>19246</v>
      </c>
      <c r="S597">
        <v>25761</v>
      </c>
      <c r="T597">
        <v>7</v>
      </c>
      <c r="U597" t="s">
        <v>38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  <c r="AG597" t="s">
        <v>57</v>
      </c>
      <c r="AH597" t="s">
        <v>46</v>
      </c>
      <c r="AI597">
        <v>1</v>
      </c>
      <c r="AJ597" t="s">
        <v>80</v>
      </c>
      <c r="AK597" t="s">
        <v>68</v>
      </c>
      <c r="AL597" t="s">
        <v>60</v>
      </c>
      <c r="AM597" t="s">
        <v>61</v>
      </c>
      <c r="AN597">
        <f t="shared" si="9"/>
        <v>16</v>
      </c>
    </row>
    <row r="598" spans="1:40">
      <c r="A598">
        <v>35</v>
      </c>
      <c r="B598" t="s">
        <v>51</v>
      </c>
      <c r="C598" t="s">
        <v>39</v>
      </c>
      <c r="D598">
        <v>1258</v>
      </c>
      <c r="E598" t="s">
        <v>53</v>
      </c>
      <c r="F598">
        <v>1</v>
      </c>
      <c r="G598">
        <v>4</v>
      </c>
      <c r="H598" t="s">
        <v>41</v>
      </c>
      <c r="I598">
        <v>826</v>
      </c>
      <c r="J598">
        <v>4</v>
      </c>
      <c r="K598" t="s">
        <v>42</v>
      </c>
      <c r="L598">
        <v>40</v>
      </c>
      <c r="M598">
        <v>4</v>
      </c>
      <c r="N598">
        <v>1</v>
      </c>
      <c r="O598" t="s">
        <v>55</v>
      </c>
      <c r="P598">
        <v>3</v>
      </c>
      <c r="Q598" t="s">
        <v>44</v>
      </c>
      <c r="R598">
        <v>2506</v>
      </c>
      <c r="S598">
        <v>13301</v>
      </c>
      <c r="T598">
        <v>3</v>
      </c>
      <c r="U598" t="s">
        <v>51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  <c r="AG598" t="s">
        <v>67</v>
      </c>
      <c r="AH598" t="s">
        <v>46</v>
      </c>
      <c r="AI598">
        <v>0</v>
      </c>
      <c r="AJ598" t="s">
        <v>65</v>
      </c>
      <c r="AK598" t="s">
        <v>68</v>
      </c>
      <c r="AL598" t="s">
        <v>66</v>
      </c>
      <c r="AM598" t="s">
        <v>61</v>
      </c>
      <c r="AN598">
        <f t="shared" si="9"/>
        <v>2</v>
      </c>
    </row>
    <row r="599" spans="1:40">
      <c r="A599">
        <v>42</v>
      </c>
      <c r="B599" t="s">
        <v>51</v>
      </c>
      <c r="C599" t="s">
        <v>39</v>
      </c>
      <c r="D599">
        <v>932</v>
      </c>
      <c r="E599" t="s">
        <v>53</v>
      </c>
      <c r="F599">
        <v>1</v>
      </c>
      <c r="G599">
        <v>2</v>
      </c>
      <c r="H599" t="s">
        <v>41</v>
      </c>
      <c r="I599">
        <v>827</v>
      </c>
      <c r="J599">
        <v>4</v>
      </c>
      <c r="K599" t="s">
        <v>42</v>
      </c>
      <c r="L599">
        <v>43</v>
      </c>
      <c r="M599">
        <v>2</v>
      </c>
      <c r="N599">
        <v>2</v>
      </c>
      <c r="O599" t="s">
        <v>75</v>
      </c>
      <c r="P599">
        <v>4</v>
      </c>
      <c r="Q599" t="s">
        <v>56</v>
      </c>
      <c r="R599">
        <v>6062</v>
      </c>
      <c r="S599">
        <v>4051</v>
      </c>
      <c r="T599">
        <v>9</v>
      </c>
      <c r="U599" t="s">
        <v>38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  <c r="AG599" t="s">
        <v>45</v>
      </c>
      <c r="AH599" t="s">
        <v>81</v>
      </c>
      <c r="AI599">
        <v>0</v>
      </c>
      <c r="AJ599" t="s">
        <v>65</v>
      </c>
      <c r="AK599" t="s">
        <v>48</v>
      </c>
      <c r="AL599" t="s">
        <v>49</v>
      </c>
      <c r="AM599" t="s">
        <v>61</v>
      </c>
      <c r="AN599">
        <f t="shared" si="9"/>
        <v>-3</v>
      </c>
    </row>
    <row r="600" spans="1:40">
      <c r="A600">
        <v>28</v>
      </c>
      <c r="B600" t="s">
        <v>38</v>
      </c>
      <c r="C600" t="s">
        <v>39</v>
      </c>
      <c r="D600">
        <v>890</v>
      </c>
      <c r="E600" t="s">
        <v>53</v>
      </c>
      <c r="F600">
        <v>2</v>
      </c>
      <c r="G600">
        <v>4</v>
      </c>
      <c r="H600" t="s">
        <v>69</v>
      </c>
      <c r="I600">
        <v>828</v>
      </c>
      <c r="J600">
        <v>3</v>
      </c>
      <c r="K600" t="s">
        <v>54</v>
      </c>
      <c r="L600">
        <v>46</v>
      </c>
      <c r="M600">
        <v>3</v>
      </c>
      <c r="N600">
        <v>1</v>
      </c>
      <c r="O600" t="s">
        <v>55</v>
      </c>
      <c r="P600">
        <v>3</v>
      </c>
      <c r="Q600" t="s">
        <v>44</v>
      </c>
      <c r="R600">
        <v>4382</v>
      </c>
      <c r="S600">
        <v>16374</v>
      </c>
      <c r="T600">
        <v>6</v>
      </c>
      <c r="U600" t="s">
        <v>51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  <c r="AG600" t="s">
        <v>67</v>
      </c>
      <c r="AH600" t="s">
        <v>46</v>
      </c>
      <c r="AI600">
        <v>1</v>
      </c>
      <c r="AJ600" t="s">
        <v>47</v>
      </c>
      <c r="AK600" t="s">
        <v>68</v>
      </c>
      <c r="AL600" t="s">
        <v>66</v>
      </c>
      <c r="AM600" t="s">
        <v>70</v>
      </c>
      <c r="AN600">
        <f t="shared" si="9"/>
        <v>4</v>
      </c>
    </row>
    <row r="601" spans="1:40">
      <c r="A601">
        <v>36</v>
      </c>
      <c r="B601" t="s">
        <v>51</v>
      </c>
      <c r="C601" t="s">
        <v>39</v>
      </c>
      <c r="D601">
        <v>1041</v>
      </c>
      <c r="E601" t="s">
        <v>88</v>
      </c>
      <c r="F601">
        <v>13</v>
      </c>
      <c r="G601">
        <v>3</v>
      </c>
      <c r="H601" t="s">
        <v>88</v>
      </c>
      <c r="I601">
        <v>829</v>
      </c>
      <c r="J601">
        <v>3</v>
      </c>
      <c r="K601" t="s">
        <v>54</v>
      </c>
      <c r="L601">
        <v>36</v>
      </c>
      <c r="M601">
        <v>3</v>
      </c>
      <c r="N601">
        <v>1</v>
      </c>
      <c r="O601" t="s">
        <v>88</v>
      </c>
      <c r="P601">
        <v>2</v>
      </c>
      <c r="Q601" t="s">
        <v>56</v>
      </c>
      <c r="R601">
        <v>2143</v>
      </c>
      <c r="S601">
        <v>25527</v>
      </c>
      <c r="T601">
        <v>4</v>
      </c>
      <c r="U601" t="s">
        <v>51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  <c r="AG601" t="s">
        <v>45</v>
      </c>
      <c r="AH601" t="s">
        <v>46</v>
      </c>
      <c r="AI601">
        <v>0</v>
      </c>
      <c r="AJ601" t="s">
        <v>65</v>
      </c>
      <c r="AK601" t="s">
        <v>72</v>
      </c>
      <c r="AL601" t="s">
        <v>60</v>
      </c>
      <c r="AM601" t="s">
        <v>61</v>
      </c>
      <c r="AN601">
        <f t="shared" si="9"/>
        <v>3</v>
      </c>
    </row>
    <row r="602" spans="1:40">
      <c r="A602">
        <v>32</v>
      </c>
      <c r="B602" t="s">
        <v>51</v>
      </c>
      <c r="C602" t="s">
        <v>39</v>
      </c>
      <c r="D602">
        <v>859</v>
      </c>
      <c r="E602" t="s">
        <v>53</v>
      </c>
      <c r="F602">
        <v>4</v>
      </c>
      <c r="G602">
        <v>3</v>
      </c>
      <c r="H602" t="s">
        <v>41</v>
      </c>
      <c r="I602">
        <v>830</v>
      </c>
      <c r="J602">
        <v>3</v>
      </c>
      <c r="K602" t="s">
        <v>42</v>
      </c>
      <c r="L602">
        <v>98</v>
      </c>
      <c r="M602">
        <v>2</v>
      </c>
      <c r="N602">
        <v>2</v>
      </c>
      <c r="O602" t="s">
        <v>75</v>
      </c>
      <c r="P602">
        <v>3</v>
      </c>
      <c r="Q602" t="s">
        <v>56</v>
      </c>
      <c r="R602">
        <v>6162</v>
      </c>
      <c r="S602">
        <v>19124</v>
      </c>
      <c r="T602">
        <v>1</v>
      </c>
      <c r="U602" t="s">
        <v>51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  <c r="AG602" t="s">
        <v>67</v>
      </c>
      <c r="AH602" t="s">
        <v>46</v>
      </c>
      <c r="AI602">
        <v>0</v>
      </c>
      <c r="AJ602" t="s">
        <v>80</v>
      </c>
      <c r="AK602" t="s">
        <v>72</v>
      </c>
      <c r="AL602" t="s">
        <v>66</v>
      </c>
      <c r="AM602" t="s">
        <v>61</v>
      </c>
      <c r="AN602">
        <f t="shared" si="9"/>
        <v>6</v>
      </c>
    </row>
    <row r="603" spans="1:40">
      <c r="A603">
        <v>40</v>
      </c>
      <c r="B603" t="s">
        <v>51</v>
      </c>
      <c r="C603" t="s">
        <v>52</v>
      </c>
      <c r="D603">
        <v>720</v>
      </c>
      <c r="E603" t="s">
        <v>53</v>
      </c>
      <c r="F603">
        <v>16</v>
      </c>
      <c r="G603">
        <v>4</v>
      </c>
      <c r="H603" t="s">
        <v>69</v>
      </c>
      <c r="I603">
        <v>832</v>
      </c>
      <c r="J603">
        <v>1</v>
      </c>
      <c r="K603" t="s">
        <v>54</v>
      </c>
      <c r="L603">
        <v>51</v>
      </c>
      <c r="M603">
        <v>2</v>
      </c>
      <c r="N603">
        <v>2</v>
      </c>
      <c r="O603" t="s">
        <v>63</v>
      </c>
      <c r="P603">
        <v>3</v>
      </c>
      <c r="Q603" t="s">
        <v>44</v>
      </c>
      <c r="R603">
        <v>5094</v>
      </c>
      <c r="S603">
        <v>11983</v>
      </c>
      <c r="T603">
        <v>6</v>
      </c>
      <c r="U603" t="s">
        <v>51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  <c r="AG603" t="s">
        <v>45</v>
      </c>
      <c r="AH603" t="s">
        <v>46</v>
      </c>
      <c r="AI603">
        <v>0</v>
      </c>
      <c r="AJ603" t="s">
        <v>65</v>
      </c>
      <c r="AK603" t="s">
        <v>68</v>
      </c>
      <c r="AL603" t="s">
        <v>66</v>
      </c>
      <c r="AM603" t="s">
        <v>61</v>
      </c>
      <c r="AN603">
        <f t="shared" si="9"/>
        <v>0</v>
      </c>
    </row>
    <row r="604" spans="1:40">
      <c r="A604">
        <v>30</v>
      </c>
      <c r="B604" t="s">
        <v>51</v>
      </c>
      <c r="C604" t="s">
        <v>39</v>
      </c>
      <c r="D604">
        <v>946</v>
      </c>
      <c r="E604" t="s">
        <v>53</v>
      </c>
      <c r="F604">
        <v>2</v>
      </c>
      <c r="G604">
        <v>3</v>
      </c>
      <c r="H604" t="s">
        <v>69</v>
      </c>
      <c r="I604">
        <v>833</v>
      </c>
      <c r="J604">
        <v>3</v>
      </c>
      <c r="K604" t="s">
        <v>42</v>
      </c>
      <c r="L604">
        <v>52</v>
      </c>
      <c r="M604">
        <v>2</v>
      </c>
      <c r="N604">
        <v>2</v>
      </c>
      <c r="O604" t="s">
        <v>75</v>
      </c>
      <c r="P604">
        <v>4</v>
      </c>
      <c r="Q604" t="s">
        <v>44</v>
      </c>
      <c r="R604">
        <v>6877</v>
      </c>
      <c r="S604">
        <v>20234</v>
      </c>
      <c r="T604">
        <v>5</v>
      </c>
      <c r="U604" t="s">
        <v>38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  <c r="AG604" t="s">
        <v>67</v>
      </c>
      <c r="AH604" t="s">
        <v>46</v>
      </c>
      <c r="AI604">
        <v>0</v>
      </c>
      <c r="AJ604" t="s">
        <v>47</v>
      </c>
      <c r="AK604" t="s">
        <v>72</v>
      </c>
      <c r="AL604" t="s">
        <v>49</v>
      </c>
      <c r="AM604" t="s">
        <v>70</v>
      </c>
      <c r="AN604">
        <f t="shared" si="9"/>
        <v>-1</v>
      </c>
    </row>
    <row r="605" spans="1:40">
      <c r="A605">
        <v>45</v>
      </c>
      <c r="B605" t="s">
        <v>51</v>
      </c>
      <c r="C605" t="s">
        <v>39</v>
      </c>
      <c r="D605">
        <v>252</v>
      </c>
      <c r="E605" t="s">
        <v>53</v>
      </c>
      <c r="F605">
        <v>2</v>
      </c>
      <c r="G605">
        <v>3</v>
      </c>
      <c r="H605" t="s">
        <v>41</v>
      </c>
      <c r="I605">
        <v>834</v>
      </c>
      <c r="J605">
        <v>2</v>
      </c>
      <c r="K605" t="s">
        <v>42</v>
      </c>
      <c r="L605">
        <v>95</v>
      </c>
      <c r="M605">
        <v>2</v>
      </c>
      <c r="N605">
        <v>1</v>
      </c>
      <c r="O605" t="s">
        <v>55</v>
      </c>
      <c r="P605">
        <v>3</v>
      </c>
      <c r="Q605" t="s">
        <v>44</v>
      </c>
      <c r="R605">
        <v>2274</v>
      </c>
      <c r="S605">
        <v>6153</v>
      </c>
      <c r="T605">
        <v>1</v>
      </c>
      <c r="U605" t="s">
        <v>51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  <c r="AG605" t="s">
        <v>45</v>
      </c>
      <c r="AH605" t="s">
        <v>71</v>
      </c>
      <c r="AI605">
        <v>0</v>
      </c>
      <c r="AJ605" t="s">
        <v>65</v>
      </c>
      <c r="AK605" t="s">
        <v>72</v>
      </c>
      <c r="AL605" t="s">
        <v>66</v>
      </c>
      <c r="AM605" t="s">
        <v>61</v>
      </c>
      <c r="AN605">
        <f t="shared" si="9"/>
        <v>0</v>
      </c>
    </row>
    <row r="606" spans="1:40">
      <c r="A606">
        <v>42</v>
      </c>
      <c r="B606" t="s">
        <v>51</v>
      </c>
      <c r="C606" t="s">
        <v>39</v>
      </c>
      <c r="D606">
        <v>933</v>
      </c>
      <c r="E606" t="s">
        <v>53</v>
      </c>
      <c r="F606">
        <v>29</v>
      </c>
      <c r="G606">
        <v>3</v>
      </c>
      <c r="H606" t="s">
        <v>41</v>
      </c>
      <c r="I606">
        <v>836</v>
      </c>
      <c r="J606">
        <v>2</v>
      </c>
      <c r="K606" t="s">
        <v>54</v>
      </c>
      <c r="L606">
        <v>98</v>
      </c>
      <c r="M606">
        <v>3</v>
      </c>
      <c r="N606">
        <v>2</v>
      </c>
      <c r="O606" t="s">
        <v>75</v>
      </c>
      <c r="P606">
        <v>2</v>
      </c>
      <c r="Q606" t="s">
        <v>56</v>
      </c>
      <c r="R606">
        <v>4434</v>
      </c>
      <c r="S606">
        <v>11806</v>
      </c>
      <c r="T606">
        <v>1</v>
      </c>
      <c r="U606" t="s">
        <v>51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  <c r="AG606" t="s">
        <v>45</v>
      </c>
      <c r="AH606" t="s">
        <v>46</v>
      </c>
      <c r="AI606">
        <v>0</v>
      </c>
      <c r="AJ606" t="s">
        <v>47</v>
      </c>
      <c r="AK606" t="s">
        <v>72</v>
      </c>
      <c r="AL606" t="s">
        <v>60</v>
      </c>
      <c r="AM606" t="s">
        <v>70</v>
      </c>
      <c r="AN606">
        <f t="shared" si="9"/>
        <v>12</v>
      </c>
    </row>
    <row r="607" spans="1:40">
      <c r="A607">
        <v>38</v>
      </c>
      <c r="B607" t="s">
        <v>51</v>
      </c>
      <c r="C607" t="s">
        <v>52</v>
      </c>
      <c r="D607">
        <v>471</v>
      </c>
      <c r="E607" t="s">
        <v>53</v>
      </c>
      <c r="F607">
        <v>12</v>
      </c>
      <c r="G607">
        <v>3</v>
      </c>
      <c r="H607" t="s">
        <v>41</v>
      </c>
      <c r="I607">
        <v>837</v>
      </c>
      <c r="J607">
        <v>1</v>
      </c>
      <c r="K607" t="s">
        <v>54</v>
      </c>
      <c r="L607">
        <v>45</v>
      </c>
      <c r="M607">
        <v>2</v>
      </c>
      <c r="N607">
        <v>2</v>
      </c>
      <c r="O607" t="s">
        <v>76</v>
      </c>
      <c r="P607">
        <v>1</v>
      </c>
      <c r="Q607" t="s">
        <v>74</v>
      </c>
      <c r="R607">
        <v>6288</v>
      </c>
      <c r="S607">
        <v>4284</v>
      </c>
      <c r="T607">
        <v>2</v>
      </c>
      <c r="U607" t="s">
        <v>51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  <c r="AG607" t="s">
        <v>45</v>
      </c>
      <c r="AH607" t="s">
        <v>81</v>
      </c>
      <c r="AI607">
        <v>0</v>
      </c>
      <c r="AJ607" t="s">
        <v>47</v>
      </c>
      <c r="AK607" t="s">
        <v>72</v>
      </c>
      <c r="AL607" t="s">
        <v>73</v>
      </c>
      <c r="AM607" t="s">
        <v>70</v>
      </c>
      <c r="AN607">
        <f t="shared" si="9"/>
        <v>9</v>
      </c>
    </row>
    <row r="608" spans="1:40">
      <c r="A608">
        <v>34</v>
      </c>
      <c r="B608" t="s">
        <v>51</v>
      </c>
      <c r="C608" t="s">
        <v>52</v>
      </c>
      <c r="D608">
        <v>702</v>
      </c>
      <c r="E608" t="s">
        <v>53</v>
      </c>
      <c r="F608">
        <v>16</v>
      </c>
      <c r="G608">
        <v>4</v>
      </c>
      <c r="H608" t="s">
        <v>41</v>
      </c>
      <c r="I608">
        <v>838</v>
      </c>
      <c r="J608">
        <v>3</v>
      </c>
      <c r="K608" t="s">
        <v>42</v>
      </c>
      <c r="L608">
        <v>100</v>
      </c>
      <c r="M608">
        <v>2</v>
      </c>
      <c r="N608">
        <v>1</v>
      </c>
      <c r="O608" t="s">
        <v>55</v>
      </c>
      <c r="P608">
        <v>4</v>
      </c>
      <c r="Q608" t="s">
        <v>44</v>
      </c>
      <c r="R608">
        <v>2553</v>
      </c>
      <c r="S608">
        <v>8306</v>
      </c>
      <c r="T608">
        <v>1</v>
      </c>
      <c r="U608" t="s">
        <v>51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  <c r="AG608" t="s">
        <v>67</v>
      </c>
      <c r="AH608" t="s">
        <v>71</v>
      </c>
      <c r="AI608">
        <v>0</v>
      </c>
      <c r="AJ608" t="s">
        <v>65</v>
      </c>
      <c r="AK608" t="s">
        <v>68</v>
      </c>
      <c r="AL608" t="s">
        <v>49</v>
      </c>
      <c r="AM608" t="s">
        <v>61</v>
      </c>
      <c r="AN608">
        <f t="shared" si="9"/>
        <v>-2</v>
      </c>
    </row>
    <row r="609" spans="1:40">
      <c r="A609">
        <v>49</v>
      </c>
      <c r="B609" t="s">
        <v>38</v>
      </c>
      <c r="C609" t="s">
        <v>39</v>
      </c>
      <c r="D609">
        <v>1184</v>
      </c>
      <c r="E609" t="s">
        <v>40</v>
      </c>
      <c r="F609">
        <v>11</v>
      </c>
      <c r="G609">
        <v>3</v>
      </c>
      <c r="H609" t="s">
        <v>84</v>
      </c>
      <c r="I609">
        <v>840</v>
      </c>
      <c r="J609">
        <v>3</v>
      </c>
      <c r="K609" t="s">
        <v>42</v>
      </c>
      <c r="L609">
        <v>43</v>
      </c>
      <c r="M609">
        <v>3</v>
      </c>
      <c r="N609">
        <v>3</v>
      </c>
      <c r="O609" t="s">
        <v>43</v>
      </c>
      <c r="P609">
        <v>4</v>
      </c>
      <c r="Q609" t="s">
        <v>56</v>
      </c>
      <c r="R609">
        <v>7654</v>
      </c>
      <c r="S609">
        <v>5860</v>
      </c>
      <c r="T609">
        <v>1</v>
      </c>
      <c r="U609" t="s">
        <v>51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  <c r="AG609" t="s">
        <v>57</v>
      </c>
      <c r="AH609" t="s">
        <v>81</v>
      </c>
      <c r="AI609">
        <v>1</v>
      </c>
      <c r="AJ609" t="s">
        <v>58</v>
      </c>
      <c r="AK609" t="s">
        <v>72</v>
      </c>
      <c r="AL609" t="s">
        <v>49</v>
      </c>
      <c r="AM609" t="s">
        <v>85</v>
      </c>
      <c r="AN609">
        <f t="shared" si="9"/>
        <v>2</v>
      </c>
    </row>
    <row r="610" spans="1:40">
      <c r="A610">
        <v>55</v>
      </c>
      <c r="B610" t="s">
        <v>38</v>
      </c>
      <c r="C610" t="s">
        <v>39</v>
      </c>
      <c r="D610">
        <v>436</v>
      </c>
      <c r="E610" t="s">
        <v>40</v>
      </c>
      <c r="F610">
        <v>2</v>
      </c>
      <c r="G610">
        <v>1</v>
      </c>
      <c r="H610" t="s">
        <v>69</v>
      </c>
      <c r="I610">
        <v>842</v>
      </c>
      <c r="J610">
        <v>3</v>
      </c>
      <c r="K610" t="s">
        <v>54</v>
      </c>
      <c r="L610">
        <v>37</v>
      </c>
      <c r="M610">
        <v>3</v>
      </c>
      <c r="N610">
        <v>2</v>
      </c>
      <c r="O610" t="s">
        <v>43</v>
      </c>
      <c r="P610">
        <v>4</v>
      </c>
      <c r="Q610" t="s">
        <v>44</v>
      </c>
      <c r="R610">
        <v>5160</v>
      </c>
      <c r="S610">
        <v>21519</v>
      </c>
      <c r="T610">
        <v>4</v>
      </c>
      <c r="U610" t="s">
        <v>51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  <c r="AG610" t="s">
        <v>57</v>
      </c>
      <c r="AH610" t="s">
        <v>46</v>
      </c>
      <c r="AI610">
        <v>1</v>
      </c>
      <c r="AJ610" t="s">
        <v>47</v>
      </c>
      <c r="AK610" t="s">
        <v>59</v>
      </c>
      <c r="AL610" t="s">
        <v>49</v>
      </c>
      <c r="AM610" t="s">
        <v>70</v>
      </c>
      <c r="AN610">
        <f t="shared" si="9"/>
        <v>6</v>
      </c>
    </row>
    <row r="611" spans="1:40">
      <c r="A611">
        <v>43</v>
      </c>
      <c r="B611" t="s">
        <v>51</v>
      </c>
      <c r="C611" t="s">
        <v>39</v>
      </c>
      <c r="D611">
        <v>589</v>
      </c>
      <c r="E611" t="s">
        <v>53</v>
      </c>
      <c r="F611">
        <v>14</v>
      </c>
      <c r="G611">
        <v>2</v>
      </c>
      <c r="H611" t="s">
        <v>41</v>
      </c>
      <c r="I611">
        <v>843</v>
      </c>
      <c r="J611">
        <v>2</v>
      </c>
      <c r="K611" t="s">
        <v>54</v>
      </c>
      <c r="L611">
        <v>94</v>
      </c>
      <c r="M611">
        <v>3</v>
      </c>
      <c r="N611">
        <v>4</v>
      </c>
      <c r="O611" t="s">
        <v>83</v>
      </c>
      <c r="P611">
        <v>1</v>
      </c>
      <c r="Q611" t="s">
        <v>56</v>
      </c>
      <c r="R611">
        <v>17159</v>
      </c>
      <c r="S611">
        <v>5200</v>
      </c>
      <c r="T611">
        <v>6</v>
      </c>
      <c r="U611" t="s">
        <v>51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  <c r="AG611" t="s">
        <v>45</v>
      </c>
      <c r="AH611" t="s">
        <v>81</v>
      </c>
      <c r="AI611">
        <v>0</v>
      </c>
      <c r="AJ611" t="s">
        <v>65</v>
      </c>
      <c r="AK611" t="s">
        <v>48</v>
      </c>
      <c r="AL611" t="s">
        <v>73</v>
      </c>
      <c r="AM611" t="s">
        <v>61</v>
      </c>
      <c r="AN611">
        <f t="shared" si="9"/>
        <v>7</v>
      </c>
    </row>
    <row r="612" spans="1:40">
      <c r="A612">
        <v>27</v>
      </c>
      <c r="B612" t="s">
        <v>51</v>
      </c>
      <c r="C612" t="s">
        <v>39</v>
      </c>
      <c r="D612">
        <v>269</v>
      </c>
      <c r="E612" t="s">
        <v>53</v>
      </c>
      <c r="F612">
        <v>5</v>
      </c>
      <c r="G612">
        <v>1</v>
      </c>
      <c r="H612" t="s">
        <v>86</v>
      </c>
      <c r="I612">
        <v>844</v>
      </c>
      <c r="J612">
        <v>3</v>
      </c>
      <c r="K612" t="s">
        <v>54</v>
      </c>
      <c r="L612">
        <v>42</v>
      </c>
      <c r="M612">
        <v>2</v>
      </c>
      <c r="N612">
        <v>3</v>
      </c>
      <c r="O612" t="s">
        <v>83</v>
      </c>
      <c r="P612">
        <v>4</v>
      </c>
      <c r="Q612" t="s">
        <v>74</v>
      </c>
      <c r="R612">
        <v>12808</v>
      </c>
      <c r="S612">
        <v>8842</v>
      </c>
      <c r="T612">
        <v>1</v>
      </c>
      <c r="U612" t="s">
        <v>38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  <c r="AG612" t="s">
        <v>67</v>
      </c>
      <c r="AH612" t="s">
        <v>71</v>
      </c>
      <c r="AI612">
        <v>0</v>
      </c>
      <c r="AJ612" t="s">
        <v>58</v>
      </c>
      <c r="AK612" t="s">
        <v>59</v>
      </c>
      <c r="AL612" t="s">
        <v>49</v>
      </c>
      <c r="AM612" t="s">
        <v>61</v>
      </c>
      <c r="AN612">
        <f t="shared" si="9"/>
        <v>-3</v>
      </c>
    </row>
    <row r="613" spans="1:40">
      <c r="A613">
        <v>35</v>
      </c>
      <c r="B613" t="s">
        <v>51</v>
      </c>
      <c r="C613" t="s">
        <v>39</v>
      </c>
      <c r="D613">
        <v>950</v>
      </c>
      <c r="E613" t="s">
        <v>53</v>
      </c>
      <c r="F613">
        <v>7</v>
      </c>
      <c r="G613">
        <v>3</v>
      </c>
      <c r="H613" t="s">
        <v>62</v>
      </c>
      <c r="I613">
        <v>845</v>
      </c>
      <c r="J613">
        <v>3</v>
      </c>
      <c r="K613" t="s">
        <v>54</v>
      </c>
      <c r="L613">
        <v>59</v>
      </c>
      <c r="M613">
        <v>3</v>
      </c>
      <c r="N613">
        <v>3</v>
      </c>
      <c r="O613" t="s">
        <v>75</v>
      </c>
      <c r="P613">
        <v>3</v>
      </c>
      <c r="Q613" t="s">
        <v>44</v>
      </c>
      <c r="R613">
        <v>10221</v>
      </c>
      <c r="S613">
        <v>18869</v>
      </c>
      <c r="T613">
        <v>3</v>
      </c>
      <c r="U613" t="s">
        <v>51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  <c r="AG613" t="s">
        <v>67</v>
      </c>
      <c r="AH613" t="s">
        <v>46</v>
      </c>
      <c r="AI613">
        <v>0</v>
      </c>
      <c r="AJ613" t="s">
        <v>58</v>
      </c>
      <c r="AK613" t="s">
        <v>72</v>
      </c>
      <c r="AL613" t="s">
        <v>66</v>
      </c>
      <c r="AM613" t="s">
        <v>85</v>
      </c>
      <c r="AN613">
        <f t="shared" si="9"/>
        <v>-1</v>
      </c>
    </row>
    <row r="614" spans="1:40">
      <c r="A614">
        <v>28</v>
      </c>
      <c r="B614" t="s">
        <v>51</v>
      </c>
      <c r="C614" t="s">
        <v>39</v>
      </c>
      <c r="D614">
        <v>760</v>
      </c>
      <c r="E614" t="s">
        <v>40</v>
      </c>
      <c r="F614">
        <v>2</v>
      </c>
      <c r="G614">
        <v>4</v>
      </c>
      <c r="H614" t="s">
        <v>84</v>
      </c>
      <c r="I614">
        <v>846</v>
      </c>
      <c r="J614">
        <v>2</v>
      </c>
      <c r="K614" t="s">
        <v>42</v>
      </c>
      <c r="L614">
        <v>81</v>
      </c>
      <c r="M614">
        <v>3</v>
      </c>
      <c r="N614">
        <v>2</v>
      </c>
      <c r="O614" t="s">
        <v>43</v>
      </c>
      <c r="P614">
        <v>2</v>
      </c>
      <c r="Q614" t="s">
        <v>56</v>
      </c>
      <c r="R614">
        <v>4779</v>
      </c>
      <c r="S614">
        <v>3698</v>
      </c>
      <c r="T614">
        <v>1</v>
      </c>
      <c r="U614" t="s">
        <v>38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  <c r="AG614" t="s">
        <v>67</v>
      </c>
      <c r="AH614" t="s">
        <v>81</v>
      </c>
      <c r="AI614">
        <v>0</v>
      </c>
      <c r="AJ614" t="s">
        <v>58</v>
      </c>
      <c r="AK614" t="s">
        <v>68</v>
      </c>
      <c r="AL614" t="s">
        <v>60</v>
      </c>
      <c r="AM614" t="s">
        <v>61</v>
      </c>
      <c r="AN614">
        <f t="shared" si="9"/>
        <v>10</v>
      </c>
    </row>
    <row r="615" spans="1:40">
      <c r="A615">
        <v>34</v>
      </c>
      <c r="B615" t="s">
        <v>51</v>
      </c>
      <c r="C615" t="s">
        <v>39</v>
      </c>
      <c r="D615">
        <v>829</v>
      </c>
      <c r="E615" t="s">
        <v>88</v>
      </c>
      <c r="F615">
        <v>3</v>
      </c>
      <c r="G615">
        <v>2</v>
      </c>
      <c r="H615" t="s">
        <v>88</v>
      </c>
      <c r="I615">
        <v>847</v>
      </c>
      <c r="J615">
        <v>3</v>
      </c>
      <c r="K615" t="s">
        <v>54</v>
      </c>
      <c r="L615">
        <v>88</v>
      </c>
      <c r="M615">
        <v>3</v>
      </c>
      <c r="N615">
        <v>1</v>
      </c>
      <c r="O615" t="s">
        <v>88</v>
      </c>
      <c r="P615">
        <v>4</v>
      </c>
      <c r="Q615" t="s">
        <v>56</v>
      </c>
      <c r="R615">
        <v>3737</v>
      </c>
      <c r="S615">
        <v>2243</v>
      </c>
      <c r="T615">
        <v>0</v>
      </c>
      <c r="U615" t="s">
        <v>51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  <c r="AG615" t="s">
        <v>67</v>
      </c>
      <c r="AH615" t="s">
        <v>64</v>
      </c>
      <c r="AI615">
        <v>0</v>
      </c>
      <c r="AJ615" t="s">
        <v>47</v>
      </c>
      <c r="AK615" t="s">
        <v>48</v>
      </c>
      <c r="AL615" t="s">
        <v>49</v>
      </c>
      <c r="AM615" t="s">
        <v>50</v>
      </c>
      <c r="AN615">
        <f t="shared" si="9"/>
        <v>1</v>
      </c>
    </row>
    <row r="616" spans="1:40">
      <c r="A616">
        <v>26</v>
      </c>
      <c r="B616" t="s">
        <v>38</v>
      </c>
      <c r="C616" t="s">
        <v>52</v>
      </c>
      <c r="D616">
        <v>887</v>
      </c>
      <c r="E616" t="s">
        <v>53</v>
      </c>
      <c r="F616">
        <v>5</v>
      </c>
      <c r="G616">
        <v>2</v>
      </c>
      <c r="H616" t="s">
        <v>69</v>
      </c>
      <c r="I616">
        <v>848</v>
      </c>
      <c r="J616">
        <v>3</v>
      </c>
      <c r="K616" t="s">
        <v>42</v>
      </c>
      <c r="L616">
        <v>88</v>
      </c>
      <c r="M616">
        <v>2</v>
      </c>
      <c r="N616">
        <v>1</v>
      </c>
      <c r="O616" t="s">
        <v>55</v>
      </c>
      <c r="P616">
        <v>3</v>
      </c>
      <c r="Q616" t="s">
        <v>56</v>
      </c>
      <c r="R616">
        <v>2366</v>
      </c>
      <c r="S616">
        <v>20898</v>
      </c>
      <c r="T616">
        <v>1</v>
      </c>
      <c r="U616" t="s">
        <v>38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  <c r="AG616" t="s">
        <v>67</v>
      </c>
      <c r="AH616" t="s">
        <v>46</v>
      </c>
      <c r="AI616">
        <v>1</v>
      </c>
      <c r="AJ616" t="s">
        <v>58</v>
      </c>
      <c r="AK616" t="s">
        <v>48</v>
      </c>
      <c r="AL616" t="s">
        <v>66</v>
      </c>
      <c r="AM616" t="s">
        <v>61</v>
      </c>
      <c r="AN616">
        <f t="shared" si="9"/>
        <v>1</v>
      </c>
    </row>
    <row r="617" spans="1:40">
      <c r="A617">
        <v>27</v>
      </c>
      <c r="B617" t="s">
        <v>51</v>
      </c>
      <c r="C617" t="s">
        <v>77</v>
      </c>
      <c r="D617">
        <v>443</v>
      </c>
      <c r="E617" t="s">
        <v>53</v>
      </c>
      <c r="F617">
        <v>3</v>
      </c>
      <c r="G617">
        <v>3</v>
      </c>
      <c r="H617" t="s">
        <v>69</v>
      </c>
      <c r="I617">
        <v>850</v>
      </c>
      <c r="J617">
        <v>4</v>
      </c>
      <c r="K617" t="s">
        <v>54</v>
      </c>
      <c r="L617">
        <v>50</v>
      </c>
      <c r="M617">
        <v>3</v>
      </c>
      <c r="N617">
        <v>1</v>
      </c>
      <c r="O617" t="s">
        <v>55</v>
      </c>
      <c r="P617">
        <v>4</v>
      </c>
      <c r="Q617" t="s">
        <v>56</v>
      </c>
      <c r="R617">
        <v>1706</v>
      </c>
      <c r="S617">
        <v>16571</v>
      </c>
      <c r="T617">
        <v>1</v>
      </c>
      <c r="U617" t="s">
        <v>51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  <c r="AG617" t="s">
        <v>67</v>
      </c>
      <c r="AH617" t="s">
        <v>46</v>
      </c>
      <c r="AI617">
        <v>0</v>
      </c>
      <c r="AJ617" t="s">
        <v>47</v>
      </c>
      <c r="AK617" t="s">
        <v>72</v>
      </c>
      <c r="AL617" t="s">
        <v>49</v>
      </c>
      <c r="AM617" t="s">
        <v>70</v>
      </c>
      <c r="AN617">
        <f t="shared" si="9"/>
        <v>-1</v>
      </c>
    </row>
    <row r="618" spans="1:40">
      <c r="A618">
        <v>51</v>
      </c>
      <c r="B618" t="s">
        <v>51</v>
      </c>
      <c r="C618" t="s">
        <v>39</v>
      </c>
      <c r="D618">
        <v>1318</v>
      </c>
      <c r="E618" t="s">
        <v>40</v>
      </c>
      <c r="F618">
        <v>26</v>
      </c>
      <c r="G618">
        <v>4</v>
      </c>
      <c r="H618" t="s">
        <v>84</v>
      </c>
      <c r="I618">
        <v>851</v>
      </c>
      <c r="J618">
        <v>1</v>
      </c>
      <c r="K618" t="s">
        <v>42</v>
      </c>
      <c r="L618">
        <v>66</v>
      </c>
      <c r="M618">
        <v>3</v>
      </c>
      <c r="N618">
        <v>4</v>
      </c>
      <c r="O618" t="s">
        <v>79</v>
      </c>
      <c r="P618">
        <v>3</v>
      </c>
      <c r="Q618" t="s">
        <v>56</v>
      </c>
      <c r="R618">
        <v>16307</v>
      </c>
      <c r="S618">
        <v>5594</v>
      </c>
      <c r="T618">
        <v>2</v>
      </c>
      <c r="U618" t="s">
        <v>51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  <c r="AG618" t="s">
        <v>57</v>
      </c>
      <c r="AH618" t="s">
        <v>81</v>
      </c>
      <c r="AI618">
        <v>0</v>
      </c>
      <c r="AJ618" t="s">
        <v>47</v>
      </c>
      <c r="AK618" t="s">
        <v>68</v>
      </c>
      <c r="AL618" t="s">
        <v>66</v>
      </c>
      <c r="AM618" t="s">
        <v>70</v>
      </c>
      <c r="AN618">
        <f t="shared" si="9"/>
        <v>6</v>
      </c>
    </row>
    <row r="619" spans="1:40">
      <c r="A619">
        <v>44</v>
      </c>
      <c r="B619" t="s">
        <v>51</v>
      </c>
      <c r="C619" t="s">
        <v>39</v>
      </c>
      <c r="D619">
        <v>625</v>
      </c>
      <c r="E619" t="s">
        <v>53</v>
      </c>
      <c r="F619">
        <v>4</v>
      </c>
      <c r="G619">
        <v>3</v>
      </c>
      <c r="H619" t="s">
        <v>69</v>
      </c>
      <c r="I619">
        <v>852</v>
      </c>
      <c r="J619">
        <v>4</v>
      </c>
      <c r="K619" t="s">
        <v>54</v>
      </c>
      <c r="L619">
        <v>50</v>
      </c>
      <c r="M619">
        <v>3</v>
      </c>
      <c r="N619">
        <v>2</v>
      </c>
      <c r="O619" t="s">
        <v>76</v>
      </c>
      <c r="P619">
        <v>2</v>
      </c>
      <c r="Q619" t="s">
        <v>44</v>
      </c>
      <c r="R619">
        <v>5933</v>
      </c>
      <c r="S619">
        <v>5197</v>
      </c>
      <c r="T619">
        <v>9</v>
      </c>
      <c r="U619" t="s">
        <v>51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  <c r="AG619" t="s">
        <v>45</v>
      </c>
      <c r="AH619" t="s">
        <v>81</v>
      </c>
      <c r="AI619">
        <v>0</v>
      </c>
      <c r="AJ619" t="s">
        <v>47</v>
      </c>
      <c r="AK619" t="s">
        <v>72</v>
      </c>
      <c r="AL619" t="s">
        <v>60</v>
      </c>
      <c r="AM619" t="s">
        <v>70</v>
      </c>
      <c r="AN619">
        <f t="shared" si="9"/>
        <v>7</v>
      </c>
    </row>
    <row r="620" spans="1:40">
      <c r="A620">
        <v>25</v>
      </c>
      <c r="B620" t="s">
        <v>51</v>
      </c>
      <c r="C620" t="s">
        <v>39</v>
      </c>
      <c r="D620">
        <v>180</v>
      </c>
      <c r="E620" t="s">
        <v>53</v>
      </c>
      <c r="F620">
        <v>2</v>
      </c>
      <c r="G620">
        <v>1</v>
      </c>
      <c r="H620" t="s">
        <v>69</v>
      </c>
      <c r="I620">
        <v>854</v>
      </c>
      <c r="J620">
        <v>1</v>
      </c>
      <c r="K620" t="s">
        <v>54</v>
      </c>
      <c r="L620">
        <v>65</v>
      </c>
      <c r="M620">
        <v>4</v>
      </c>
      <c r="N620">
        <v>1</v>
      </c>
      <c r="O620" t="s">
        <v>55</v>
      </c>
      <c r="P620">
        <v>1</v>
      </c>
      <c r="Q620" t="s">
        <v>44</v>
      </c>
      <c r="R620">
        <v>3424</v>
      </c>
      <c r="S620">
        <v>21632</v>
      </c>
      <c r="T620">
        <v>7</v>
      </c>
      <c r="U620" t="s">
        <v>51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  <c r="AG620" t="s">
        <v>78</v>
      </c>
      <c r="AH620" t="s">
        <v>46</v>
      </c>
      <c r="AI620">
        <v>0</v>
      </c>
      <c r="AJ620" t="s">
        <v>47</v>
      </c>
      <c r="AK620" t="s">
        <v>59</v>
      </c>
      <c r="AL620" t="s">
        <v>73</v>
      </c>
      <c r="AM620" t="s">
        <v>70</v>
      </c>
      <c r="AN620">
        <f t="shared" si="9"/>
        <v>8</v>
      </c>
    </row>
    <row r="621" spans="1:40">
      <c r="A621">
        <v>33</v>
      </c>
      <c r="B621" t="s">
        <v>51</v>
      </c>
      <c r="C621" t="s">
        <v>39</v>
      </c>
      <c r="D621">
        <v>586</v>
      </c>
      <c r="E621" t="s">
        <v>40</v>
      </c>
      <c r="F621">
        <v>1</v>
      </c>
      <c r="G621">
        <v>3</v>
      </c>
      <c r="H621" t="s">
        <v>69</v>
      </c>
      <c r="I621">
        <v>855</v>
      </c>
      <c r="J621">
        <v>1</v>
      </c>
      <c r="K621" t="s">
        <v>54</v>
      </c>
      <c r="L621">
        <v>48</v>
      </c>
      <c r="M621">
        <v>4</v>
      </c>
      <c r="N621">
        <v>2</v>
      </c>
      <c r="O621" t="s">
        <v>43</v>
      </c>
      <c r="P621">
        <v>1</v>
      </c>
      <c r="Q621" t="s">
        <v>74</v>
      </c>
      <c r="R621">
        <v>4037</v>
      </c>
      <c r="S621">
        <v>21816</v>
      </c>
      <c r="T621">
        <v>1</v>
      </c>
      <c r="U621" t="s">
        <v>51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  <c r="AG621" t="s">
        <v>67</v>
      </c>
      <c r="AH621" t="s">
        <v>46</v>
      </c>
      <c r="AI621">
        <v>0</v>
      </c>
      <c r="AJ621" t="s">
        <v>58</v>
      </c>
      <c r="AK621" t="s">
        <v>72</v>
      </c>
      <c r="AL621" t="s">
        <v>73</v>
      </c>
      <c r="AM621" t="s">
        <v>61</v>
      </c>
      <c r="AN621">
        <f t="shared" si="9"/>
        <v>6</v>
      </c>
    </row>
    <row r="622" spans="1:40">
      <c r="A622">
        <v>35</v>
      </c>
      <c r="B622" t="s">
        <v>51</v>
      </c>
      <c r="C622" t="s">
        <v>39</v>
      </c>
      <c r="D622">
        <v>1343</v>
      </c>
      <c r="E622" t="s">
        <v>53</v>
      </c>
      <c r="F622">
        <v>27</v>
      </c>
      <c r="G622">
        <v>1</v>
      </c>
      <c r="H622" t="s">
        <v>69</v>
      </c>
      <c r="I622">
        <v>856</v>
      </c>
      <c r="J622">
        <v>3</v>
      </c>
      <c r="K622" t="s">
        <v>42</v>
      </c>
      <c r="L622">
        <v>53</v>
      </c>
      <c r="M622">
        <v>2</v>
      </c>
      <c r="N622">
        <v>1</v>
      </c>
      <c r="O622" t="s">
        <v>55</v>
      </c>
      <c r="P622">
        <v>1</v>
      </c>
      <c r="Q622" t="s">
        <v>44</v>
      </c>
      <c r="R622">
        <v>2559</v>
      </c>
      <c r="S622">
        <v>17852</v>
      </c>
      <c r="T622">
        <v>1</v>
      </c>
      <c r="U622" t="s">
        <v>51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  <c r="AG622" t="s">
        <v>67</v>
      </c>
      <c r="AH622" t="s">
        <v>46</v>
      </c>
      <c r="AI622">
        <v>0</v>
      </c>
      <c r="AJ622" t="s">
        <v>47</v>
      </c>
      <c r="AK622" t="s">
        <v>59</v>
      </c>
      <c r="AL622" t="s">
        <v>73</v>
      </c>
      <c r="AM622" t="s">
        <v>70</v>
      </c>
      <c r="AN622">
        <f t="shared" si="9"/>
        <v>9</v>
      </c>
    </row>
    <row r="623" spans="1:40">
      <c r="A623">
        <v>36</v>
      </c>
      <c r="B623" t="s">
        <v>51</v>
      </c>
      <c r="C623" t="s">
        <v>39</v>
      </c>
      <c r="D623">
        <v>928</v>
      </c>
      <c r="E623" t="s">
        <v>40</v>
      </c>
      <c r="F623">
        <v>1</v>
      </c>
      <c r="G623">
        <v>2</v>
      </c>
      <c r="H623" t="s">
        <v>41</v>
      </c>
      <c r="I623">
        <v>857</v>
      </c>
      <c r="J623">
        <v>2</v>
      </c>
      <c r="K623" t="s">
        <v>54</v>
      </c>
      <c r="L623">
        <v>56</v>
      </c>
      <c r="M623">
        <v>3</v>
      </c>
      <c r="N623">
        <v>2</v>
      </c>
      <c r="O623" t="s">
        <v>43</v>
      </c>
      <c r="P623">
        <v>4</v>
      </c>
      <c r="Q623" t="s">
        <v>56</v>
      </c>
      <c r="R623">
        <v>6201</v>
      </c>
      <c r="S623">
        <v>2823</v>
      </c>
      <c r="T623">
        <v>1</v>
      </c>
      <c r="U623" t="s">
        <v>38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  <c r="AG623" t="s">
        <v>45</v>
      </c>
      <c r="AH623" t="s">
        <v>64</v>
      </c>
      <c r="AI623">
        <v>0</v>
      </c>
      <c r="AJ623" t="s">
        <v>47</v>
      </c>
      <c r="AK623" t="s">
        <v>48</v>
      </c>
      <c r="AL623" t="s">
        <v>49</v>
      </c>
      <c r="AM623" t="s">
        <v>70</v>
      </c>
      <c r="AN623">
        <f t="shared" si="9"/>
        <v>3</v>
      </c>
    </row>
    <row r="624" spans="1:40">
      <c r="A624">
        <v>32</v>
      </c>
      <c r="B624" t="s">
        <v>51</v>
      </c>
      <c r="C624" t="s">
        <v>39</v>
      </c>
      <c r="D624">
        <v>117</v>
      </c>
      <c r="E624" t="s">
        <v>40</v>
      </c>
      <c r="F624">
        <v>13</v>
      </c>
      <c r="G624">
        <v>4</v>
      </c>
      <c r="H624" t="s">
        <v>41</v>
      </c>
      <c r="I624">
        <v>859</v>
      </c>
      <c r="J624">
        <v>2</v>
      </c>
      <c r="K624" t="s">
        <v>54</v>
      </c>
      <c r="L624">
        <v>73</v>
      </c>
      <c r="M624">
        <v>3</v>
      </c>
      <c r="N624">
        <v>2</v>
      </c>
      <c r="O624" t="s">
        <v>43</v>
      </c>
      <c r="P624">
        <v>4</v>
      </c>
      <c r="Q624" t="s">
        <v>74</v>
      </c>
      <c r="R624">
        <v>4403</v>
      </c>
      <c r="S624">
        <v>9250</v>
      </c>
      <c r="T624">
        <v>2</v>
      </c>
      <c r="U624" t="s">
        <v>51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  <c r="AG624" t="s">
        <v>67</v>
      </c>
      <c r="AH624" t="s">
        <v>71</v>
      </c>
      <c r="AI624">
        <v>0</v>
      </c>
      <c r="AJ624" t="s">
        <v>47</v>
      </c>
      <c r="AK624" t="s">
        <v>68</v>
      </c>
      <c r="AL624" t="s">
        <v>49</v>
      </c>
      <c r="AM624" t="s">
        <v>70</v>
      </c>
      <c r="AN624">
        <f t="shared" si="9"/>
        <v>-1</v>
      </c>
    </row>
    <row r="625" spans="1:40">
      <c r="A625">
        <v>30</v>
      </c>
      <c r="B625" t="s">
        <v>51</v>
      </c>
      <c r="C625" t="s">
        <v>52</v>
      </c>
      <c r="D625">
        <v>1012</v>
      </c>
      <c r="E625" t="s">
        <v>53</v>
      </c>
      <c r="F625">
        <v>5</v>
      </c>
      <c r="G625">
        <v>4</v>
      </c>
      <c r="H625" t="s">
        <v>41</v>
      </c>
      <c r="I625">
        <v>861</v>
      </c>
      <c r="J625">
        <v>2</v>
      </c>
      <c r="K625" t="s">
        <v>54</v>
      </c>
      <c r="L625">
        <v>75</v>
      </c>
      <c r="M625">
        <v>2</v>
      </c>
      <c r="N625">
        <v>1</v>
      </c>
      <c r="O625" t="s">
        <v>55</v>
      </c>
      <c r="P625">
        <v>4</v>
      </c>
      <c r="Q625" t="s">
        <v>74</v>
      </c>
      <c r="R625">
        <v>3761</v>
      </c>
      <c r="S625">
        <v>2373</v>
      </c>
      <c r="T625">
        <v>9</v>
      </c>
      <c r="U625" t="s">
        <v>51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  <c r="AG625" t="s">
        <v>67</v>
      </c>
      <c r="AH625" t="s">
        <v>64</v>
      </c>
      <c r="AI625">
        <v>0</v>
      </c>
      <c r="AJ625" t="s">
        <v>47</v>
      </c>
      <c r="AK625" t="s">
        <v>68</v>
      </c>
      <c r="AL625" t="s">
        <v>49</v>
      </c>
      <c r="AM625" t="s">
        <v>70</v>
      </c>
      <c r="AN625">
        <f t="shared" si="9"/>
        <v>-1</v>
      </c>
    </row>
    <row r="626" spans="1:40">
      <c r="A626">
        <v>53</v>
      </c>
      <c r="B626" t="s">
        <v>51</v>
      </c>
      <c r="C626" t="s">
        <v>39</v>
      </c>
      <c r="D626">
        <v>661</v>
      </c>
      <c r="E626" t="s">
        <v>40</v>
      </c>
      <c r="F626">
        <v>7</v>
      </c>
      <c r="G626">
        <v>2</v>
      </c>
      <c r="H626" t="s">
        <v>84</v>
      </c>
      <c r="I626">
        <v>862</v>
      </c>
      <c r="J626">
        <v>1</v>
      </c>
      <c r="K626" t="s">
        <v>42</v>
      </c>
      <c r="L626">
        <v>78</v>
      </c>
      <c r="M626">
        <v>2</v>
      </c>
      <c r="N626">
        <v>3</v>
      </c>
      <c r="O626" t="s">
        <v>43</v>
      </c>
      <c r="P626">
        <v>4</v>
      </c>
      <c r="Q626" t="s">
        <v>56</v>
      </c>
      <c r="R626">
        <v>10934</v>
      </c>
      <c r="S626">
        <v>20715</v>
      </c>
      <c r="T626">
        <v>7</v>
      </c>
      <c r="U626" t="s">
        <v>38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  <c r="AG626" t="s">
        <v>57</v>
      </c>
      <c r="AH626" t="s">
        <v>46</v>
      </c>
      <c r="AI626">
        <v>0</v>
      </c>
      <c r="AJ626" t="s">
        <v>65</v>
      </c>
      <c r="AK626" t="s">
        <v>48</v>
      </c>
      <c r="AL626" t="s">
        <v>49</v>
      </c>
      <c r="AM626" t="s">
        <v>61</v>
      </c>
      <c r="AN626">
        <f t="shared" si="9"/>
        <v>-3</v>
      </c>
    </row>
    <row r="627" spans="1:40">
      <c r="A627">
        <v>45</v>
      </c>
      <c r="B627" t="s">
        <v>51</v>
      </c>
      <c r="C627" t="s">
        <v>39</v>
      </c>
      <c r="D627">
        <v>930</v>
      </c>
      <c r="E627" t="s">
        <v>40</v>
      </c>
      <c r="F627">
        <v>9</v>
      </c>
      <c r="G627">
        <v>3</v>
      </c>
      <c r="H627" t="s">
        <v>84</v>
      </c>
      <c r="I627">
        <v>864</v>
      </c>
      <c r="J627">
        <v>4</v>
      </c>
      <c r="K627" t="s">
        <v>54</v>
      </c>
      <c r="L627">
        <v>74</v>
      </c>
      <c r="M627">
        <v>3</v>
      </c>
      <c r="N627">
        <v>3</v>
      </c>
      <c r="O627" t="s">
        <v>43</v>
      </c>
      <c r="P627">
        <v>1</v>
      </c>
      <c r="Q627" t="s">
        <v>74</v>
      </c>
      <c r="R627">
        <v>10761</v>
      </c>
      <c r="S627">
        <v>19239</v>
      </c>
      <c r="T627">
        <v>4</v>
      </c>
      <c r="U627" t="s">
        <v>38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  <c r="AG627" t="s">
        <v>45</v>
      </c>
      <c r="AH627" t="s">
        <v>46</v>
      </c>
      <c r="AI627">
        <v>0</v>
      </c>
      <c r="AJ627" t="s">
        <v>65</v>
      </c>
      <c r="AK627" t="s">
        <v>72</v>
      </c>
      <c r="AL627" t="s">
        <v>73</v>
      </c>
      <c r="AM627" t="s">
        <v>61</v>
      </c>
      <c r="AN627">
        <f t="shared" si="9"/>
        <v>6</v>
      </c>
    </row>
    <row r="628" spans="1:40">
      <c r="A628">
        <v>32</v>
      </c>
      <c r="B628" t="s">
        <v>51</v>
      </c>
      <c r="C628" t="s">
        <v>39</v>
      </c>
      <c r="D628">
        <v>638</v>
      </c>
      <c r="E628" t="s">
        <v>53</v>
      </c>
      <c r="F628">
        <v>8</v>
      </c>
      <c r="G628">
        <v>2</v>
      </c>
      <c r="H628" t="s">
        <v>69</v>
      </c>
      <c r="I628">
        <v>865</v>
      </c>
      <c r="J628">
        <v>3</v>
      </c>
      <c r="K628" t="s">
        <v>42</v>
      </c>
      <c r="L628">
        <v>91</v>
      </c>
      <c r="M628">
        <v>4</v>
      </c>
      <c r="N628">
        <v>2</v>
      </c>
      <c r="O628" t="s">
        <v>55</v>
      </c>
      <c r="P628">
        <v>3</v>
      </c>
      <c r="Q628" t="s">
        <v>56</v>
      </c>
      <c r="R628">
        <v>5175</v>
      </c>
      <c r="S628">
        <v>22162</v>
      </c>
      <c r="T628">
        <v>5</v>
      </c>
      <c r="U628" t="s">
        <v>51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  <c r="AG628" t="s">
        <v>67</v>
      </c>
      <c r="AH628" t="s">
        <v>46</v>
      </c>
      <c r="AI628">
        <v>0</v>
      </c>
      <c r="AJ628" t="s">
        <v>47</v>
      </c>
      <c r="AK628" t="s">
        <v>48</v>
      </c>
      <c r="AL628" t="s">
        <v>66</v>
      </c>
      <c r="AM628" t="s">
        <v>70</v>
      </c>
      <c r="AN628">
        <f t="shared" si="9"/>
        <v>3</v>
      </c>
    </row>
    <row r="629" spans="1:40">
      <c r="A629">
        <v>52</v>
      </c>
      <c r="B629" t="s">
        <v>51</v>
      </c>
      <c r="C629" t="s">
        <v>52</v>
      </c>
      <c r="D629">
        <v>890</v>
      </c>
      <c r="E629" t="s">
        <v>53</v>
      </c>
      <c r="F629">
        <v>25</v>
      </c>
      <c r="G629">
        <v>4</v>
      </c>
      <c r="H629" t="s">
        <v>69</v>
      </c>
      <c r="I629">
        <v>867</v>
      </c>
      <c r="J629">
        <v>3</v>
      </c>
      <c r="K629" t="s">
        <v>42</v>
      </c>
      <c r="L629">
        <v>81</v>
      </c>
      <c r="M629">
        <v>2</v>
      </c>
      <c r="N629">
        <v>4</v>
      </c>
      <c r="O629" t="s">
        <v>75</v>
      </c>
      <c r="P629">
        <v>4</v>
      </c>
      <c r="Q629" t="s">
        <v>56</v>
      </c>
      <c r="R629">
        <v>13826</v>
      </c>
      <c r="S629">
        <v>19028</v>
      </c>
      <c r="T629">
        <v>3</v>
      </c>
      <c r="U629" t="s">
        <v>51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  <c r="AG629" t="s">
        <v>57</v>
      </c>
      <c r="AH629" t="s">
        <v>46</v>
      </c>
      <c r="AI629">
        <v>0</v>
      </c>
      <c r="AJ629" t="s">
        <v>58</v>
      </c>
      <c r="AK629" t="s">
        <v>68</v>
      </c>
      <c r="AL629" t="s">
        <v>49</v>
      </c>
      <c r="AM629" t="s">
        <v>61</v>
      </c>
      <c r="AN629">
        <f t="shared" si="9"/>
        <v>-3</v>
      </c>
    </row>
    <row r="630" spans="1:40">
      <c r="A630">
        <v>37</v>
      </c>
      <c r="B630" t="s">
        <v>51</v>
      </c>
      <c r="C630" t="s">
        <v>39</v>
      </c>
      <c r="D630">
        <v>342</v>
      </c>
      <c r="E630" t="s">
        <v>40</v>
      </c>
      <c r="F630">
        <v>16</v>
      </c>
      <c r="G630">
        <v>4</v>
      </c>
      <c r="H630" t="s">
        <v>84</v>
      </c>
      <c r="I630">
        <v>868</v>
      </c>
      <c r="J630">
        <v>4</v>
      </c>
      <c r="K630" t="s">
        <v>54</v>
      </c>
      <c r="L630">
        <v>66</v>
      </c>
      <c r="M630">
        <v>2</v>
      </c>
      <c r="N630">
        <v>2</v>
      </c>
      <c r="O630" t="s">
        <v>43</v>
      </c>
      <c r="P630">
        <v>3</v>
      </c>
      <c r="Q630" t="s">
        <v>74</v>
      </c>
      <c r="R630">
        <v>6334</v>
      </c>
      <c r="S630">
        <v>24558</v>
      </c>
      <c r="T630">
        <v>4</v>
      </c>
      <c r="U630" t="s">
        <v>51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  <c r="AG630" t="s">
        <v>45</v>
      </c>
      <c r="AH630" t="s">
        <v>46</v>
      </c>
      <c r="AI630">
        <v>0</v>
      </c>
      <c r="AJ630" t="s">
        <v>65</v>
      </c>
      <c r="AK630" t="s">
        <v>68</v>
      </c>
      <c r="AL630" t="s">
        <v>66</v>
      </c>
      <c r="AM630" t="s">
        <v>61</v>
      </c>
      <c r="AN630">
        <f t="shared" si="9"/>
        <v>0</v>
      </c>
    </row>
    <row r="631" spans="1:40">
      <c r="A631">
        <v>28</v>
      </c>
      <c r="B631" t="s">
        <v>51</v>
      </c>
      <c r="C631" t="s">
        <v>39</v>
      </c>
      <c r="D631">
        <v>1169</v>
      </c>
      <c r="E631" t="s">
        <v>88</v>
      </c>
      <c r="F631">
        <v>8</v>
      </c>
      <c r="G631">
        <v>2</v>
      </c>
      <c r="H631" t="s">
        <v>69</v>
      </c>
      <c r="I631">
        <v>869</v>
      </c>
      <c r="J631">
        <v>2</v>
      </c>
      <c r="K631" t="s">
        <v>54</v>
      </c>
      <c r="L631">
        <v>63</v>
      </c>
      <c r="M631">
        <v>2</v>
      </c>
      <c r="N631">
        <v>1</v>
      </c>
      <c r="O631" t="s">
        <v>88</v>
      </c>
      <c r="P631">
        <v>4</v>
      </c>
      <c r="Q631" t="s">
        <v>74</v>
      </c>
      <c r="R631">
        <v>4936</v>
      </c>
      <c r="S631">
        <v>23965</v>
      </c>
      <c r="T631">
        <v>1</v>
      </c>
      <c r="U631" t="s">
        <v>51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  <c r="AG631" t="s">
        <v>67</v>
      </c>
      <c r="AH631" t="s">
        <v>46</v>
      </c>
      <c r="AI631">
        <v>0</v>
      </c>
      <c r="AJ631" t="s">
        <v>65</v>
      </c>
      <c r="AK631" t="s">
        <v>48</v>
      </c>
      <c r="AL631" t="s">
        <v>49</v>
      </c>
      <c r="AM631" t="s">
        <v>61</v>
      </c>
      <c r="AN631">
        <f t="shared" si="9"/>
        <v>-3</v>
      </c>
    </row>
    <row r="632" spans="1:40">
      <c r="A632">
        <v>22</v>
      </c>
      <c r="B632" t="s">
        <v>51</v>
      </c>
      <c r="C632" t="s">
        <v>39</v>
      </c>
      <c r="D632">
        <v>1230</v>
      </c>
      <c r="E632" t="s">
        <v>53</v>
      </c>
      <c r="F632">
        <v>1</v>
      </c>
      <c r="G632">
        <v>2</v>
      </c>
      <c r="H632" t="s">
        <v>41</v>
      </c>
      <c r="I632">
        <v>872</v>
      </c>
      <c r="J632">
        <v>4</v>
      </c>
      <c r="K632" t="s">
        <v>54</v>
      </c>
      <c r="L632">
        <v>33</v>
      </c>
      <c r="M632">
        <v>2</v>
      </c>
      <c r="N632">
        <v>2</v>
      </c>
      <c r="O632" t="s">
        <v>75</v>
      </c>
      <c r="P632">
        <v>4</v>
      </c>
      <c r="Q632" t="s">
        <v>56</v>
      </c>
      <c r="R632">
        <v>4775</v>
      </c>
      <c r="S632">
        <v>19146</v>
      </c>
      <c r="T632">
        <v>6</v>
      </c>
      <c r="U632" t="s">
        <v>51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  <c r="AG632" t="s">
        <v>78</v>
      </c>
      <c r="AH632" t="s">
        <v>46</v>
      </c>
      <c r="AI632">
        <v>0</v>
      </c>
      <c r="AJ632" t="s">
        <v>47</v>
      </c>
      <c r="AK632" t="s">
        <v>48</v>
      </c>
      <c r="AL632" t="s">
        <v>49</v>
      </c>
      <c r="AM632" t="s">
        <v>50</v>
      </c>
      <c r="AN632">
        <f t="shared" si="9"/>
        <v>3</v>
      </c>
    </row>
    <row r="633" spans="1:40">
      <c r="A633">
        <v>44</v>
      </c>
      <c r="B633" t="s">
        <v>51</v>
      </c>
      <c r="C633" t="s">
        <v>39</v>
      </c>
      <c r="D633">
        <v>986</v>
      </c>
      <c r="E633" t="s">
        <v>53</v>
      </c>
      <c r="F633">
        <v>8</v>
      </c>
      <c r="G633">
        <v>4</v>
      </c>
      <c r="H633" t="s">
        <v>41</v>
      </c>
      <c r="I633">
        <v>874</v>
      </c>
      <c r="J633">
        <v>1</v>
      </c>
      <c r="K633" t="s">
        <v>54</v>
      </c>
      <c r="L633">
        <v>62</v>
      </c>
      <c r="M633">
        <v>4</v>
      </c>
      <c r="N633">
        <v>1</v>
      </c>
      <c r="O633" t="s">
        <v>63</v>
      </c>
      <c r="P633">
        <v>4</v>
      </c>
      <c r="Q633" t="s">
        <v>56</v>
      </c>
      <c r="R633">
        <v>2818</v>
      </c>
      <c r="S633">
        <v>5044</v>
      </c>
      <c r="T633">
        <v>2</v>
      </c>
      <c r="U633" t="s">
        <v>38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  <c r="AG633" t="s">
        <v>45</v>
      </c>
      <c r="AH633" t="s">
        <v>81</v>
      </c>
      <c r="AI633">
        <v>0</v>
      </c>
      <c r="AJ633" t="s">
        <v>47</v>
      </c>
      <c r="AK633" t="s">
        <v>68</v>
      </c>
      <c r="AL633" t="s">
        <v>49</v>
      </c>
      <c r="AM633" t="s">
        <v>70</v>
      </c>
      <c r="AN633">
        <f t="shared" si="9"/>
        <v>-1</v>
      </c>
    </row>
    <row r="634" spans="1:40">
      <c r="A634">
        <v>42</v>
      </c>
      <c r="B634" t="s">
        <v>51</v>
      </c>
      <c r="C634" t="s">
        <v>52</v>
      </c>
      <c r="D634">
        <v>1271</v>
      </c>
      <c r="E634" t="s">
        <v>53</v>
      </c>
      <c r="F634">
        <v>2</v>
      </c>
      <c r="G634">
        <v>1</v>
      </c>
      <c r="H634" t="s">
        <v>69</v>
      </c>
      <c r="I634">
        <v>875</v>
      </c>
      <c r="J634">
        <v>2</v>
      </c>
      <c r="K634" t="s">
        <v>54</v>
      </c>
      <c r="L634">
        <v>35</v>
      </c>
      <c r="M634">
        <v>3</v>
      </c>
      <c r="N634">
        <v>1</v>
      </c>
      <c r="O634" t="s">
        <v>55</v>
      </c>
      <c r="P634">
        <v>4</v>
      </c>
      <c r="Q634" t="s">
        <v>44</v>
      </c>
      <c r="R634">
        <v>2515</v>
      </c>
      <c r="S634">
        <v>9068</v>
      </c>
      <c r="T634">
        <v>5</v>
      </c>
      <c r="U634" t="s">
        <v>38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  <c r="AG634" t="s">
        <v>45</v>
      </c>
      <c r="AH634" t="s">
        <v>71</v>
      </c>
      <c r="AI634">
        <v>0</v>
      </c>
      <c r="AJ634" t="s">
        <v>65</v>
      </c>
      <c r="AK634" t="s">
        <v>59</v>
      </c>
      <c r="AL634" t="s">
        <v>49</v>
      </c>
      <c r="AM634" t="s">
        <v>61</v>
      </c>
      <c r="AN634">
        <f t="shared" si="9"/>
        <v>-1</v>
      </c>
    </row>
    <row r="635" spans="1:40">
      <c r="A635">
        <v>36</v>
      </c>
      <c r="B635" t="s">
        <v>51</v>
      </c>
      <c r="C635" t="s">
        <v>39</v>
      </c>
      <c r="D635">
        <v>1278</v>
      </c>
      <c r="E635" t="s">
        <v>88</v>
      </c>
      <c r="F635">
        <v>8</v>
      </c>
      <c r="G635">
        <v>3</v>
      </c>
      <c r="H635" t="s">
        <v>41</v>
      </c>
      <c r="I635">
        <v>878</v>
      </c>
      <c r="J635">
        <v>1</v>
      </c>
      <c r="K635" t="s">
        <v>54</v>
      </c>
      <c r="L635">
        <v>77</v>
      </c>
      <c r="M635">
        <v>2</v>
      </c>
      <c r="N635">
        <v>1</v>
      </c>
      <c r="O635" t="s">
        <v>88</v>
      </c>
      <c r="P635">
        <v>1</v>
      </c>
      <c r="Q635" t="s">
        <v>56</v>
      </c>
      <c r="R635">
        <v>2342</v>
      </c>
      <c r="S635">
        <v>8635</v>
      </c>
      <c r="T635">
        <v>0</v>
      </c>
      <c r="U635" t="s">
        <v>51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  <c r="AG635" t="s">
        <v>45</v>
      </c>
      <c r="AH635" t="s">
        <v>71</v>
      </c>
      <c r="AI635">
        <v>0</v>
      </c>
      <c r="AJ635" t="s">
        <v>65</v>
      </c>
      <c r="AK635" t="s">
        <v>72</v>
      </c>
      <c r="AL635" t="s">
        <v>73</v>
      </c>
      <c r="AM635" t="s">
        <v>61</v>
      </c>
      <c r="AN635">
        <f t="shared" si="9"/>
        <v>6</v>
      </c>
    </row>
    <row r="636" spans="1:40">
      <c r="A636">
        <v>25</v>
      </c>
      <c r="B636" t="s">
        <v>51</v>
      </c>
      <c r="C636" t="s">
        <v>39</v>
      </c>
      <c r="D636">
        <v>141</v>
      </c>
      <c r="E636" t="s">
        <v>40</v>
      </c>
      <c r="F636">
        <v>3</v>
      </c>
      <c r="G636">
        <v>1</v>
      </c>
      <c r="H636" t="s">
        <v>62</v>
      </c>
      <c r="I636">
        <v>879</v>
      </c>
      <c r="J636">
        <v>3</v>
      </c>
      <c r="K636" t="s">
        <v>54</v>
      </c>
      <c r="L636">
        <v>98</v>
      </c>
      <c r="M636">
        <v>3</v>
      </c>
      <c r="N636">
        <v>2</v>
      </c>
      <c r="O636" t="s">
        <v>43</v>
      </c>
      <c r="P636">
        <v>1</v>
      </c>
      <c r="Q636" t="s">
        <v>56</v>
      </c>
      <c r="R636">
        <v>4194</v>
      </c>
      <c r="S636">
        <v>14363</v>
      </c>
      <c r="T636">
        <v>1</v>
      </c>
      <c r="U636" t="s">
        <v>38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  <c r="AG636" t="s">
        <v>78</v>
      </c>
      <c r="AH636" t="s">
        <v>46</v>
      </c>
      <c r="AI636">
        <v>0</v>
      </c>
      <c r="AJ636" t="s">
        <v>65</v>
      </c>
      <c r="AK636" t="s">
        <v>59</v>
      </c>
      <c r="AL636" t="s">
        <v>73</v>
      </c>
      <c r="AM636" t="s">
        <v>61</v>
      </c>
      <c r="AN636">
        <f t="shared" si="9"/>
        <v>6</v>
      </c>
    </row>
    <row r="637" spans="1:40">
      <c r="A637">
        <v>35</v>
      </c>
      <c r="B637" t="s">
        <v>51</v>
      </c>
      <c r="C637" t="s">
        <v>39</v>
      </c>
      <c r="D637">
        <v>607</v>
      </c>
      <c r="E637" t="s">
        <v>53</v>
      </c>
      <c r="F637">
        <v>9</v>
      </c>
      <c r="G637">
        <v>3</v>
      </c>
      <c r="H637" t="s">
        <v>41</v>
      </c>
      <c r="I637">
        <v>880</v>
      </c>
      <c r="J637">
        <v>4</v>
      </c>
      <c r="K637" t="s">
        <v>42</v>
      </c>
      <c r="L637">
        <v>66</v>
      </c>
      <c r="M637">
        <v>2</v>
      </c>
      <c r="N637">
        <v>3</v>
      </c>
      <c r="O637" t="s">
        <v>75</v>
      </c>
      <c r="P637">
        <v>3</v>
      </c>
      <c r="Q637" t="s">
        <v>56</v>
      </c>
      <c r="R637">
        <v>10685</v>
      </c>
      <c r="S637">
        <v>23457</v>
      </c>
      <c r="T637">
        <v>1</v>
      </c>
      <c r="U637" t="s">
        <v>38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  <c r="AG637" t="s">
        <v>67</v>
      </c>
      <c r="AH637" t="s">
        <v>46</v>
      </c>
      <c r="AI637">
        <v>0</v>
      </c>
      <c r="AJ637" t="s">
        <v>80</v>
      </c>
      <c r="AK637" t="s">
        <v>72</v>
      </c>
      <c r="AL637" t="s">
        <v>66</v>
      </c>
      <c r="AM637" t="s">
        <v>61</v>
      </c>
      <c r="AN637">
        <f t="shared" si="9"/>
        <v>5</v>
      </c>
    </row>
    <row r="638" spans="1:40">
      <c r="A638">
        <v>35</v>
      </c>
      <c r="B638" t="s">
        <v>38</v>
      </c>
      <c r="C638" t="s">
        <v>52</v>
      </c>
      <c r="D638">
        <v>130</v>
      </c>
      <c r="E638" t="s">
        <v>53</v>
      </c>
      <c r="F638">
        <v>25</v>
      </c>
      <c r="G638">
        <v>4</v>
      </c>
      <c r="H638" t="s">
        <v>41</v>
      </c>
      <c r="I638">
        <v>881</v>
      </c>
      <c r="J638">
        <v>4</v>
      </c>
      <c r="K638" t="s">
        <v>42</v>
      </c>
      <c r="L638">
        <v>96</v>
      </c>
      <c r="M638">
        <v>3</v>
      </c>
      <c r="N638">
        <v>1</v>
      </c>
      <c r="O638" t="s">
        <v>55</v>
      </c>
      <c r="P638">
        <v>2</v>
      </c>
      <c r="Q638" t="s">
        <v>74</v>
      </c>
      <c r="R638">
        <v>2022</v>
      </c>
      <c r="S638">
        <v>16612</v>
      </c>
      <c r="T638">
        <v>1</v>
      </c>
      <c r="U638" t="s">
        <v>38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  <c r="AG638" t="s">
        <v>67</v>
      </c>
      <c r="AH638" t="s">
        <v>46</v>
      </c>
      <c r="AI638">
        <v>1</v>
      </c>
      <c r="AJ638" t="s">
        <v>47</v>
      </c>
      <c r="AK638" t="s">
        <v>68</v>
      </c>
      <c r="AL638" t="s">
        <v>60</v>
      </c>
      <c r="AM638" t="s">
        <v>70</v>
      </c>
      <c r="AN638">
        <f t="shared" si="9"/>
        <v>12</v>
      </c>
    </row>
    <row r="639" spans="1:40">
      <c r="A639">
        <v>32</v>
      </c>
      <c r="B639" t="s">
        <v>51</v>
      </c>
      <c r="C639" t="s">
        <v>77</v>
      </c>
      <c r="D639">
        <v>300</v>
      </c>
      <c r="E639" t="s">
        <v>53</v>
      </c>
      <c r="F639">
        <v>1</v>
      </c>
      <c r="G639">
        <v>3</v>
      </c>
      <c r="H639" t="s">
        <v>41</v>
      </c>
      <c r="I639">
        <v>882</v>
      </c>
      <c r="J639">
        <v>4</v>
      </c>
      <c r="K639" t="s">
        <v>54</v>
      </c>
      <c r="L639">
        <v>61</v>
      </c>
      <c r="M639">
        <v>3</v>
      </c>
      <c r="N639">
        <v>1</v>
      </c>
      <c r="O639" t="s">
        <v>63</v>
      </c>
      <c r="P639">
        <v>4</v>
      </c>
      <c r="Q639" t="s">
        <v>74</v>
      </c>
      <c r="R639">
        <v>2314</v>
      </c>
      <c r="S639">
        <v>9148</v>
      </c>
      <c r="T639">
        <v>0</v>
      </c>
      <c r="U639" t="s">
        <v>51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  <c r="AG639" t="s">
        <v>67</v>
      </c>
      <c r="AH639" t="s">
        <v>71</v>
      </c>
      <c r="AI639">
        <v>0</v>
      </c>
      <c r="AJ639" t="s">
        <v>65</v>
      </c>
      <c r="AK639" t="s">
        <v>72</v>
      </c>
      <c r="AL639" t="s">
        <v>49</v>
      </c>
      <c r="AM639" t="s">
        <v>61</v>
      </c>
      <c r="AN639">
        <f t="shared" si="9"/>
        <v>-3</v>
      </c>
    </row>
    <row r="640" spans="1:40">
      <c r="A640">
        <v>25</v>
      </c>
      <c r="B640" t="s">
        <v>51</v>
      </c>
      <c r="C640" t="s">
        <v>39</v>
      </c>
      <c r="D640">
        <v>583</v>
      </c>
      <c r="E640" t="s">
        <v>40</v>
      </c>
      <c r="F640">
        <v>4</v>
      </c>
      <c r="G640">
        <v>1</v>
      </c>
      <c r="H640" t="s">
        <v>84</v>
      </c>
      <c r="I640">
        <v>885</v>
      </c>
      <c r="J640">
        <v>3</v>
      </c>
      <c r="K640" t="s">
        <v>54</v>
      </c>
      <c r="L640">
        <v>87</v>
      </c>
      <c r="M640">
        <v>2</v>
      </c>
      <c r="N640">
        <v>2</v>
      </c>
      <c r="O640" t="s">
        <v>43</v>
      </c>
      <c r="P640">
        <v>1</v>
      </c>
      <c r="Q640" t="s">
        <v>56</v>
      </c>
      <c r="R640">
        <v>4256</v>
      </c>
      <c r="S640">
        <v>18154</v>
      </c>
      <c r="T640">
        <v>1</v>
      </c>
      <c r="U640" t="s">
        <v>51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  <c r="AG640" t="s">
        <v>78</v>
      </c>
      <c r="AH640" t="s">
        <v>46</v>
      </c>
      <c r="AI640">
        <v>0</v>
      </c>
      <c r="AJ640" t="s">
        <v>65</v>
      </c>
      <c r="AK640" t="s">
        <v>59</v>
      </c>
      <c r="AL640" t="s">
        <v>73</v>
      </c>
      <c r="AM640" t="s">
        <v>85</v>
      </c>
      <c r="AN640">
        <f t="shared" si="9"/>
        <v>4</v>
      </c>
    </row>
    <row r="641" spans="1:40">
      <c r="A641">
        <v>49</v>
      </c>
      <c r="B641" t="s">
        <v>51</v>
      </c>
      <c r="C641" t="s">
        <v>39</v>
      </c>
      <c r="D641">
        <v>1418</v>
      </c>
      <c r="E641" t="s">
        <v>53</v>
      </c>
      <c r="F641">
        <v>1</v>
      </c>
      <c r="G641">
        <v>3</v>
      </c>
      <c r="H641" t="s">
        <v>86</v>
      </c>
      <c r="I641">
        <v>887</v>
      </c>
      <c r="J641">
        <v>3</v>
      </c>
      <c r="K641" t="s">
        <v>42</v>
      </c>
      <c r="L641">
        <v>36</v>
      </c>
      <c r="M641">
        <v>3</v>
      </c>
      <c r="N641">
        <v>1</v>
      </c>
      <c r="O641" t="s">
        <v>55</v>
      </c>
      <c r="P641">
        <v>1</v>
      </c>
      <c r="Q641" t="s">
        <v>56</v>
      </c>
      <c r="R641">
        <v>3580</v>
      </c>
      <c r="S641">
        <v>10554</v>
      </c>
      <c r="T641">
        <v>2</v>
      </c>
      <c r="U641" t="s">
        <v>51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  <c r="AG641" t="s">
        <v>57</v>
      </c>
      <c r="AH641" t="s">
        <v>46</v>
      </c>
      <c r="AI641">
        <v>0</v>
      </c>
      <c r="AJ641" t="s">
        <v>65</v>
      </c>
      <c r="AK641" t="s">
        <v>72</v>
      </c>
      <c r="AL641" t="s">
        <v>73</v>
      </c>
      <c r="AM641" t="s">
        <v>61</v>
      </c>
      <c r="AN641">
        <f t="shared" si="9"/>
        <v>6</v>
      </c>
    </row>
    <row r="642" spans="1:40">
      <c r="A642">
        <v>24</v>
      </c>
      <c r="B642" t="s">
        <v>51</v>
      </c>
      <c r="C642" t="s">
        <v>77</v>
      </c>
      <c r="D642">
        <v>1269</v>
      </c>
      <c r="E642" t="s">
        <v>53</v>
      </c>
      <c r="F642">
        <v>4</v>
      </c>
      <c r="G642">
        <v>1</v>
      </c>
      <c r="H642" t="s">
        <v>41</v>
      </c>
      <c r="I642">
        <v>888</v>
      </c>
      <c r="J642">
        <v>1</v>
      </c>
      <c r="K642" t="s">
        <v>54</v>
      </c>
      <c r="L642">
        <v>46</v>
      </c>
      <c r="M642">
        <v>2</v>
      </c>
      <c r="N642">
        <v>1</v>
      </c>
      <c r="O642" t="s">
        <v>63</v>
      </c>
      <c r="P642">
        <v>4</v>
      </c>
      <c r="Q642" t="s">
        <v>56</v>
      </c>
      <c r="R642">
        <v>3162</v>
      </c>
      <c r="S642">
        <v>10778</v>
      </c>
      <c r="T642">
        <v>0</v>
      </c>
      <c r="U642" t="s">
        <v>51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  <c r="AG642" t="s">
        <v>78</v>
      </c>
      <c r="AH642" t="s">
        <v>46</v>
      </c>
      <c r="AI642">
        <v>0</v>
      </c>
      <c r="AJ642" t="s">
        <v>47</v>
      </c>
      <c r="AK642" t="s">
        <v>59</v>
      </c>
      <c r="AL642" t="s">
        <v>49</v>
      </c>
      <c r="AM642" t="s">
        <v>70</v>
      </c>
      <c r="AN642">
        <f t="shared" si="9"/>
        <v>2</v>
      </c>
    </row>
    <row r="643" spans="1:40">
      <c r="A643">
        <v>32</v>
      </c>
      <c r="B643" t="s">
        <v>51</v>
      </c>
      <c r="C643" t="s">
        <v>52</v>
      </c>
      <c r="D643">
        <v>379</v>
      </c>
      <c r="E643" t="s">
        <v>40</v>
      </c>
      <c r="F643">
        <v>5</v>
      </c>
      <c r="G643">
        <v>2</v>
      </c>
      <c r="H643" t="s">
        <v>41</v>
      </c>
      <c r="I643">
        <v>889</v>
      </c>
      <c r="J643">
        <v>2</v>
      </c>
      <c r="K643" t="s">
        <v>54</v>
      </c>
      <c r="L643">
        <v>48</v>
      </c>
      <c r="M643">
        <v>3</v>
      </c>
      <c r="N643">
        <v>2</v>
      </c>
      <c r="O643" t="s">
        <v>43</v>
      </c>
      <c r="P643">
        <v>2</v>
      </c>
      <c r="Q643" t="s">
        <v>56</v>
      </c>
      <c r="R643">
        <v>6524</v>
      </c>
      <c r="S643">
        <v>8891</v>
      </c>
      <c r="T643">
        <v>1</v>
      </c>
      <c r="U643" t="s">
        <v>51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  <c r="AG643" t="s">
        <v>67</v>
      </c>
      <c r="AH643" t="s">
        <v>71</v>
      </c>
      <c r="AI643">
        <v>0</v>
      </c>
      <c r="AJ643" t="s">
        <v>58</v>
      </c>
      <c r="AK643" t="s">
        <v>48</v>
      </c>
      <c r="AL643" t="s">
        <v>60</v>
      </c>
      <c r="AM643" t="s">
        <v>61</v>
      </c>
      <c r="AN643">
        <f t="shared" ref="AN643:AN706" si="10">((3-P643)*3+((3-AB643)*2+AE643))</f>
        <v>8</v>
      </c>
    </row>
    <row r="644" spans="1:40">
      <c r="A644">
        <v>38</v>
      </c>
      <c r="B644" t="s">
        <v>51</v>
      </c>
      <c r="C644" t="s">
        <v>39</v>
      </c>
      <c r="D644">
        <v>395</v>
      </c>
      <c r="E644" t="s">
        <v>40</v>
      </c>
      <c r="F644">
        <v>9</v>
      </c>
      <c r="G644">
        <v>3</v>
      </c>
      <c r="H644" t="s">
        <v>84</v>
      </c>
      <c r="I644">
        <v>893</v>
      </c>
      <c r="J644">
        <v>2</v>
      </c>
      <c r="K644" t="s">
        <v>54</v>
      </c>
      <c r="L644">
        <v>98</v>
      </c>
      <c r="M644">
        <v>2</v>
      </c>
      <c r="N644">
        <v>1</v>
      </c>
      <c r="O644" t="s">
        <v>82</v>
      </c>
      <c r="P644">
        <v>2</v>
      </c>
      <c r="Q644" t="s">
        <v>56</v>
      </c>
      <c r="R644">
        <v>2899</v>
      </c>
      <c r="S644">
        <v>12102</v>
      </c>
      <c r="T644">
        <v>0</v>
      </c>
      <c r="U644" t="s">
        <v>51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  <c r="AG644" t="s">
        <v>45</v>
      </c>
      <c r="AH644" t="s">
        <v>46</v>
      </c>
      <c r="AI644">
        <v>0</v>
      </c>
      <c r="AJ644" t="s">
        <v>65</v>
      </c>
      <c r="AK644" t="s">
        <v>72</v>
      </c>
      <c r="AL644" t="s">
        <v>60</v>
      </c>
      <c r="AM644" t="s">
        <v>61</v>
      </c>
      <c r="AN644">
        <f t="shared" si="10"/>
        <v>4</v>
      </c>
    </row>
    <row r="645" spans="1:40">
      <c r="A645">
        <v>42</v>
      </c>
      <c r="B645" t="s">
        <v>51</v>
      </c>
      <c r="C645" t="s">
        <v>39</v>
      </c>
      <c r="D645">
        <v>1265</v>
      </c>
      <c r="E645" t="s">
        <v>53</v>
      </c>
      <c r="F645">
        <v>3</v>
      </c>
      <c r="G645">
        <v>3</v>
      </c>
      <c r="H645" t="s">
        <v>41</v>
      </c>
      <c r="I645">
        <v>894</v>
      </c>
      <c r="J645">
        <v>3</v>
      </c>
      <c r="K645" t="s">
        <v>42</v>
      </c>
      <c r="L645">
        <v>95</v>
      </c>
      <c r="M645">
        <v>4</v>
      </c>
      <c r="N645">
        <v>2</v>
      </c>
      <c r="O645" t="s">
        <v>63</v>
      </c>
      <c r="P645">
        <v>4</v>
      </c>
      <c r="Q645" t="s">
        <v>56</v>
      </c>
      <c r="R645">
        <v>5231</v>
      </c>
      <c r="S645">
        <v>23726</v>
      </c>
      <c r="T645">
        <v>2</v>
      </c>
      <c r="U645" t="s">
        <v>38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  <c r="AG645" t="s">
        <v>45</v>
      </c>
      <c r="AH645" t="s">
        <v>46</v>
      </c>
      <c r="AI645">
        <v>0</v>
      </c>
      <c r="AJ645" t="s">
        <v>47</v>
      </c>
      <c r="AK645" t="s">
        <v>72</v>
      </c>
      <c r="AL645" t="s">
        <v>49</v>
      </c>
      <c r="AM645" t="s">
        <v>70</v>
      </c>
      <c r="AN645">
        <f t="shared" si="10"/>
        <v>0</v>
      </c>
    </row>
    <row r="646" spans="1:40">
      <c r="A646">
        <v>31</v>
      </c>
      <c r="B646" t="s">
        <v>51</v>
      </c>
      <c r="C646" t="s">
        <v>39</v>
      </c>
      <c r="D646">
        <v>1222</v>
      </c>
      <c r="E646" t="s">
        <v>53</v>
      </c>
      <c r="F646">
        <v>11</v>
      </c>
      <c r="G646">
        <v>4</v>
      </c>
      <c r="H646" t="s">
        <v>41</v>
      </c>
      <c r="I646">
        <v>895</v>
      </c>
      <c r="J646">
        <v>4</v>
      </c>
      <c r="K646" t="s">
        <v>54</v>
      </c>
      <c r="L646">
        <v>48</v>
      </c>
      <c r="M646">
        <v>3</v>
      </c>
      <c r="N646">
        <v>1</v>
      </c>
      <c r="O646" t="s">
        <v>55</v>
      </c>
      <c r="P646">
        <v>4</v>
      </c>
      <c r="Q646" t="s">
        <v>56</v>
      </c>
      <c r="R646">
        <v>2356</v>
      </c>
      <c r="S646">
        <v>14871</v>
      </c>
      <c r="T646">
        <v>3</v>
      </c>
      <c r="U646" t="s">
        <v>38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  <c r="AG646" t="s">
        <v>67</v>
      </c>
      <c r="AH646" t="s">
        <v>46</v>
      </c>
      <c r="AI646">
        <v>0</v>
      </c>
      <c r="AJ646" t="s">
        <v>58</v>
      </c>
      <c r="AK646" t="s">
        <v>68</v>
      </c>
      <c r="AL646" t="s">
        <v>49</v>
      </c>
      <c r="AM646" t="s">
        <v>61</v>
      </c>
      <c r="AN646">
        <f t="shared" si="10"/>
        <v>-3</v>
      </c>
    </row>
    <row r="647" spans="1:40">
      <c r="A647">
        <v>29</v>
      </c>
      <c r="B647" t="s">
        <v>38</v>
      </c>
      <c r="C647" t="s">
        <v>39</v>
      </c>
      <c r="D647">
        <v>341</v>
      </c>
      <c r="E647" t="s">
        <v>40</v>
      </c>
      <c r="F647">
        <v>1</v>
      </c>
      <c r="G647">
        <v>3</v>
      </c>
      <c r="H647" t="s">
        <v>69</v>
      </c>
      <c r="I647">
        <v>896</v>
      </c>
      <c r="J647">
        <v>2</v>
      </c>
      <c r="K647" t="s">
        <v>42</v>
      </c>
      <c r="L647">
        <v>48</v>
      </c>
      <c r="M647">
        <v>2</v>
      </c>
      <c r="N647">
        <v>1</v>
      </c>
      <c r="O647" t="s">
        <v>82</v>
      </c>
      <c r="P647">
        <v>3</v>
      </c>
      <c r="Q647" t="s">
        <v>74</v>
      </c>
      <c r="R647">
        <v>2800</v>
      </c>
      <c r="S647">
        <v>23522</v>
      </c>
      <c r="T647">
        <v>6</v>
      </c>
      <c r="U647" t="s">
        <v>38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  <c r="AG647" t="s">
        <v>67</v>
      </c>
      <c r="AH647" t="s">
        <v>46</v>
      </c>
      <c r="AI647">
        <v>1</v>
      </c>
      <c r="AJ647" t="s">
        <v>65</v>
      </c>
      <c r="AK647" t="s">
        <v>72</v>
      </c>
      <c r="AL647" t="s">
        <v>66</v>
      </c>
      <c r="AM647" t="s">
        <v>61</v>
      </c>
      <c r="AN647">
        <f t="shared" si="10"/>
        <v>0</v>
      </c>
    </row>
    <row r="648" spans="1:40">
      <c r="A648">
        <v>53</v>
      </c>
      <c r="B648" t="s">
        <v>51</v>
      </c>
      <c r="C648" t="s">
        <v>39</v>
      </c>
      <c r="D648">
        <v>868</v>
      </c>
      <c r="E648" t="s">
        <v>40</v>
      </c>
      <c r="F648">
        <v>8</v>
      </c>
      <c r="G648">
        <v>3</v>
      </c>
      <c r="H648" t="s">
        <v>84</v>
      </c>
      <c r="I648">
        <v>897</v>
      </c>
      <c r="J648">
        <v>1</v>
      </c>
      <c r="K648" t="s">
        <v>54</v>
      </c>
      <c r="L648">
        <v>73</v>
      </c>
      <c r="M648">
        <v>3</v>
      </c>
      <c r="N648">
        <v>4</v>
      </c>
      <c r="O648" t="s">
        <v>43</v>
      </c>
      <c r="P648">
        <v>4</v>
      </c>
      <c r="Q648" t="s">
        <v>56</v>
      </c>
      <c r="R648">
        <v>11836</v>
      </c>
      <c r="S648">
        <v>22789</v>
      </c>
      <c r="T648">
        <v>5</v>
      </c>
      <c r="U648" t="s">
        <v>51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  <c r="AG648" t="s">
        <v>57</v>
      </c>
      <c r="AH648" t="s">
        <v>46</v>
      </c>
      <c r="AI648">
        <v>0</v>
      </c>
      <c r="AJ648" t="s">
        <v>65</v>
      </c>
      <c r="AK648" t="s">
        <v>72</v>
      </c>
      <c r="AL648" t="s">
        <v>49</v>
      </c>
      <c r="AM648" t="s">
        <v>61</v>
      </c>
      <c r="AN648">
        <f t="shared" si="10"/>
        <v>-1</v>
      </c>
    </row>
    <row r="649" spans="1:40">
      <c r="A649">
        <v>35</v>
      </c>
      <c r="B649" t="s">
        <v>51</v>
      </c>
      <c r="C649" t="s">
        <v>39</v>
      </c>
      <c r="D649">
        <v>672</v>
      </c>
      <c r="E649" t="s">
        <v>53</v>
      </c>
      <c r="F649">
        <v>25</v>
      </c>
      <c r="G649">
        <v>3</v>
      </c>
      <c r="H649" t="s">
        <v>86</v>
      </c>
      <c r="I649">
        <v>899</v>
      </c>
      <c r="J649">
        <v>4</v>
      </c>
      <c r="K649" t="s">
        <v>54</v>
      </c>
      <c r="L649">
        <v>78</v>
      </c>
      <c r="M649">
        <v>2</v>
      </c>
      <c r="N649">
        <v>3</v>
      </c>
      <c r="O649" t="s">
        <v>75</v>
      </c>
      <c r="P649">
        <v>2</v>
      </c>
      <c r="Q649" t="s">
        <v>56</v>
      </c>
      <c r="R649">
        <v>10903</v>
      </c>
      <c r="S649">
        <v>9129</v>
      </c>
      <c r="T649">
        <v>3</v>
      </c>
      <c r="U649" t="s">
        <v>51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  <c r="AG649" t="s">
        <v>67</v>
      </c>
      <c r="AH649" t="s">
        <v>71</v>
      </c>
      <c r="AI649">
        <v>0</v>
      </c>
      <c r="AJ649" t="s">
        <v>80</v>
      </c>
      <c r="AK649" t="s">
        <v>72</v>
      </c>
      <c r="AL649" t="s">
        <v>60</v>
      </c>
      <c r="AM649" t="s">
        <v>61</v>
      </c>
      <c r="AN649">
        <f t="shared" si="10"/>
        <v>7</v>
      </c>
    </row>
    <row r="650" spans="1:40">
      <c r="A650">
        <v>37</v>
      </c>
      <c r="B650" t="s">
        <v>51</v>
      </c>
      <c r="C650" t="s">
        <v>52</v>
      </c>
      <c r="D650">
        <v>1231</v>
      </c>
      <c r="E650" t="s">
        <v>40</v>
      </c>
      <c r="F650">
        <v>21</v>
      </c>
      <c r="G650">
        <v>2</v>
      </c>
      <c r="H650" t="s">
        <v>69</v>
      </c>
      <c r="I650">
        <v>900</v>
      </c>
      <c r="J650">
        <v>3</v>
      </c>
      <c r="K650" t="s">
        <v>42</v>
      </c>
      <c r="L650">
        <v>54</v>
      </c>
      <c r="M650">
        <v>3</v>
      </c>
      <c r="N650">
        <v>1</v>
      </c>
      <c r="O650" t="s">
        <v>82</v>
      </c>
      <c r="P650">
        <v>4</v>
      </c>
      <c r="Q650" t="s">
        <v>56</v>
      </c>
      <c r="R650">
        <v>2973</v>
      </c>
      <c r="S650">
        <v>21222</v>
      </c>
      <c r="T650">
        <v>5</v>
      </c>
      <c r="U650" t="s">
        <v>51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  <c r="AG650" t="s">
        <v>45</v>
      </c>
      <c r="AH650" t="s">
        <v>46</v>
      </c>
      <c r="AI650">
        <v>0</v>
      </c>
      <c r="AJ650" t="s">
        <v>65</v>
      </c>
      <c r="AK650" t="s">
        <v>48</v>
      </c>
      <c r="AL650" t="s">
        <v>49</v>
      </c>
      <c r="AM650" t="s">
        <v>61</v>
      </c>
      <c r="AN650">
        <f t="shared" si="10"/>
        <v>-3</v>
      </c>
    </row>
    <row r="651" spans="1:40">
      <c r="A651">
        <v>53</v>
      </c>
      <c r="B651" t="s">
        <v>51</v>
      </c>
      <c r="C651" t="s">
        <v>39</v>
      </c>
      <c r="D651">
        <v>102</v>
      </c>
      <c r="E651" t="s">
        <v>53</v>
      </c>
      <c r="F651">
        <v>23</v>
      </c>
      <c r="G651">
        <v>4</v>
      </c>
      <c r="H651" t="s">
        <v>41</v>
      </c>
      <c r="I651">
        <v>901</v>
      </c>
      <c r="J651">
        <v>4</v>
      </c>
      <c r="K651" t="s">
        <v>42</v>
      </c>
      <c r="L651">
        <v>72</v>
      </c>
      <c r="M651">
        <v>3</v>
      </c>
      <c r="N651">
        <v>4</v>
      </c>
      <c r="O651" t="s">
        <v>83</v>
      </c>
      <c r="P651">
        <v>4</v>
      </c>
      <c r="Q651" t="s">
        <v>44</v>
      </c>
      <c r="R651">
        <v>14275</v>
      </c>
      <c r="S651">
        <v>20206</v>
      </c>
      <c r="T651">
        <v>6</v>
      </c>
      <c r="U651" t="s">
        <v>51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  <c r="AG651" t="s">
        <v>57</v>
      </c>
      <c r="AH651" t="s">
        <v>46</v>
      </c>
      <c r="AI651">
        <v>0</v>
      </c>
      <c r="AJ651" t="s">
        <v>80</v>
      </c>
      <c r="AK651" t="s">
        <v>68</v>
      </c>
      <c r="AL651" t="s">
        <v>49</v>
      </c>
      <c r="AM651" t="s">
        <v>61</v>
      </c>
      <c r="AN651">
        <f t="shared" si="10"/>
        <v>0</v>
      </c>
    </row>
    <row r="652" spans="1:40">
      <c r="A652">
        <v>43</v>
      </c>
      <c r="B652" t="s">
        <v>51</v>
      </c>
      <c r="C652" t="s">
        <v>52</v>
      </c>
      <c r="D652">
        <v>422</v>
      </c>
      <c r="E652" t="s">
        <v>53</v>
      </c>
      <c r="F652">
        <v>1</v>
      </c>
      <c r="G652">
        <v>3</v>
      </c>
      <c r="H652" t="s">
        <v>41</v>
      </c>
      <c r="I652">
        <v>902</v>
      </c>
      <c r="J652">
        <v>4</v>
      </c>
      <c r="K652" t="s">
        <v>42</v>
      </c>
      <c r="L652">
        <v>33</v>
      </c>
      <c r="M652">
        <v>3</v>
      </c>
      <c r="N652">
        <v>2</v>
      </c>
      <c r="O652" t="s">
        <v>76</v>
      </c>
      <c r="P652">
        <v>4</v>
      </c>
      <c r="Q652" t="s">
        <v>56</v>
      </c>
      <c r="R652">
        <v>5562</v>
      </c>
      <c r="S652">
        <v>21782</v>
      </c>
      <c r="T652">
        <v>4</v>
      </c>
      <c r="U652" t="s">
        <v>51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  <c r="AG652" t="s">
        <v>45</v>
      </c>
      <c r="AH652" t="s">
        <v>46</v>
      </c>
      <c r="AI652">
        <v>0</v>
      </c>
      <c r="AJ652" t="s">
        <v>47</v>
      </c>
      <c r="AK652" t="s">
        <v>72</v>
      </c>
      <c r="AL652" t="s">
        <v>49</v>
      </c>
      <c r="AM652" t="s">
        <v>70</v>
      </c>
      <c r="AN652">
        <f t="shared" si="10"/>
        <v>1</v>
      </c>
    </row>
    <row r="653" spans="1:40">
      <c r="A653">
        <v>47</v>
      </c>
      <c r="B653" t="s">
        <v>51</v>
      </c>
      <c r="C653" t="s">
        <v>39</v>
      </c>
      <c r="D653">
        <v>249</v>
      </c>
      <c r="E653" t="s">
        <v>40</v>
      </c>
      <c r="F653">
        <v>2</v>
      </c>
      <c r="G653">
        <v>2</v>
      </c>
      <c r="H653" t="s">
        <v>84</v>
      </c>
      <c r="I653">
        <v>903</v>
      </c>
      <c r="J653">
        <v>3</v>
      </c>
      <c r="K653" t="s">
        <v>42</v>
      </c>
      <c r="L653">
        <v>35</v>
      </c>
      <c r="M653">
        <v>3</v>
      </c>
      <c r="N653">
        <v>2</v>
      </c>
      <c r="O653" t="s">
        <v>43</v>
      </c>
      <c r="P653">
        <v>4</v>
      </c>
      <c r="Q653" t="s">
        <v>56</v>
      </c>
      <c r="R653">
        <v>4537</v>
      </c>
      <c r="S653">
        <v>17783</v>
      </c>
      <c r="T653">
        <v>0</v>
      </c>
      <c r="U653" t="s">
        <v>38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  <c r="AG653" t="s">
        <v>57</v>
      </c>
      <c r="AH653" t="s">
        <v>46</v>
      </c>
      <c r="AI653">
        <v>0</v>
      </c>
      <c r="AJ653" t="s">
        <v>58</v>
      </c>
      <c r="AK653" t="s">
        <v>48</v>
      </c>
      <c r="AL653" t="s">
        <v>49</v>
      </c>
      <c r="AM653" t="s">
        <v>61</v>
      </c>
      <c r="AN653">
        <f t="shared" si="10"/>
        <v>4</v>
      </c>
    </row>
    <row r="654" spans="1:40">
      <c r="A654">
        <v>37</v>
      </c>
      <c r="B654" t="s">
        <v>51</v>
      </c>
      <c r="C654" t="s">
        <v>77</v>
      </c>
      <c r="D654">
        <v>1252</v>
      </c>
      <c r="E654" t="s">
        <v>40</v>
      </c>
      <c r="F654">
        <v>19</v>
      </c>
      <c r="G654">
        <v>2</v>
      </c>
      <c r="H654" t="s">
        <v>69</v>
      </c>
      <c r="I654">
        <v>904</v>
      </c>
      <c r="J654">
        <v>1</v>
      </c>
      <c r="K654" t="s">
        <v>54</v>
      </c>
      <c r="L654">
        <v>32</v>
      </c>
      <c r="M654">
        <v>3</v>
      </c>
      <c r="N654">
        <v>3</v>
      </c>
      <c r="O654" t="s">
        <v>43</v>
      </c>
      <c r="P654">
        <v>2</v>
      </c>
      <c r="Q654" t="s">
        <v>44</v>
      </c>
      <c r="R654">
        <v>7642</v>
      </c>
      <c r="S654">
        <v>4814</v>
      </c>
      <c r="T654">
        <v>1</v>
      </c>
      <c r="U654" t="s">
        <v>38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  <c r="AG654" t="s">
        <v>45</v>
      </c>
      <c r="AH654" t="s">
        <v>81</v>
      </c>
      <c r="AI654">
        <v>0</v>
      </c>
      <c r="AJ654" t="s">
        <v>58</v>
      </c>
      <c r="AK654" t="s">
        <v>48</v>
      </c>
      <c r="AL654" t="s">
        <v>60</v>
      </c>
      <c r="AM654" t="s">
        <v>61</v>
      </c>
      <c r="AN654">
        <f t="shared" si="10"/>
        <v>3</v>
      </c>
    </row>
    <row r="655" spans="1:40">
      <c r="A655">
        <v>50</v>
      </c>
      <c r="B655" t="s">
        <v>51</v>
      </c>
      <c r="C655" t="s">
        <v>77</v>
      </c>
      <c r="D655">
        <v>881</v>
      </c>
      <c r="E655" t="s">
        <v>53</v>
      </c>
      <c r="F655">
        <v>2</v>
      </c>
      <c r="G655">
        <v>4</v>
      </c>
      <c r="H655" t="s">
        <v>41</v>
      </c>
      <c r="I655">
        <v>905</v>
      </c>
      <c r="J655">
        <v>1</v>
      </c>
      <c r="K655" t="s">
        <v>54</v>
      </c>
      <c r="L655">
        <v>98</v>
      </c>
      <c r="M655">
        <v>3</v>
      </c>
      <c r="N655">
        <v>4</v>
      </c>
      <c r="O655" t="s">
        <v>79</v>
      </c>
      <c r="P655">
        <v>1</v>
      </c>
      <c r="Q655" t="s">
        <v>74</v>
      </c>
      <c r="R655">
        <v>17924</v>
      </c>
      <c r="S655">
        <v>4544</v>
      </c>
      <c r="T655">
        <v>1</v>
      </c>
      <c r="U655" t="s">
        <v>51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  <c r="AG655" t="s">
        <v>57</v>
      </c>
      <c r="AH655" t="s">
        <v>81</v>
      </c>
      <c r="AI655">
        <v>0</v>
      </c>
      <c r="AJ655" t="s">
        <v>80</v>
      </c>
      <c r="AK655" t="s">
        <v>68</v>
      </c>
      <c r="AL655" t="s">
        <v>73</v>
      </c>
      <c r="AM655" t="s">
        <v>61</v>
      </c>
      <c r="AN655">
        <f t="shared" si="10"/>
        <v>20</v>
      </c>
    </row>
    <row r="656" spans="1:40">
      <c r="A656">
        <v>39</v>
      </c>
      <c r="B656" t="s">
        <v>51</v>
      </c>
      <c r="C656" t="s">
        <v>39</v>
      </c>
      <c r="D656">
        <v>1383</v>
      </c>
      <c r="E656" t="s">
        <v>88</v>
      </c>
      <c r="F656">
        <v>2</v>
      </c>
      <c r="G656">
        <v>3</v>
      </c>
      <c r="H656" t="s">
        <v>41</v>
      </c>
      <c r="I656">
        <v>909</v>
      </c>
      <c r="J656">
        <v>4</v>
      </c>
      <c r="K656" t="s">
        <v>42</v>
      </c>
      <c r="L656">
        <v>42</v>
      </c>
      <c r="M656">
        <v>2</v>
      </c>
      <c r="N656">
        <v>2</v>
      </c>
      <c r="O656" t="s">
        <v>88</v>
      </c>
      <c r="P656">
        <v>4</v>
      </c>
      <c r="Q656" t="s">
        <v>56</v>
      </c>
      <c r="R656">
        <v>5204</v>
      </c>
      <c r="S656">
        <v>7790</v>
      </c>
      <c r="T656">
        <v>8</v>
      </c>
      <c r="U656" t="s">
        <v>51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  <c r="AG656" t="s">
        <v>45</v>
      </c>
      <c r="AH656" t="s">
        <v>71</v>
      </c>
      <c r="AI656">
        <v>0</v>
      </c>
      <c r="AJ656" t="s">
        <v>65</v>
      </c>
      <c r="AK656" t="s">
        <v>72</v>
      </c>
      <c r="AL656" t="s">
        <v>49</v>
      </c>
      <c r="AM656" t="s">
        <v>61</v>
      </c>
      <c r="AN656">
        <f t="shared" si="10"/>
        <v>-3</v>
      </c>
    </row>
    <row r="657" spans="1:40">
      <c r="A657">
        <v>33</v>
      </c>
      <c r="B657" t="s">
        <v>51</v>
      </c>
      <c r="C657" t="s">
        <v>39</v>
      </c>
      <c r="D657">
        <v>1075</v>
      </c>
      <c r="E657" t="s">
        <v>88</v>
      </c>
      <c r="F657">
        <v>3</v>
      </c>
      <c r="G657">
        <v>2</v>
      </c>
      <c r="H657" t="s">
        <v>88</v>
      </c>
      <c r="I657">
        <v>910</v>
      </c>
      <c r="J657">
        <v>4</v>
      </c>
      <c r="K657" t="s">
        <v>54</v>
      </c>
      <c r="L657">
        <v>57</v>
      </c>
      <c r="M657">
        <v>3</v>
      </c>
      <c r="N657">
        <v>1</v>
      </c>
      <c r="O657" t="s">
        <v>88</v>
      </c>
      <c r="P657">
        <v>2</v>
      </c>
      <c r="Q657" t="s">
        <v>74</v>
      </c>
      <c r="R657">
        <v>2277</v>
      </c>
      <c r="S657">
        <v>22650</v>
      </c>
      <c r="T657">
        <v>3</v>
      </c>
      <c r="U657" t="s">
        <v>38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  <c r="AG657" t="s">
        <v>67</v>
      </c>
      <c r="AH657" t="s">
        <v>46</v>
      </c>
      <c r="AI657">
        <v>0</v>
      </c>
      <c r="AJ657" t="s">
        <v>65</v>
      </c>
      <c r="AK657" t="s">
        <v>48</v>
      </c>
      <c r="AL657" t="s">
        <v>60</v>
      </c>
      <c r="AM657" t="s">
        <v>85</v>
      </c>
      <c r="AN657">
        <f t="shared" si="10"/>
        <v>1</v>
      </c>
    </row>
    <row r="658" spans="1:40">
      <c r="A658">
        <v>32</v>
      </c>
      <c r="B658" t="s">
        <v>38</v>
      </c>
      <c r="C658" t="s">
        <v>39</v>
      </c>
      <c r="D658">
        <v>374</v>
      </c>
      <c r="E658" t="s">
        <v>53</v>
      </c>
      <c r="F658">
        <v>25</v>
      </c>
      <c r="G658">
        <v>4</v>
      </c>
      <c r="H658" t="s">
        <v>41</v>
      </c>
      <c r="I658">
        <v>911</v>
      </c>
      <c r="J658">
        <v>1</v>
      </c>
      <c r="K658" t="s">
        <v>54</v>
      </c>
      <c r="L658">
        <v>87</v>
      </c>
      <c r="M658">
        <v>3</v>
      </c>
      <c r="N658">
        <v>1</v>
      </c>
      <c r="O658" t="s">
        <v>63</v>
      </c>
      <c r="P658">
        <v>4</v>
      </c>
      <c r="Q658" t="s">
        <v>44</v>
      </c>
      <c r="R658">
        <v>2795</v>
      </c>
      <c r="S658">
        <v>18016</v>
      </c>
      <c r="T658">
        <v>1</v>
      </c>
      <c r="U658" t="s">
        <v>38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  <c r="AG658" t="s">
        <v>67</v>
      </c>
      <c r="AH658" t="s">
        <v>46</v>
      </c>
      <c r="AI658">
        <v>1</v>
      </c>
      <c r="AJ658" t="s">
        <v>47</v>
      </c>
      <c r="AK658" t="s">
        <v>68</v>
      </c>
      <c r="AL658" t="s">
        <v>49</v>
      </c>
      <c r="AM658" t="s">
        <v>50</v>
      </c>
      <c r="AN658">
        <f t="shared" si="10"/>
        <v>1</v>
      </c>
    </row>
    <row r="659" spans="1:40">
      <c r="A659">
        <v>29</v>
      </c>
      <c r="B659" t="s">
        <v>51</v>
      </c>
      <c r="C659" t="s">
        <v>39</v>
      </c>
      <c r="D659">
        <v>1086</v>
      </c>
      <c r="E659" t="s">
        <v>53</v>
      </c>
      <c r="F659">
        <v>7</v>
      </c>
      <c r="G659">
        <v>1</v>
      </c>
      <c r="H659" t="s">
        <v>69</v>
      </c>
      <c r="I659">
        <v>912</v>
      </c>
      <c r="J659">
        <v>1</v>
      </c>
      <c r="K659" t="s">
        <v>42</v>
      </c>
      <c r="L659">
        <v>62</v>
      </c>
      <c r="M659">
        <v>2</v>
      </c>
      <c r="N659">
        <v>1</v>
      </c>
      <c r="O659" t="s">
        <v>63</v>
      </c>
      <c r="P659">
        <v>4</v>
      </c>
      <c r="Q659" t="s">
        <v>74</v>
      </c>
      <c r="R659">
        <v>2532</v>
      </c>
      <c r="S659">
        <v>6054</v>
      </c>
      <c r="T659">
        <v>6</v>
      </c>
      <c r="U659" t="s">
        <v>51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  <c r="AG659" t="s">
        <v>67</v>
      </c>
      <c r="AH659" t="s">
        <v>71</v>
      </c>
      <c r="AI659">
        <v>0</v>
      </c>
      <c r="AJ659" t="s">
        <v>65</v>
      </c>
      <c r="AK659" t="s">
        <v>59</v>
      </c>
      <c r="AL659" t="s">
        <v>49</v>
      </c>
      <c r="AM659" t="s">
        <v>61</v>
      </c>
      <c r="AN659">
        <f t="shared" si="10"/>
        <v>-3</v>
      </c>
    </row>
    <row r="660" spans="1:40">
      <c r="A660">
        <v>44</v>
      </c>
      <c r="B660" t="s">
        <v>51</v>
      </c>
      <c r="C660" t="s">
        <v>39</v>
      </c>
      <c r="D660">
        <v>661</v>
      </c>
      <c r="E660" t="s">
        <v>53</v>
      </c>
      <c r="F660">
        <v>9</v>
      </c>
      <c r="G660">
        <v>2</v>
      </c>
      <c r="H660" t="s">
        <v>41</v>
      </c>
      <c r="I660">
        <v>913</v>
      </c>
      <c r="J660">
        <v>2</v>
      </c>
      <c r="K660" t="s">
        <v>54</v>
      </c>
      <c r="L660">
        <v>61</v>
      </c>
      <c r="M660">
        <v>3</v>
      </c>
      <c r="N660">
        <v>1</v>
      </c>
      <c r="O660" t="s">
        <v>55</v>
      </c>
      <c r="P660">
        <v>1</v>
      </c>
      <c r="Q660" t="s">
        <v>56</v>
      </c>
      <c r="R660">
        <v>2559</v>
      </c>
      <c r="S660">
        <v>7508</v>
      </c>
      <c r="T660">
        <v>1</v>
      </c>
      <c r="U660" t="s">
        <v>38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  <c r="AG660" t="s">
        <v>45</v>
      </c>
      <c r="AH660" t="s">
        <v>71</v>
      </c>
      <c r="AI660">
        <v>0</v>
      </c>
      <c r="AJ660" t="s">
        <v>58</v>
      </c>
      <c r="AK660" t="s">
        <v>48</v>
      </c>
      <c r="AL660" t="s">
        <v>73</v>
      </c>
      <c r="AM660" t="s">
        <v>61</v>
      </c>
      <c r="AN660">
        <f t="shared" si="10"/>
        <v>13</v>
      </c>
    </row>
    <row r="661" spans="1:40">
      <c r="A661">
        <v>28</v>
      </c>
      <c r="B661" t="s">
        <v>51</v>
      </c>
      <c r="C661" t="s">
        <v>39</v>
      </c>
      <c r="D661">
        <v>821</v>
      </c>
      <c r="E661" t="s">
        <v>40</v>
      </c>
      <c r="F661">
        <v>5</v>
      </c>
      <c r="G661">
        <v>4</v>
      </c>
      <c r="H661" t="s">
        <v>69</v>
      </c>
      <c r="I661">
        <v>916</v>
      </c>
      <c r="J661">
        <v>1</v>
      </c>
      <c r="K661" t="s">
        <v>54</v>
      </c>
      <c r="L661">
        <v>98</v>
      </c>
      <c r="M661">
        <v>3</v>
      </c>
      <c r="N661">
        <v>2</v>
      </c>
      <c r="O661" t="s">
        <v>43</v>
      </c>
      <c r="P661">
        <v>4</v>
      </c>
      <c r="Q661" t="s">
        <v>44</v>
      </c>
      <c r="R661">
        <v>4908</v>
      </c>
      <c r="S661">
        <v>24252</v>
      </c>
      <c r="T661">
        <v>1</v>
      </c>
      <c r="U661" t="s">
        <v>51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  <c r="AG661" t="s">
        <v>67</v>
      </c>
      <c r="AH661" t="s">
        <v>46</v>
      </c>
      <c r="AI661">
        <v>0</v>
      </c>
      <c r="AJ661" t="s">
        <v>65</v>
      </c>
      <c r="AK661" t="s">
        <v>68</v>
      </c>
      <c r="AL661" t="s">
        <v>49</v>
      </c>
      <c r="AM661" t="s">
        <v>61</v>
      </c>
      <c r="AN661">
        <f t="shared" si="10"/>
        <v>-3</v>
      </c>
    </row>
    <row r="662" spans="1:40">
      <c r="A662">
        <v>58</v>
      </c>
      <c r="B662" t="s">
        <v>38</v>
      </c>
      <c r="C662" t="s">
        <v>52</v>
      </c>
      <c r="D662">
        <v>781</v>
      </c>
      <c r="E662" t="s">
        <v>53</v>
      </c>
      <c r="F662">
        <v>2</v>
      </c>
      <c r="G662">
        <v>1</v>
      </c>
      <c r="H662" t="s">
        <v>41</v>
      </c>
      <c r="I662">
        <v>918</v>
      </c>
      <c r="J662">
        <v>4</v>
      </c>
      <c r="K662" t="s">
        <v>54</v>
      </c>
      <c r="L662">
        <v>57</v>
      </c>
      <c r="M662">
        <v>2</v>
      </c>
      <c r="N662">
        <v>1</v>
      </c>
      <c r="O662" t="s">
        <v>63</v>
      </c>
      <c r="P662">
        <v>4</v>
      </c>
      <c r="Q662" t="s">
        <v>74</v>
      </c>
      <c r="R662">
        <v>2380</v>
      </c>
      <c r="S662">
        <v>13384</v>
      </c>
      <c r="T662">
        <v>9</v>
      </c>
      <c r="U662" t="s">
        <v>38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  <c r="AG662" t="s">
        <v>57</v>
      </c>
      <c r="AH662" t="s">
        <v>46</v>
      </c>
      <c r="AI662">
        <v>1</v>
      </c>
      <c r="AJ662" t="s">
        <v>47</v>
      </c>
      <c r="AK662" t="s">
        <v>59</v>
      </c>
      <c r="AL662" t="s">
        <v>49</v>
      </c>
      <c r="AM662" t="s">
        <v>70</v>
      </c>
      <c r="AN662">
        <f t="shared" si="10"/>
        <v>-1</v>
      </c>
    </row>
    <row r="663" spans="1:40">
      <c r="A663">
        <v>43</v>
      </c>
      <c r="B663" t="s">
        <v>51</v>
      </c>
      <c r="C663" t="s">
        <v>39</v>
      </c>
      <c r="D663">
        <v>177</v>
      </c>
      <c r="E663" t="s">
        <v>53</v>
      </c>
      <c r="F663">
        <v>8</v>
      </c>
      <c r="G663">
        <v>3</v>
      </c>
      <c r="H663" t="s">
        <v>41</v>
      </c>
      <c r="I663">
        <v>920</v>
      </c>
      <c r="J663">
        <v>1</v>
      </c>
      <c r="K663" t="s">
        <v>42</v>
      </c>
      <c r="L663">
        <v>55</v>
      </c>
      <c r="M663">
        <v>3</v>
      </c>
      <c r="N663">
        <v>2</v>
      </c>
      <c r="O663" t="s">
        <v>75</v>
      </c>
      <c r="P663">
        <v>2</v>
      </c>
      <c r="Q663" t="s">
        <v>74</v>
      </c>
      <c r="R663">
        <v>4765</v>
      </c>
      <c r="S663">
        <v>23814</v>
      </c>
      <c r="T663">
        <v>4</v>
      </c>
      <c r="U663" t="s">
        <v>51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  <c r="AG663" t="s">
        <v>45</v>
      </c>
      <c r="AH663" t="s">
        <v>46</v>
      </c>
      <c r="AI663">
        <v>0</v>
      </c>
      <c r="AJ663" t="s">
        <v>65</v>
      </c>
      <c r="AK663" t="s">
        <v>72</v>
      </c>
      <c r="AL663" t="s">
        <v>60</v>
      </c>
      <c r="AM663" t="s">
        <v>85</v>
      </c>
      <c r="AN663">
        <f t="shared" si="10"/>
        <v>1</v>
      </c>
    </row>
    <row r="664" spans="1:40">
      <c r="A664">
        <v>20</v>
      </c>
      <c r="B664" t="s">
        <v>38</v>
      </c>
      <c r="C664" t="s">
        <v>39</v>
      </c>
      <c r="D664">
        <v>500</v>
      </c>
      <c r="E664" t="s">
        <v>40</v>
      </c>
      <c r="F664">
        <v>2</v>
      </c>
      <c r="G664">
        <v>3</v>
      </c>
      <c r="H664" t="s">
        <v>69</v>
      </c>
      <c r="I664">
        <v>922</v>
      </c>
      <c r="J664">
        <v>3</v>
      </c>
      <c r="K664" t="s">
        <v>42</v>
      </c>
      <c r="L664">
        <v>49</v>
      </c>
      <c r="M664">
        <v>2</v>
      </c>
      <c r="N664">
        <v>1</v>
      </c>
      <c r="O664" t="s">
        <v>82</v>
      </c>
      <c r="P664">
        <v>3</v>
      </c>
      <c r="Q664" t="s">
        <v>44</v>
      </c>
      <c r="R664">
        <v>2044</v>
      </c>
      <c r="S664">
        <v>22052</v>
      </c>
      <c r="T664">
        <v>1</v>
      </c>
      <c r="U664" t="s">
        <v>51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  <c r="AG664" t="s">
        <v>78</v>
      </c>
      <c r="AH664" t="s">
        <v>46</v>
      </c>
      <c r="AI664">
        <v>1</v>
      </c>
      <c r="AJ664" t="s">
        <v>47</v>
      </c>
      <c r="AK664" t="s">
        <v>72</v>
      </c>
      <c r="AL664" t="s">
        <v>66</v>
      </c>
      <c r="AM664" t="s">
        <v>70</v>
      </c>
      <c r="AN664">
        <f t="shared" si="10"/>
        <v>2</v>
      </c>
    </row>
    <row r="665" spans="1:40">
      <c r="A665">
        <v>21</v>
      </c>
      <c r="B665" t="s">
        <v>38</v>
      </c>
      <c r="C665" t="s">
        <v>39</v>
      </c>
      <c r="D665">
        <v>1427</v>
      </c>
      <c r="E665" t="s">
        <v>53</v>
      </c>
      <c r="F665">
        <v>18</v>
      </c>
      <c r="G665">
        <v>1</v>
      </c>
      <c r="H665" t="s">
        <v>62</v>
      </c>
      <c r="I665">
        <v>923</v>
      </c>
      <c r="J665">
        <v>4</v>
      </c>
      <c r="K665" t="s">
        <v>42</v>
      </c>
      <c r="L665">
        <v>65</v>
      </c>
      <c r="M665">
        <v>3</v>
      </c>
      <c r="N665">
        <v>1</v>
      </c>
      <c r="O665" t="s">
        <v>55</v>
      </c>
      <c r="P665">
        <v>4</v>
      </c>
      <c r="Q665" t="s">
        <v>44</v>
      </c>
      <c r="R665">
        <v>2693</v>
      </c>
      <c r="S665">
        <v>8870</v>
      </c>
      <c r="T665">
        <v>1</v>
      </c>
      <c r="U665" t="s">
        <v>51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  <c r="AG665" t="s">
        <v>78</v>
      </c>
      <c r="AH665" t="s">
        <v>71</v>
      </c>
      <c r="AI665">
        <v>1</v>
      </c>
      <c r="AJ665" t="s">
        <v>47</v>
      </c>
      <c r="AK665" t="s">
        <v>59</v>
      </c>
      <c r="AL665" t="s">
        <v>49</v>
      </c>
      <c r="AM665" t="s">
        <v>70</v>
      </c>
      <c r="AN665">
        <f t="shared" si="10"/>
        <v>-1</v>
      </c>
    </row>
    <row r="666" spans="1:40">
      <c r="A666">
        <v>36</v>
      </c>
      <c r="B666" t="s">
        <v>51</v>
      </c>
      <c r="C666" t="s">
        <v>39</v>
      </c>
      <c r="D666">
        <v>1425</v>
      </c>
      <c r="E666" t="s">
        <v>53</v>
      </c>
      <c r="F666">
        <v>14</v>
      </c>
      <c r="G666">
        <v>1</v>
      </c>
      <c r="H666" t="s">
        <v>41</v>
      </c>
      <c r="I666">
        <v>924</v>
      </c>
      <c r="J666">
        <v>3</v>
      </c>
      <c r="K666" t="s">
        <v>54</v>
      </c>
      <c r="L666">
        <v>68</v>
      </c>
      <c r="M666">
        <v>3</v>
      </c>
      <c r="N666">
        <v>2</v>
      </c>
      <c r="O666" t="s">
        <v>76</v>
      </c>
      <c r="P666">
        <v>4</v>
      </c>
      <c r="Q666" t="s">
        <v>56</v>
      </c>
      <c r="R666">
        <v>6586</v>
      </c>
      <c r="S666">
        <v>4821</v>
      </c>
      <c r="T666">
        <v>0</v>
      </c>
      <c r="U666" t="s">
        <v>38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  <c r="AG666" t="s">
        <v>45</v>
      </c>
      <c r="AH666" t="s">
        <v>81</v>
      </c>
      <c r="AI666">
        <v>0</v>
      </c>
      <c r="AJ666" t="s">
        <v>47</v>
      </c>
      <c r="AK666" t="s">
        <v>59</v>
      </c>
      <c r="AL666" t="s">
        <v>49</v>
      </c>
      <c r="AM666" t="s">
        <v>70</v>
      </c>
      <c r="AN666">
        <f t="shared" si="10"/>
        <v>3</v>
      </c>
    </row>
    <row r="667" spans="1:40">
      <c r="A667">
        <v>47</v>
      </c>
      <c r="B667" t="s">
        <v>51</v>
      </c>
      <c r="C667" t="s">
        <v>39</v>
      </c>
      <c r="D667">
        <v>1454</v>
      </c>
      <c r="E667" t="s">
        <v>40</v>
      </c>
      <c r="F667">
        <v>2</v>
      </c>
      <c r="G667">
        <v>4</v>
      </c>
      <c r="H667" t="s">
        <v>41</v>
      </c>
      <c r="I667">
        <v>925</v>
      </c>
      <c r="J667">
        <v>4</v>
      </c>
      <c r="K667" t="s">
        <v>42</v>
      </c>
      <c r="L667">
        <v>65</v>
      </c>
      <c r="M667">
        <v>2</v>
      </c>
      <c r="N667">
        <v>1</v>
      </c>
      <c r="O667" t="s">
        <v>82</v>
      </c>
      <c r="P667">
        <v>4</v>
      </c>
      <c r="Q667" t="s">
        <v>44</v>
      </c>
      <c r="R667">
        <v>3294</v>
      </c>
      <c r="S667">
        <v>13137</v>
      </c>
      <c r="T667">
        <v>1</v>
      </c>
      <c r="U667" t="s">
        <v>38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  <c r="AG667" t="s">
        <v>57</v>
      </c>
      <c r="AH667" t="s">
        <v>46</v>
      </c>
      <c r="AI667">
        <v>0</v>
      </c>
      <c r="AJ667" t="s">
        <v>47</v>
      </c>
      <c r="AK667" t="s">
        <v>68</v>
      </c>
      <c r="AL667" t="s">
        <v>49</v>
      </c>
      <c r="AM667" t="s">
        <v>70</v>
      </c>
      <c r="AN667">
        <f t="shared" si="10"/>
        <v>0</v>
      </c>
    </row>
    <row r="668" spans="1:40">
      <c r="A668">
        <v>22</v>
      </c>
      <c r="B668" t="s">
        <v>38</v>
      </c>
      <c r="C668" t="s">
        <v>39</v>
      </c>
      <c r="D668">
        <v>617</v>
      </c>
      <c r="E668" t="s">
        <v>53</v>
      </c>
      <c r="F668">
        <v>3</v>
      </c>
      <c r="G668">
        <v>1</v>
      </c>
      <c r="H668" t="s">
        <v>41</v>
      </c>
      <c r="I668">
        <v>926</v>
      </c>
      <c r="J668">
        <v>2</v>
      </c>
      <c r="K668" t="s">
        <v>42</v>
      </c>
      <c r="L668">
        <v>34</v>
      </c>
      <c r="M668">
        <v>3</v>
      </c>
      <c r="N668">
        <v>2</v>
      </c>
      <c r="O668" t="s">
        <v>75</v>
      </c>
      <c r="P668">
        <v>3</v>
      </c>
      <c r="Q668" t="s">
        <v>56</v>
      </c>
      <c r="R668">
        <v>4171</v>
      </c>
      <c r="S668">
        <v>10022</v>
      </c>
      <c r="T668">
        <v>0</v>
      </c>
      <c r="U668" t="s">
        <v>38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  <c r="AG668" t="s">
        <v>78</v>
      </c>
      <c r="AH668" t="s">
        <v>46</v>
      </c>
      <c r="AI668">
        <v>1</v>
      </c>
      <c r="AJ668" t="s">
        <v>65</v>
      </c>
      <c r="AK668" t="s">
        <v>59</v>
      </c>
      <c r="AL668" t="s">
        <v>66</v>
      </c>
      <c r="AM668" t="s">
        <v>85</v>
      </c>
      <c r="AN668">
        <f t="shared" si="10"/>
        <v>-2</v>
      </c>
    </row>
    <row r="669" spans="1:40">
      <c r="A669">
        <v>41</v>
      </c>
      <c r="B669" t="s">
        <v>38</v>
      </c>
      <c r="C669" t="s">
        <v>39</v>
      </c>
      <c r="D669">
        <v>1085</v>
      </c>
      <c r="E669" t="s">
        <v>53</v>
      </c>
      <c r="F669">
        <v>2</v>
      </c>
      <c r="G669">
        <v>4</v>
      </c>
      <c r="H669" t="s">
        <v>41</v>
      </c>
      <c r="I669">
        <v>927</v>
      </c>
      <c r="J669">
        <v>2</v>
      </c>
      <c r="K669" t="s">
        <v>42</v>
      </c>
      <c r="L669">
        <v>57</v>
      </c>
      <c r="M669">
        <v>1</v>
      </c>
      <c r="N669">
        <v>1</v>
      </c>
      <c r="O669" t="s">
        <v>63</v>
      </c>
      <c r="P669">
        <v>4</v>
      </c>
      <c r="Q669" t="s">
        <v>74</v>
      </c>
      <c r="R669">
        <v>2778</v>
      </c>
      <c r="S669">
        <v>17725</v>
      </c>
      <c r="T669">
        <v>4</v>
      </c>
      <c r="U669" t="s">
        <v>38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  <c r="AG669" t="s">
        <v>45</v>
      </c>
      <c r="AH669" t="s">
        <v>46</v>
      </c>
      <c r="AI669">
        <v>1</v>
      </c>
      <c r="AJ669" t="s">
        <v>47</v>
      </c>
      <c r="AK669" t="s">
        <v>68</v>
      </c>
      <c r="AL669" t="s">
        <v>49</v>
      </c>
      <c r="AM669" t="s">
        <v>70</v>
      </c>
      <c r="AN669">
        <f t="shared" si="10"/>
        <v>0</v>
      </c>
    </row>
    <row r="670" spans="1:40">
      <c r="A670">
        <v>28</v>
      </c>
      <c r="B670" t="s">
        <v>51</v>
      </c>
      <c r="C670" t="s">
        <v>39</v>
      </c>
      <c r="D670">
        <v>995</v>
      </c>
      <c r="E670" t="s">
        <v>53</v>
      </c>
      <c r="F670">
        <v>9</v>
      </c>
      <c r="G670">
        <v>3</v>
      </c>
      <c r="H670" t="s">
        <v>69</v>
      </c>
      <c r="I670">
        <v>930</v>
      </c>
      <c r="J670">
        <v>3</v>
      </c>
      <c r="K670" t="s">
        <v>42</v>
      </c>
      <c r="L670">
        <v>77</v>
      </c>
      <c r="M670">
        <v>3</v>
      </c>
      <c r="N670">
        <v>1</v>
      </c>
      <c r="O670" t="s">
        <v>55</v>
      </c>
      <c r="P670">
        <v>3</v>
      </c>
      <c r="Q670" t="s">
        <v>74</v>
      </c>
      <c r="R670">
        <v>2377</v>
      </c>
      <c r="S670">
        <v>9834</v>
      </c>
      <c r="T670">
        <v>5</v>
      </c>
      <c r="U670" t="s">
        <v>51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  <c r="AG670" t="s">
        <v>67</v>
      </c>
      <c r="AH670" t="s">
        <v>71</v>
      </c>
      <c r="AI670">
        <v>0</v>
      </c>
      <c r="AJ670" t="s">
        <v>65</v>
      </c>
      <c r="AK670" t="s">
        <v>72</v>
      </c>
      <c r="AL670" t="s">
        <v>66</v>
      </c>
      <c r="AM670" t="s">
        <v>61</v>
      </c>
      <c r="AN670">
        <f t="shared" si="10"/>
        <v>2</v>
      </c>
    </row>
    <row r="671" spans="1:40">
      <c r="A671">
        <v>39</v>
      </c>
      <c r="B671" t="s">
        <v>38</v>
      </c>
      <c r="C671" t="s">
        <v>39</v>
      </c>
      <c r="D671">
        <v>1122</v>
      </c>
      <c r="E671" t="s">
        <v>53</v>
      </c>
      <c r="F671">
        <v>6</v>
      </c>
      <c r="G671">
        <v>3</v>
      </c>
      <c r="H671" t="s">
        <v>69</v>
      </c>
      <c r="I671">
        <v>932</v>
      </c>
      <c r="J671">
        <v>4</v>
      </c>
      <c r="K671" t="s">
        <v>54</v>
      </c>
      <c r="L671">
        <v>70</v>
      </c>
      <c r="M671">
        <v>3</v>
      </c>
      <c r="N671">
        <v>1</v>
      </c>
      <c r="O671" t="s">
        <v>63</v>
      </c>
      <c r="P671">
        <v>1</v>
      </c>
      <c r="Q671" t="s">
        <v>56</v>
      </c>
      <c r="R671">
        <v>2404</v>
      </c>
      <c r="S671">
        <v>4303</v>
      </c>
      <c r="T671">
        <v>7</v>
      </c>
      <c r="U671" t="s">
        <v>38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  <c r="AG671" t="s">
        <v>45</v>
      </c>
      <c r="AH671" t="s">
        <v>81</v>
      </c>
      <c r="AI671">
        <v>1</v>
      </c>
      <c r="AJ671" t="s">
        <v>47</v>
      </c>
      <c r="AK671" t="s">
        <v>72</v>
      </c>
      <c r="AL671" t="s">
        <v>73</v>
      </c>
      <c r="AM671" t="s">
        <v>50</v>
      </c>
      <c r="AN671">
        <f t="shared" si="10"/>
        <v>12</v>
      </c>
    </row>
    <row r="672" spans="1:40">
      <c r="A672">
        <v>27</v>
      </c>
      <c r="B672" t="s">
        <v>51</v>
      </c>
      <c r="C672" t="s">
        <v>39</v>
      </c>
      <c r="D672">
        <v>618</v>
      </c>
      <c r="E672" t="s">
        <v>53</v>
      </c>
      <c r="F672">
        <v>4</v>
      </c>
      <c r="G672">
        <v>3</v>
      </c>
      <c r="H672" t="s">
        <v>41</v>
      </c>
      <c r="I672">
        <v>933</v>
      </c>
      <c r="J672">
        <v>2</v>
      </c>
      <c r="K672" t="s">
        <v>42</v>
      </c>
      <c r="L672">
        <v>76</v>
      </c>
      <c r="M672">
        <v>3</v>
      </c>
      <c r="N672">
        <v>1</v>
      </c>
      <c r="O672" t="s">
        <v>55</v>
      </c>
      <c r="P672">
        <v>3</v>
      </c>
      <c r="Q672" t="s">
        <v>44</v>
      </c>
      <c r="R672">
        <v>2318</v>
      </c>
      <c r="S672">
        <v>17808</v>
      </c>
      <c r="T672">
        <v>1</v>
      </c>
      <c r="U672" t="s">
        <v>51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  <c r="AG672" t="s">
        <v>67</v>
      </c>
      <c r="AH672" t="s">
        <v>46</v>
      </c>
      <c r="AI672">
        <v>0</v>
      </c>
      <c r="AJ672" t="s">
        <v>65</v>
      </c>
      <c r="AK672" t="s">
        <v>72</v>
      </c>
      <c r="AL672" t="s">
        <v>66</v>
      </c>
      <c r="AM672" t="s">
        <v>61</v>
      </c>
      <c r="AN672">
        <f t="shared" si="10"/>
        <v>0</v>
      </c>
    </row>
    <row r="673" spans="1:40">
      <c r="A673">
        <v>34</v>
      </c>
      <c r="B673" t="s">
        <v>51</v>
      </c>
      <c r="C673" t="s">
        <v>39</v>
      </c>
      <c r="D673">
        <v>546</v>
      </c>
      <c r="E673" t="s">
        <v>53</v>
      </c>
      <c r="F673">
        <v>10</v>
      </c>
      <c r="G673">
        <v>3</v>
      </c>
      <c r="H673" t="s">
        <v>41</v>
      </c>
      <c r="I673">
        <v>934</v>
      </c>
      <c r="J673">
        <v>2</v>
      </c>
      <c r="K673" t="s">
        <v>54</v>
      </c>
      <c r="L673">
        <v>83</v>
      </c>
      <c r="M673">
        <v>3</v>
      </c>
      <c r="N673">
        <v>1</v>
      </c>
      <c r="O673" t="s">
        <v>63</v>
      </c>
      <c r="P673">
        <v>2</v>
      </c>
      <c r="Q673" t="s">
        <v>74</v>
      </c>
      <c r="R673">
        <v>2008</v>
      </c>
      <c r="S673">
        <v>6896</v>
      </c>
      <c r="T673">
        <v>1</v>
      </c>
      <c r="U673" t="s">
        <v>51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  <c r="AG673" t="s">
        <v>67</v>
      </c>
      <c r="AH673" t="s">
        <v>71</v>
      </c>
      <c r="AI673">
        <v>0</v>
      </c>
      <c r="AJ673" t="s">
        <v>65</v>
      </c>
      <c r="AK673" t="s">
        <v>72</v>
      </c>
      <c r="AL673" t="s">
        <v>60</v>
      </c>
      <c r="AM673" t="s">
        <v>61</v>
      </c>
      <c r="AN673">
        <f t="shared" si="10"/>
        <v>4</v>
      </c>
    </row>
    <row r="674" spans="1:40">
      <c r="A674">
        <v>42</v>
      </c>
      <c r="B674" t="s">
        <v>51</v>
      </c>
      <c r="C674" t="s">
        <v>39</v>
      </c>
      <c r="D674">
        <v>462</v>
      </c>
      <c r="E674" t="s">
        <v>40</v>
      </c>
      <c r="F674">
        <v>14</v>
      </c>
      <c r="G674">
        <v>2</v>
      </c>
      <c r="H674" t="s">
        <v>69</v>
      </c>
      <c r="I674">
        <v>936</v>
      </c>
      <c r="J674">
        <v>3</v>
      </c>
      <c r="K674" t="s">
        <v>42</v>
      </c>
      <c r="L674">
        <v>68</v>
      </c>
      <c r="M674">
        <v>2</v>
      </c>
      <c r="N674">
        <v>2</v>
      </c>
      <c r="O674" t="s">
        <v>43</v>
      </c>
      <c r="P674">
        <v>3</v>
      </c>
      <c r="Q674" t="s">
        <v>44</v>
      </c>
      <c r="R674">
        <v>6244</v>
      </c>
      <c r="S674">
        <v>7824</v>
      </c>
      <c r="T674">
        <v>7</v>
      </c>
      <c r="U674" t="s">
        <v>51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  <c r="AG674" t="s">
        <v>45</v>
      </c>
      <c r="AH674" t="s">
        <v>71</v>
      </c>
      <c r="AI674">
        <v>0</v>
      </c>
      <c r="AJ674" t="s">
        <v>65</v>
      </c>
      <c r="AK674" t="s">
        <v>48</v>
      </c>
      <c r="AL674" t="s">
        <v>66</v>
      </c>
      <c r="AM674" t="s">
        <v>61</v>
      </c>
      <c r="AN674">
        <f t="shared" si="10"/>
        <v>0</v>
      </c>
    </row>
    <row r="675" spans="1:40">
      <c r="A675">
        <v>33</v>
      </c>
      <c r="B675" t="s">
        <v>51</v>
      </c>
      <c r="C675" t="s">
        <v>39</v>
      </c>
      <c r="D675">
        <v>1198</v>
      </c>
      <c r="E675" t="s">
        <v>53</v>
      </c>
      <c r="F675">
        <v>1</v>
      </c>
      <c r="G675">
        <v>4</v>
      </c>
      <c r="H675" t="s">
        <v>62</v>
      </c>
      <c r="I675">
        <v>939</v>
      </c>
      <c r="J675">
        <v>3</v>
      </c>
      <c r="K675" t="s">
        <v>54</v>
      </c>
      <c r="L675">
        <v>100</v>
      </c>
      <c r="M675">
        <v>2</v>
      </c>
      <c r="N675">
        <v>1</v>
      </c>
      <c r="O675" t="s">
        <v>55</v>
      </c>
      <c r="P675">
        <v>1</v>
      </c>
      <c r="Q675" t="s">
        <v>44</v>
      </c>
      <c r="R675">
        <v>2799</v>
      </c>
      <c r="S675">
        <v>3339</v>
      </c>
      <c r="T675">
        <v>3</v>
      </c>
      <c r="U675" t="s">
        <v>38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  <c r="AG675" t="s">
        <v>67</v>
      </c>
      <c r="AH675" t="s">
        <v>81</v>
      </c>
      <c r="AI675">
        <v>0</v>
      </c>
      <c r="AJ675" t="s">
        <v>65</v>
      </c>
      <c r="AK675" t="s">
        <v>68</v>
      </c>
      <c r="AL675" t="s">
        <v>73</v>
      </c>
      <c r="AM675" t="s">
        <v>61</v>
      </c>
      <c r="AN675">
        <f t="shared" si="10"/>
        <v>6</v>
      </c>
    </row>
    <row r="676" spans="1:40">
      <c r="A676">
        <v>58</v>
      </c>
      <c r="B676" t="s">
        <v>51</v>
      </c>
      <c r="C676" t="s">
        <v>39</v>
      </c>
      <c r="D676">
        <v>1272</v>
      </c>
      <c r="E676" t="s">
        <v>53</v>
      </c>
      <c r="F676">
        <v>5</v>
      </c>
      <c r="G676">
        <v>3</v>
      </c>
      <c r="H676" t="s">
        <v>86</v>
      </c>
      <c r="I676">
        <v>940</v>
      </c>
      <c r="J676">
        <v>3</v>
      </c>
      <c r="K676" t="s">
        <v>42</v>
      </c>
      <c r="L676">
        <v>37</v>
      </c>
      <c r="M676">
        <v>2</v>
      </c>
      <c r="N676">
        <v>3</v>
      </c>
      <c r="O676" t="s">
        <v>76</v>
      </c>
      <c r="P676">
        <v>2</v>
      </c>
      <c r="Q676" t="s">
        <v>74</v>
      </c>
      <c r="R676">
        <v>10552</v>
      </c>
      <c r="S676">
        <v>9255</v>
      </c>
      <c r="T676">
        <v>2</v>
      </c>
      <c r="U676" t="s">
        <v>38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  <c r="AG676" t="s">
        <v>57</v>
      </c>
      <c r="AH676" t="s">
        <v>71</v>
      </c>
      <c r="AI676">
        <v>0</v>
      </c>
      <c r="AJ676" t="s">
        <v>58</v>
      </c>
      <c r="AK676" t="s">
        <v>72</v>
      </c>
      <c r="AL676" t="s">
        <v>60</v>
      </c>
      <c r="AM676" t="s">
        <v>61</v>
      </c>
      <c r="AN676">
        <f t="shared" si="10"/>
        <v>3</v>
      </c>
    </row>
    <row r="677" spans="1:40">
      <c r="A677">
        <v>31</v>
      </c>
      <c r="B677" t="s">
        <v>51</v>
      </c>
      <c r="C677" t="s">
        <v>39</v>
      </c>
      <c r="D677">
        <v>154</v>
      </c>
      <c r="E677" t="s">
        <v>40</v>
      </c>
      <c r="F677">
        <v>7</v>
      </c>
      <c r="G677">
        <v>4</v>
      </c>
      <c r="H677" t="s">
        <v>41</v>
      </c>
      <c r="I677">
        <v>941</v>
      </c>
      <c r="J677">
        <v>2</v>
      </c>
      <c r="K677" t="s">
        <v>54</v>
      </c>
      <c r="L677">
        <v>41</v>
      </c>
      <c r="M677">
        <v>2</v>
      </c>
      <c r="N677">
        <v>1</v>
      </c>
      <c r="O677" t="s">
        <v>82</v>
      </c>
      <c r="P677">
        <v>3</v>
      </c>
      <c r="Q677" t="s">
        <v>56</v>
      </c>
      <c r="R677">
        <v>2329</v>
      </c>
      <c r="S677">
        <v>11737</v>
      </c>
      <c r="T677">
        <v>3</v>
      </c>
      <c r="U677" t="s">
        <v>51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  <c r="AG677" t="s">
        <v>67</v>
      </c>
      <c r="AH677" t="s">
        <v>46</v>
      </c>
      <c r="AI677">
        <v>0</v>
      </c>
      <c r="AJ677" t="s">
        <v>58</v>
      </c>
      <c r="AK677" t="s">
        <v>68</v>
      </c>
      <c r="AL677" t="s">
        <v>66</v>
      </c>
      <c r="AM677" t="s">
        <v>85</v>
      </c>
      <c r="AN677">
        <f t="shared" si="10"/>
        <v>3</v>
      </c>
    </row>
    <row r="678" spans="1:40">
      <c r="A678">
        <v>35</v>
      </c>
      <c r="B678" t="s">
        <v>51</v>
      </c>
      <c r="C678" t="s">
        <v>39</v>
      </c>
      <c r="D678">
        <v>1137</v>
      </c>
      <c r="E678" t="s">
        <v>53</v>
      </c>
      <c r="F678">
        <v>21</v>
      </c>
      <c r="G678">
        <v>1</v>
      </c>
      <c r="H678" t="s">
        <v>41</v>
      </c>
      <c r="I678">
        <v>942</v>
      </c>
      <c r="J678">
        <v>4</v>
      </c>
      <c r="K678" t="s">
        <v>42</v>
      </c>
      <c r="L678">
        <v>51</v>
      </c>
      <c r="M678">
        <v>3</v>
      </c>
      <c r="N678">
        <v>2</v>
      </c>
      <c r="O678" t="s">
        <v>76</v>
      </c>
      <c r="P678">
        <v>4</v>
      </c>
      <c r="Q678" t="s">
        <v>56</v>
      </c>
      <c r="R678">
        <v>4014</v>
      </c>
      <c r="S678">
        <v>19170</v>
      </c>
      <c r="T678">
        <v>1</v>
      </c>
      <c r="U678" t="s">
        <v>38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  <c r="AG678" t="s">
        <v>67</v>
      </c>
      <c r="AH678" t="s">
        <v>46</v>
      </c>
      <c r="AI678">
        <v>0</v>
      </c>
      <c r="AJ678" t="s">
        <v>47</v>
      </c>
      <c r="AK678" t="s">
        <v>59</v>
      </c>
      <c r="AL678" t="s">
        <v>49</v>
      </c>
      <c r="AM678" t="s">
        <v>50</v>
      </c>
      <c r="AN678">
        <f t="shared" si="10"/>
        <v>1</v>
      </c>
    </row>
    <row r="679" spans="1:40">
      <c r="A679">
        <v>49</v>
      </c>
      <c r="B679" t="s">
        <v>51</v>
      </c>
      <c r="C679" t="s">
        <v>39</v>
      </c>
      <c r="D679">
        <v>527</v>
      </c>
      <c r="E679" t="s">
        <v>53</v>
      </c>
      <c r="F679">
        <v>8</v>
      </c>
      <c r="G679">
        <v>2</v>
      </c>
      <c r="H679" t="s">
        <v>62</v>
      </c>
      <c r="I679">
        <v>944</v>
      </c>
      <c r="J679">
        <v>1</v>
      </c>
      <c r="K679" t="s">
        <v>42</v>
      </c>
      <c r="L679">
        <v>51</v>
      </c>
      <c r="M679">
        <v>3</v>
      </c>
      <c r="N679">
        <v>3</v>
      </c>
      <c r="O679" t="s">
        <v>63</v>
      </c>
      <c r="P679">
        <v>2</v>
      </c>
      <c r="Q679" t="s">
        <v>56</v>
      </c>
      <c r="R679">
        <v>7403</v>
      </c>
      <c r="S679">
        <v>22477</v>
      </c>
      <c r="T679">
        <v>4</v>
      </c>
      <c r="U679" t="s">
        <v>51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  <c r="AG679" t="s">
        <v>57</v>
      </c>
      <c r="AH679" t="s">
        <v>46</v>
      </c>
      <c r="AI679">
        <v>0</v>
      </c>
      <c r="AJ679" t="s">
        <v>47</v>
      </c>
      <c r="AK679" t="s">
        <v>48</v>
      </c>
      <c r="AL679" t="s">
        <v>60</v>
      </c>
      <c r="AM679" t="s">
        <v>70</v>
      </c>
      <c r="AN679">
        <f t="shared" si="10"/>
        <v>6</v>
      </c>
    </row>
    <row r="680" spans="1:40">
      <c r="A680">
        <v>48</v>
      </c>
      <c r="B680" t="s">
        <v>51</v>
      </c>
      <c r="C680" t="s">
        <v>39</v>
      </c>
      <c r="D680">
        <v>1469</v>
      </c>
      <c r="E680" t="s">
        <v>53</v>
      </c>
      <c r="F680">
        <v>20</v>
      </c>
      <c r="G680">
        <v>4</v>
      </c>
      <c r="H680" t="s">
        <v>69</v>
      </c>
      <c r="I680">
        <v>945</v>
      </c>
      <c r="J680">
        <v>4</v>
      </c>
      <c r="K680" t="s">
        <v>54</v>
      </c>
      <c r="L680">
        <v>51</v>
      </c>
      <c r="M680">
        <v>3</v>
      </c>
      <c r="N680">
        <v>1</v>
      </c>
      <c r="O680" t="s">
        <v>55</v>
      </c>
      <c r="P680">
        <v>3</v>
      </c>
      <c r="Q680" t="s">
        <v>56</v>
      </c>
      <c r="R680">
        <v>2259</v>
      </c>
      <c r="S680">
        <v>5543</v>
      </c>
      <c r="T680">
        <v>4</v>
      </c>
      <c r="U680" t="s">
        <v>51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  <c r="AG680" t="s">
        <v>57</v>
      </c>
      <c r="AH680" t="s">
        <v>81</v>
      </c>
      <c r="AI680">
        <v>0</v>
      </c>
      <c r="AJ680" t="s">
        <v>47</v>
      </c>
      <c r="AK680" t="s">
        <v>68</v>
      </c>
      <c r="AL680" t="s">
        <v>66</v>
      </c>
      <c r="AM680" t="s">
        <v>70</v>
      </c>
      <c r="AN680">
        <f t="shared" si="10"/>
        <v>2</v>
      </c>
    </row>
    <row r="681" spans="1:40">
      <c r="A681">
        <v>31</v>
      </c>
      <c r="B681" t="s">
        <v>51</v>
      </c>
      <c r="C681" t="s">
        <v>77</v>
      </c>
      <c r="D681">
        <v>1188</v>
      </c>
      <c r="E681" t="s">
        <v>40</v>
      </c>
      <c r="F681">
        <v>20</v>
      </c>
      <c r="G681">
        <v>2</v>
      </c>
      <c r="H681" t="s">
        <v>84</v>
      </c>
      <c r="I681">
        <v>947</v>
      </c>
      <c r="J681">
        <v>4</v>
      </c>
      <c r="K681" t="s">
        <v>42</v>
      </c>
      <c r="L681">
        <v>45</v>
      </c>
      <c r="M681">
        <v>3</v>
      </c>
      <c r="N681">
        <v>2</v>
      </c>
      <c r="O681" t="s">
        <v>43</v>
      </c>
      <c r="P681">
        <v>3</v>
      </c>
      <c r="Q681" t="s">
        <v>56</v>
      </c>
      <c r="R681">
        <v>6932</v>
      </c>
      <c r="S681">
        <v>24406</v>
      </c>
      <c r="T681">
        <v>1</v>
      </c>
      <c r="U681" t="s">
        <v>51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  <c r="AG681" t="s">
        <v>67</v>
      </c>
      <c r="AH681" t="s">
        <v>46</v>
      </c>
      <c r="AI681">
        <v>0</v>
      </c>
      <c r="AJ681" t="s">
        <v>47</v>
      </c>
      <c r="AK681" t="s">
        <v>48</v>
      </c>
      <c r="AL681" t="s">
        <v>66</v>
      </c>
      <c r="AM681" t="s">
        <v>70</v>
      </c>
      <c r="AN681">
        <f t="shared" si="10"/>
        <v>2</v>
      </c>
    </row>
    <row r="682" spans="1:40">
      <c r="A682">
        <v>36</v>
      </c>
      <c r="B682" t="s">
        <v>51</v>
      </c>
      <c r="C682" t="s">
        <v>39</v>
      </c>
      <c r="D682">
        <v>188</v>
      </c>
      <c r="E682" t="s">
        <v>53</v>
      </c>
      <c r="F682">
        <v>7</v>
      </c>
      <c r="G682">
        <v>4</v>
      </c>
      <c r="H682" t="s">
        <v>62</v>
      </c>
      <c r="I682">
        <v>949</v>
      </c>
      <c r="J682">
        <v>2</v>
      </c>
      <c r="K682" t="s">
        <v>54</v>
      </c>
      <c r="L682">
        <v>65</v>
      </c>
      <c r="M682">
        <v>3</v>
      </c>
      <c r="N682">
        <v>1</v>
      </c>
      <c r="O682" t="s">
        <v>55</v>
      </c>
      <c r="P682">
        <v>4</v>
      </c>
      <c r="Q682" t="s">
        <v>44</v>
      </c>
      <c r="R682">
        <v>4678</v>
      </c>
      <c r="S682">
        <v>23293</v>
      </c>
      <c r="T682">
        <v>2</v>
      </c>
      <c r="U682" t="s">
        <v>51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  <c r="AG682" t="s">
        <v>45</v>
      </c>
      <c r="AH682" t="s">
        <v>46</v>
      </c>
      <c r="AI682">
        <v>0</v>
      </c>
      <c r="AJ682" t="s">
        <v>58</v>
      </c>
      <c r="AK682" t="s">
        <v>68</v>
      </c>
      <c r="AL682" t="s">
        <v>49</v>
      </c>
      <c r="AM682" t="s">
        <v>61</v>
      </c>
      <c r="AN682">
        <f t="shared" si="10"/>
        <v>-3</v>
      </c>
    </row>
    <row r="683" spans="1:40">
      <c r="A683">
        <v>38</v>
      </c>
      <c r="B683" t="s">
        <v>51</v>
      </c>
      <c r="C683" t="s">
        <v>39</v>
      </c>
      <c r="D683">
        <v>1333</v>
      </c>
      <c r="E683" t="s">
        <v>53</v>
      </c>
      <c r="F683">
        <v>1</v>
      </c>
      <c r="G683">
        <v>3</v>
      </c>
      <c r="H683" t="s">
        <v>86</v>
      </c>
      <c r="I683">
        <v>950</v>
      </c>
      <c r="J683">
        <v>4</v>
      </c>
      <c r="K683" t="s">
        <v>42</v>
      </c>
      <c r="L683">
        <v>80</v>
      </c>
      <c r="M683">
        <v>3</v>
      </c>
      <c r="N683">
        <v>3</v>
      </c>
      <c r="O683" t="s">
        <v>83</v>
      </c>
      <c r="P683">
        <v>1</v>
      </c>
      <c r="Q683" t="s">
        <v>56</v>
      </c>
      <c r="R683">
        <v>13582</v>
      </c>
      <c r="S683">
        <v>16292</v>
      </c>
      <c r="T683">
        <v>1</v>
      </c>
      <c r="U683" t="s">
        <v>51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  <c r="AG683" t="s">
        <v>45</v>
      </c>
      <c r="AH683" t="s">
        <v>46</v>
      </c>
      <c r="AI683">
        <v>0</v>
      </c>
      <c r="AJ683" t="s">
        <v>80</v>
      </c>
      <c r="AK683" t="s">
        <v>72</v>
      </c>
      <c r="AL683" t="s">
        <v>73</v>
      </c>
      <c r="AM683" t="s">
        <v>61</v>
      </c>
      <c r="AN683">
        <f t="shared" si="10"/>
        <v>11</v>
      </c>
    </row>
    <row r="684" spans="1:40">
      <c r="A684">
        <v>32</v>
      </c>
      <c r="B684" t="s">
        <v>51</v>
      </c>
      <c r="C684" t="s">
        <v>77</v>
      </c>
      <c r="D684">
        <v>1184</v>
      </c>
      <c r="E684" t="s">
        <v>53</v>
      </c>
      <c r="F684">
        <v>1</v>
      </c>
      <c r="G684">
        <v>3</v>
      </c>
      <c r="H684" t="s">
        <v>41</v>
      </c>
      <c r="I684">
        <v>951</v>
      </c>
      <c r="J684">
        <v>3</v>
      </c>
      <c r="K684" t="s">
        <v>42</v>
      </c>
      <c r="L684">
        <v>70</v>
      </c>
      <c r="M684">
        <v>2</v>
      </c>
      <c r="N684">
        <v>1</v>
      </c>
      <c r="O684" t="s">
        <v>63</v>
      </c>
      <c r="P684">
        <v>2</v>
      </c>
      <c r="Q684" t="s">
        <v>56</v>
      </c>
      <c r="R684">
        <v>2332</v>
      </c>
      <c r="S684">
        <v>3974</v>
      </c>
      <c r="T684">
        <v>6</v>
      </c>
      <c r="U684" t="s">
        <v>51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  <c r="AG684" t="s">
        <v>67</v>
      </c>
      <c r="AH684" t="s">
        <v>81</v>
      </c>
      <c r="AI684">
        <v>0</v>
      </c>
      <c r="AJ684" t="s">
        <v>65</v>
      </c>
      <c r="AK684" t="s">
        <v>72</v>
      </c>
      <c r="AL684" t="s">
        <v>60</v>
      </c>
      <c r="AM684" t="s">
        <v>61</v>
      </c>
      <c r="AN684">
        <f t="shared" si="10"/>
        <v>3</v>
      </c>
    </row>
    <row r="685" spans="1:40">
      <c r="A685">
        <v>25</v>
      </c>
      <c r="B685" t="s">
        <v>38</v>
      </c>
      <c r="C685" t="s">
        <v>39</v>
      </c>
      <c r="D685">
        <v>867</v>
      </c>
      <c r="E685" t="s">
        <v>40</v>
      </c>
      <c r="F685">
        <v>19</v>
      </c>
      <c r="G685">
        <v>2</v>
      </c>
      <c r="H685" t="s">
        <v>84</v>
      </c>
      <c r="I685">
        <v>952</v>
      </c>
      <c r="J685">
        <v>3</v>
      </c>
      <c r="K685" t="s">
        <v>54</v>
      </c>
      <c r="L685">
        <v>36</v>
      </c>
      <c r="M685">
        <v>2</v>
      </c>
      <c r="N685">
        <v>1</v>
      </c>
      <c r="O685" t="s">
        <v>82</v>
      </c>
      <c r="P685">
        <v>2</v>
      </c>
      <c r="Q685" t="s">
        <v>56</v>
      </c>
      <c r="R685">
        <v>2413</v>
      </c>
      <c r="S685">
        <v>18798</v>
      </c>
      <c r="T685">
        <v>1</v>
      </c>
      <c r="U685" t="s">
        <v>38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  <c r="AG685" t="s">
        <v>78</v>
      </c>
      <c r="AH685" t="s">
        <v>46</v>
      </c>
      <c r="AI685">
        <v>1</v>
      </c>
      <c r="AJ685" t="s">
        <v>65</v>
      </c>
      <c r="AK685" t="s">
        <v>48</v>
      </c>
      <c r="AL685" t="s">
        <v>60</v>
      </c>
      <c r="AM685" t="s">
        <v>61</v>
      </c>
      <c r="AN685">
        <f t="shared" si="10"/>
        <v>3</v>
      </c>
    </row>
    <row r="686" spans="1:40">
      <c r="A686">
        <v>40</v>
      </c>
      <c r="B686" t="s">
        <v>51</v>
      </c>
      <c r="C686" t="s">
        <v>39</v>
      </c>
      <c r="D686">
        <v>658</v>
      </c>
      <c r="E686" t="s">
        <v>40</v>
      </c>
      <c r="F686">
        <v>10</v>
      </c>
      <c r="G686">
        <v>4</v>
      </c>
      <c r="H686" t="s">
        <v>84</v>
      </c>
      <c r="I686">
        <v>954</v>
      </c>
      <c r="J686">
        <v>1</v>
      </c>
      <c r="K686" t="s">
        <v>54</v>
      </c>
      <c r="L686">
        <v>67</v>
      </c>
      <c r="M686">
        <v>2</v>
      </c>
      <c r="N686">
        <v>3</v>
      </c>
      <c r="O686" t="s">
        <v>43</v>
      </c>
      <c r="P686">
        <v>2</v>
      </c>
      <c r="Q686" t="s">
        <v>74</v>
      </c>
      <c r="R686">
        <v>9705</v>
      </c>
      <c r="S686">
        <v>20652</v>
      </c>
      <c r="T686">
        <v>2</v>
      </c>
      <c r="U686" t="s">
        <v>51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  <c r="AG686" t="s">
        <v>45</v>
      </c>
      <c r="AH686" t="s">
        <v>46</v>
      </c>
      <c r="AI686">
        <v>0</v>
      </c>
      <c r="AJ686" t="s">
        <v>47</v>
      </c>
      <c r="AK686" t="s">
        <v>68</v>
      </c>
      <c r="AL686" t="s">
        <v>60</v>
      </c>
      <c r="AM686" t="s">
        <v>70</v>
      </c>
      <c r="AN686">
        <f t="shared" si="10"/>
        <v>5</v>
      </c>
    </row>
    <row r="687" spans="1:40">
      <c r="A687">
        <v>26</v>
      </c>
      <c r="B687" t="s">
        <v>51</v>
      </c>
      <c r="C687" t="s">
        <v>52</v>
      </c>
      <c r="D687">
        <v>1283</v>
      </c>
      <c r="E687" t="s">
        <v>40</v>
      </c>
      <c r="F687">
        <v>1</v>
      </c>
      <c r="G687">
        <v>3</v>
      </c>
      <c r="H687" t="s">
        <v>69</v>
      </c>
      <c r="I687">
        <v>956</v>
      </c>
      <c r="J687">
        <v>3</v>
      </c>
      <c r="K687" t="s">
        <v>54</v>
      </c>
      <c r="L687">
        <v>52</v>
      </c>
      <c r="M687">
        <v>2</v>
      </c>
      <c r="N687">
        <v>2</v>
      </c>
      <c r="O687" t="s">
        <v>43</v>
      </c>
      <c r="P687">
        <v>1</v>
      </c>
      <c r="Q687" t="s">
        <v>44</v>
      </c>
      <c r="R687">
        <v>4294</v>
      </c>
      <c r="S687">
        <v>11148</v>
      </c>
      <c r="T687">
        <v>1</v>
      </c>
      <c r="U687" t="s">
        <v>51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  <c r="AG687" t="s">
        <v>67</v>
      </c>
      <c r="AH687" t="s">
        <v>46</v>
      </c>
      <c r="AI687">
        <v>0</v>
      </c>
      <c r="AJ687" t="s">
        <v>58</v>
      </c>
      <c r="AK687" t="s">
        <v>72</v>
      </c>
      <c r="AL687" t="s">
        <v>73</v>
      </c>
      <c r="AM687" t="s">
        <v>61</v>
      </c>
      <c r="AN687">
        <f t="shared" si="10"/>
        <v>6</v>
      </c>
    </row>
    <row r="688" spans="1:40">
      <c r="A688">
        <v>41</v>
      </c>
      <c r="B688" t="s">
        <v>51</v>
      </c>
      <c r="C688" t="s">
        <v>39</v>
      </c>
      <c r="D688">
        <v>263</v>
      </c>
      <c r="E688" t="s">
        <v>53</v>
      </c>
      <c r="F688">
        <v>6</v>
      </c>
      <c r="G688">
        <v>3</v>
      </c>
      <c r="H688" t="s">
        <v>69</v>
      </c>
      <c r="I688">
        <v>957</v>
      </c>
      <c r="J688">
        <v>4</v>
      </c>
      <c r="K688" t="s">
        <v>54</v>
      </c>
      <c r="L688">
        <v>59</v>
      </c>
      <c r="M688">
        <v>3</v>
      </c>
      <c r="N688">
        <v>1</v>
      </c>
      <c r="O688" t="s">
        <v>63</v>
      </c>
      <c r="P688">
        <v>1</v>
      </c>
      <c r="Q688" t="s">
        <v>44</v>
      </c>
      <c r="R688">
        <v>4721</v>
      </c>
      <c r="S688">
        <v>3119</v>
      </c>
      <c r="T688">
        <v>2</v>
      </c>
      <c r="U688" t="s">
        <v>38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  <c r="AG688" t="s">
        <v>45</v>
      </c>
      <c r="AH688" t="s">
        <v>81</v>
      </c>
      <c r="AI688">
        <v>0</v>
      </c>
      <c r="AJ688" t="s">
        <v>80</v>
      </c>
      <c r="AK688" t="s">
        <v>72</v>
      </c>
      <c r="AL688" t="s">
        <v>73</v>
      </c>
      <c r="AM688" t="s">
        <v>61</v>
      </c>
      <c r="AN688">
        <f t="shared" si="10"/>
        <v>8</v>
      </c>
    </row>
    <row r="689" spans="1:40">
      <c r="A689">
        <v>36</v>
      </c>
      <c r="B689" t="s">
        <v>51</v>
      </c>
      <c r="C689" t="s">
        <v>39</v>
      </c>
      <c r="D689">
        <v>938</v>
      </c>
      <c r="E689" t="s">
        <v>53</v>
      </c>
      <c r="F689">
        <v>2</v>
      </c>
      <c r="G689">
        <v>4</v>
      </c>
      <c r="H689" t="s">
        <v>69</v>
      </c>
      <c r="I689">
        <v>958</v>
      </c>
      <c r="J689">
        <v>3</v>
      </c>
      <c r="K689" t="s">
        <v>54</v>
      </c>
      <c r="L689">
        <v>79</v>
      </c>
      <c r="M689">
        <v>3</v>
      </c>
      <c r="N689">
        <v>1</v>
      </c>
      <c r="O689" t="s">
        <v>63</v>
      </c>
      <c r="P689">
        <v>3</v>
      </c>
      <c r="Q689" t="s">
        <v>44</v>
      </c>
      <c r="R689">
        <v>2519</v>
      </c>
      <c r="S689">
        <v>12287</v>
      </c>
      <c r="T689">
        <v>4</v>
      </c>
      <c r="U689" t="s">
        <v>51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  <c r="AG689" t="s">
        <v>45</v>
      </c>
      <c r="AH689" t="s">
        <v>46</v>
      </c>
      <c r="AI689">
        <v>0</v>
      </c>
      <c r="AJ689" t="s">
        <v>80</v>
      </c>
      <c r="AK689" t="s">
        <v>68</v>
      </c>
      <c r="AL689" t="s">
        <v>66</v>
      </c>
      <c r="AM689" t="s">
        <v>61</v>
      </c>
      <c r="AN689">
        <f t="shared" si="10"/>
        <v>3</v>
      </c>
    </row>
    <row r="690" spans="1:40">
      <c r="A690">
        <v>19</v>
      </c>
      <c r="B690" t="s">
        <v>38</v>
      </c>
      <c r="C690" t="s">
        <v>39</v>
      </c>
      <c r="D690">
        <v>419</v>
      </c>
      <c r="E690" t="s">
        <v>40</v>
      </c>
      <c r="F690">
        <v>21</v>
      </c>
      <c r="G690">
        <v>3</v>
      </c>
      <c r="H690" t="s">
        <v>62</v>
      </c>
      <c r="I690">
        <v>959</v>
      </c>
      <c r="J690">
        <v>4</v>
      </c>
      <c r="K690" t="s">
        <v>54</v>
      </c>
      <c r="L690">
        <v>37</v>
      </c>
      <c r="M690">
        <v>2</v>
      </c>
      <c r="N690">
        <v>1</v>
      </c>
      <c r="O690" t="s">
        <v>82</v>
      </c>
      <c r="P690">
        <v>2</v>
      </c>
      <c r="Q690" t="s">
        <v>44</v>
      </c>
      <c r="R690">
        <v>2121</v>
      </c>
      <c r="S690">
        <v>9947</v>
      </c>
      <c r="T690">
        <v>1</v>
      </c>
      <c r="U690" t="s">
        <v>38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  <c r="AG690" t="s">
        <v>78</v>
      </c>
      <c r="AH690" t="s">
        <v>71</v>
      </c>
      <c r="AI690">
        <v>1</v>
      </c>
      <c r="AJ690" t="s">
        <v>65</v>
      </c>
      <c r="AK690" t="s">
        <v>72</v>
      </c>
      <c r="AL690" t="s">
        <v>60</v>
      </c>
      <c r="AM690" t="s">
        <v>85</v>
      </c>
      <c r="AN690">
        <f t="shared" si="10"/>
        <v>1</v>
      </c>
    </row>
    <row r="691" spans="1:40">
      <c r="A691">
        <v>20</v>
      </c>
      <c r="B691" t="s">
        <v>38</v>
      </c>
      <c r="C691" t="s">
        <v>39</v>
      </c>
      <c r="D691">
        <v>129</v>
      </c>
      <c r="E691" t="s">
        <v>53</v>
      </c>
      <c r="F691">
        <v>4</v>
      </c>
      <c r="G691">
        <v>3</v>
      </c>
      <c r="H691" t="s">
        <v>86</v>
      </c>
      <c r="I691">
        <v>960</v>
      </c>
      <c r="J691">
        <v>1</v>
      </c>
      <c r="K691" t="s">
        <v>54</v>
      </c>
      <c r="L691">
        <v>84</v>
      </c>
      <c r="M691">
        <v>3</v>
      </c>
      <c r="N691">
        <v>1</v>
      </c>
      <c r="O691" t="s">
        <v>63</v>
      </c>
      <c r="P691">
        <v>1</v>
      </c>
      <c r="Q691" t="s">
        <v>44</v>
      </c>
      <c r="R691">
        <v>2973</v>
      </c>
      <c r="S691">
        <v>13008</v>
      </c>
      <c r="T691">
        <v>1</v>
      </c>
      <c r="U691" t="s">
        <v>51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  <c r="AG691" t="s">
        <v>78</v>
      </c>
      <c r="AH691" t="s">
        <v>46</v>
      </c>
      <c r="AI691">
        <v>1</v>
      </c>
      <c r="AJ691" t="s">
        <v>65</v>
      </c>
      <c r="AK691" t="s">
        <v>72</v>
      </c>
      <c r="AL691" t="s">
        <v>73</v>
      </c>
      <c r="AM691" t="s">
        <v>61</v>
      </c>
      <c r="AN691">
        <f t="shared" si="10"/>
        <v>6</v>
      </c>
    </row>
    <row r="692" spans="1:40">
      <c r="A692">
        <v>31</v>
      </c>
      <c r="B692" t="s">
        <v>51</v>
      </c>
      <c r="C692" t="s">
        <v>39</v>
      </c>
      <c r="D692">
        <v>616</v>
      </c>
      <c r="E692" t="s">
        <v>53</v>
      </c>
      <c r="F692">
        <v>12</v>
      </c>
      <c r="G692">
        <v>3</v>
      </c>
      <c r="H692" t="s">
        <v>69</v>
      </c>
      <c r="I692">
        <v>961</v>
      </c>
      <c r="J692">
        <v>4</v>
      </c>
      <c r="K692" t="s">
        <v>42</v>
      </c>
      <c r="L692">
        <v>41</v>
      </c>
      <c r="M692">
        <v>3</v>
      </c>
      <c r="N692">
        <v>2</v>
      </c>
      <c r="O692" t="s">
        <v>76</v>
      </c>
      <c r="P692">
        <v>4</v>
      </c>
      <c r="Q692" t="s">
        <v>56</v>
      </c>
      <c r="R692">
        <v>5855</v>
      </c>
      <c r="S692">
        <v>17369</v>
      </c>
      <c r="T692">
        <v>0</v>
      </c>
      <c r="U692" t="s">
        <v>38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  <c r="AG692" t="s">
        <v>67</v>
      </c>
      <c r="AH692" t="s">
        <v>46</v>
      </c>
      <c r="AI692">
        <v>0</v>
      </c>
      <c r="AJ692" t="s">
        <v>47</v>
      </c>
      <c r="AK692" t="s">
        <v>72</v>
      </c>
      <c r="AL692" t="s">
        <v>49</v>
      </c>
      <c r="AM692" t="s">
        <v>50</v>
      </c>
      <c r="AN692">
        <f t="shared" si="10"/>
        <v>9</v>
      </c>
    </row>
    <row r="693" spans="1:40">
      <c r="A693">
        <v>40</v>
      </c>
      <c r="B693" t="s">
        <v>51</v>
      </c>
      <c r="C693" t="s">
        <v>52</v>
      </c>
      <c r="D693">
        <v>1469</v>
      </c>
      <c r="E693" t="s">
        <v>53</v>
      </c>
      <c r="F693">
        <v>9</v>
      </c>
      <c r="G693">
        <v>4</v>
      </c>
      <c r="H693" t="s">
        <v>69</v>
      </c>
      <c r="I693">
        <v>964</v>
      </c>
      <c r="J693">
        <v>4</v>
      </c>
      <c r="K693" t="s">
        <v>54</v>
      </c>
      <c r="L693">
        <v>35</v>
      </c>
      <c r="M693">
        <v>3</v>
      </c>
      <c r="N693">
        <v>1</v>
      </c>
      <c r="O693" t="s">
        <v>55</v>
      </c>
      <c r="P693">
        <v>2</v>
      </c>
      <c r="Q693" t="s">
        <v>74</v>
      </c>
      <c r="R693">
        <v>3617</v>
      </c>
      <c r="S693">
        <v>25063</v>
      </c>
      <c r="T693">
        <v>8</v>
      </c>
      <c r="U693" t="s">
        <v>38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  <c r="AG693" t="s">
        <v>45</v>
      </c>
      <c r="AH693" t="s">
        <v>46</v>
      </c>
      <c r="AI693">
        <v>0</v>
      </c>
      <c r="AJ693" t="s">
        <v>65</v>
      </c>
      <c r="AK693" t="s">
        <v>68</v>
      </c>
      <c r="AL693" t="s">
        <v>60</v>
      </c>
      <c r="AM693" t="s">
        <v>61</v>
      </c>
      <c r="AN693">
        <f t="shared" si="10"/>
        <v>3</v>
      </c>
    </row>
    <row r="694" spans="1:40">
      <c r="A694">
        <v>32</v>
      </c>
      <c r="B694" t="s">
        <v>51</v>
      </c>
      <c r="C694" t="s">
        <v>39</v>
      </c>
      <c r="D694">
        <v>498</v>
      </c>
      <c r="E694" t="s">
        <v>53</v>
      </c>
      <c r="F694">
        <v>3</v>
      </c>
      <c r="G694">
        <v>4</v>
      </c>
      <c r="H694" t="s">
        <v>69</v>
      </c>
      <c r="I694">
        <v>966</v>
      </c>
      <c r="J694">
        <v>3</v>
      </c>
      <c r="K694" t="s">
        <v>42</v>
      </c>
      <c r="L694">
        <v>93</v>
      </c>
      <c r="M694">
        <v>3</v>
      </c>
      <c r="N694">
        <v>2</v>
      </c>
      <c r="O694" t="s">
        <v>75</v>
      </c>
      <c r="P694">
        <v>1</v>
      </c>
      <c r="Q694" t="s">
        <v>56</v>
      </c>
      <c r="R694">
        <v>6725</v>
      </c>
      <c r="S694">
        <v>13554</v>
      </c>
      <c r="T694">
        <v>1</v>
      </c>
      <c r="U694" t="s">
        <v>51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  <c r="AG694" t="s">
        <v>67</v>
      </c>
      <c r="AH694" t="s">
        <v>46</v>
      </c>
      <c r="AI694">
        <v>0</v>
      </c>
      <c r="AJ694" t="s">
        <v>58</v>
      </c>
      <c r="AK694" t="s">
        <v>68</v>
      </c>
      <c r="AL694" t="s">
        <v>73</v>
      </c>
      <c r="AM694" t="s">
        <v>85</v>
      </c>
      <c r="AN694">
        <f t="shared" si="10"/>
        <v>10</v>
      </c>
    </row>
    <row r="695" spans="1:40">
      <c r="A695">
        <v>36</v>
      </c>
      <c r="B695" t="s">
        <v>38</v>
      </c>
      <c r="C695" t="s">
        <v>39</v>
      </c>
      <c r="D695">
        <v>530</v>
      </c>
      <c r="E695" t="s">
        <v>40</v>
      </c>
      <c r="F695">
        <v>3</v>
      </c>
      <c r="G695">
        <v>1</v>
      </c>
      <c r="H695" t="s">
        <v>41</v>
      </c>
      <c r="I695">
        <v>967</v>
      </c>
      <c r="J695">
        <v>3</v>
      </c>
      <c r="K695" t="s">
        <v>54</v>
      </c>
      <c r="L695">
        <v>51</v>
      </c>
      <c r="M695">
        <v>2</v>
      </c>
      <c r="N695">
        <v>3</v>
      </c>
      <c r="O695" t="s">
        <v>43</v>
      </c>
      <c r="P695">
        <v>4</v>
      </c>
      <c r="Q695" t="s">
        <v>56</v>
      </c>
      <c r="R695">
        <v>10325</v>
      </c>
      <c r="S695">
        <v>5518</v>
      </c>
      <c r="T695">
        <v>1</v>
      </c>
      <c r="U695" t="s">
        <v>38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  <c r="AG695" t="s">
        <v>45</v>
      </c>
      <c r="AH695" t="s">
        <v>81</v>
      </c>
      <c r="AI695">
        <v>1</v>
      </c>
      <c r="AJ695" t="s">
        <v>80</v>
      </c>
      <c r="AK695" t="s">
        <v>59</v>
      </c>
      <c r="AL695" t="s">
        <v>49</v>
      </c>
      <c r="AM695" t="s">
        <v>61</v>
      </c>
      <c r="AN695">
        <f t="shared" si="10"/>
        <v>0</v>
      </c>
    </row>
    <row r="696" spans="1:40">
      <c r="A696">
        <v>33</v>
      </c>
      <c r="B696" t="s">
        <v>51</v>
      </c>
      <c r="C696" t="s">
        <v>39</v>
      </c>
      <c r="D696">
        <v>1069</v>
      </c>
      <c r="E696" t="s">
        <v>53</v>
      </c>
      <c r="F696">
        <v>1</v>
      </c>
      <c r="G696">
        <v>3</v>
      </c>
      <c r="H696" t="s">
        <v>41</v>
      </c>
      <c r="I696">
        <v>969</v>
      </c>
      <c r="J696">
        <v>2</v>
      </c>
      <c r="K696" t="s">
        <v>42</v>
      </c>
      <c r="L696">
        <v>42</v>
      </c>
      <c r="M696">
        <v>2</v>
      </c>
      <c r="N696">
        <v>2</v>
      </c>
      <c r="O696" t="s">
        <v>76</v>
      </c>
      <c r="P696">
        <v>4</v>
      </c>
      <c r="Q696" t="s">
        <v>44</v>
      </c>
      <c r="R696">
        <v>6949</v>
      </c>
      <c r="S696">
        <v>12291</v>
      </c>
      <c r="T696">
        <v>0</v>
      </c>
      <c r="U696" t="s">
        <v>51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  <c r="AG696" t="s">
        <v>67</v>
      </c>
      <c r="AH696" t="s">
        <v>46</v>
      </c>
      <c r="AI696">
        <v>0</v>
      </c>
      <c r="AJ696" t="s">
        <v>65</v>
      </c>
      <c r="AK696" t="s">
        <v>72</v>
      </c>
      <c r="AL696" t="s">
        <v>49</v>
      </c>
      <c r="AM696" t="s">
        <v>61</v>
      </c>
      <c r="AN696">
        <f t="shared" si="10"/>
        <v>-2</v>
      </c>
    </row>
    <row r="697" spans="1:40">
      <c r="A697">
        <v>37</v>
      </c>
      <c r="B697" t="s">
        <v>38</v>
      </c>
      <c r="C697" t="s">
        <v>39</v>
      </c>
      <c r="D697">
        <v>625</v>
      </c>
      <c r="E697" t="s">
        <v>40</v>
      </c>
      <c r="F697">
        <v>1</v>
      </c>
      <c r="G697">
        <v>4</v>
      </c>
      <c r="H697" t="s">
        <v>41</v>
      </c>
      <c r="I697">
        <v>970</v>
      </c>
      <c r="J697">
        <v>1</v>
      </c>
      <c r="K697" t="s">
        <v>54</v>
      </c>
      <c r="L697">
        <v>46</v>
      </c>
      <c r="M697">
        <v>2</v>
      </c>
      <c r="N697">
        <v>3</v>
      </c>
      <c r="O697" t="s">
        <v>43</v>
      </c>
      <c r="P697">
        <v>3</v>
      </c>
      <c r="Q697" t="s">
        <v>56</v>
      </c>
      <c r="R697">
        <v>10609</v>
      </c>
      <c r="S697">
        <v>14922</v>
      </c>
      <c r="T697">
        <v>5</v>
      </c>
      <c r="U697" t="s">
        <v>51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  <c r="AG697" t="s">
        <v>45</v>
      </c>
      <c r="AH697" t="s">
        <v>46</v>
      </c>
      <c r="AI697">
        <v>1</v>
      </c>
      <c r="AJ697" t="s">
        <v>47</v>
      </c>
      <c r="AK697" t="s">
        <v>68</v>
      </c>
      <c r="AL697" t="s">
        <v>66</v>
      </c>
      <c r="AM697" t="s">
        <v>50</v>
      </c>
      <c r="AN697">
        <f t="shared" si="10"/>
        <v>15</v>
      </c>
    </row>
    <row r="698" spans="1:40">
      <c r="A698">
        <v>45</v>
      </c>
      <c r="B698" t="s">
        <v>51</v>
      </c>
      <c r="C698" t="s">
        <v>77</v>
      </c>
      <c r="D698">
        <v>805</v>
      </c>
      <c r="E698" t="s">
        <v>53</v>
      </c>
      <c r="F698">
        <v>4</v>
      </c>
      <c r="G698">
        <v>2</v>
      </c>
      <c r="H698" t="s">
        <v>41</v>
      </c>
      <c r="I698">
        <v>972</v>
      </c>
      <c r="J698">
        <v>3</v>
      </c>
      <c r="K698" t="s">
        <v>54</v>
      </c>
      <c r="L698">
        <v>57</v>
      </c>
      <c r="M698">
        <v>3</v>
      </c>
      <c r="N698">
        <v>2</v>
      </c>
      <c r="O698" t="s">
        <v>63</v>
      </c>
      <c r="P698">
        <v>2</v>
      </c>
      <c r="Q698" t="s">
        <v>56</v>
      </c>
      <c r="R698">
        <v>4447</v>
      </c>
      <c r="S698">
        <v>23163</v>
      </c>
      <c r="T698">
        <v>1</v>
      </c>
      <c r="U698" t="s">
        <v>51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  <c r="AG698" t="s">
        <v>45</v>
      </c>
      <c r="AH698" t="s">
        <v>46</v>
      </c>
      <c r="AI698">
        <v>0</v>
      </c>
      <c r="AJ698" t="s">
        <v>47</v>
      </c>
      <c r="AK698" t="s">
        <v>48</v>
      </c>
      <c r="AL698" t="s">
        <v>60</v>
      </c>
      <c r="AM698" t="s">
        <v>70</v>
      </c>
      <c r="AN698">
        <f t="shared" si="10"/>
        <v>5</v>
      </c>
    </row>
    <row r="699" spans="1:40">
      <c r="A699">
        <v>29</v>
      </c>
      <c r="B699" t="s">
        <v>51</v>
      </c>
      <c r="C699" t="s">
        <v>52</v>
      </c>
      <c r="D699">
        <v>1404</v>
      </c>
      <c r="E699" t="s">
        <v>40</v>
      </c>
      <c r="F699">
        <v>20</v>
      </c>
      <c r="G699">
        <v>3</v>
      </c>
      <c r="H699" t="s">
        <v>86</v>
      </c>
      <c r="I699">
        <v>974</v>
      </c>
      <c r="J699">
        <v>3</v>
      </c>
      <c r="K699" t="s">
        <v>42</v>
      </c>
      <c r="L699">
        <v>84</v>
      </c>
      <c r="M699">
        <v>3</v>
      </c>
      <c r="N699">
        <v>1</v>
      </c>
      <c r="O699" t="s">
        <v>82</v>
      </c>
      <c r="P699">
        <v>4</v>
      </c>
      <c r="Q699" t="s">
        <v>56</v>
      </c>
      <c r="R699">
        <v>2157</v>
      </c>
      <c r="S699">
        <v>18203</v>
      </c>
      <c r="T699">
        <v>1</v>
      </c>
      <c r="U699" t="s">
        <v>51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  <c r="AG699" t="s">
        <v>67</v>
      </c>
      <c r="AH699" t="s">
        <v>46</v>
      </c>
      <c r="AI699">
        <v>0</v>
      </c>
      <c r="AJ699" t="s">
        <v>65</v>
      </c>
      <c r="AK699" t="s">
        <v>72</v>
      </c>
      <c r="AL699" t="s">
        <v>49</v>
      </c>
      <c r="AM699" t="s">
        <v>61</v>
      </c>
      <c r="AN699">
        <f t="shared" si="10"/>
        <v>-3</v>
      </c>
    </row>
    <row r="700" spans="1:40">
      <c r="A700">
        <v>35</v>
      </c>
      <c r="B700" t="s">
        <v>51</v>
      </c>
      <c r="C700" t="s">
        <v>39</v>
      </c>
      <c r="D700">
        <v>1219</v>
      </c>
      <c r="E700" t="s">
        <v>40</v>
      </c>
      <c r="F700">
        <v>18</v>
      </c>
      <c r="G700">
        <v>3</v>
      </c>
      <c r="H700" t="s">
        <v>69</v>
      </c>
      <c r="I700">
        <v>975</v>
      </c>
      <c r="J700">
        <v>3</v>
      </c>
      <c r="K700" t="s">
        <v>42</v>
      </c>
      <c r="L700">
        <v>86</v>
      </c>
      <c r="M700">
        <v>3</v>
      </c>
      <c r="N700">
        <v>2</v>
      </c>
      <c r="O700" t="s">
        <v>43</v>
      </c>
      <c r="P700">
        <v>3</v>
      </c>
      <c r="Q700" t="s">
        <v>56</v>
      </c>
      <c r="R700">
        <v>4601</v>
      </c>
      <c r="S700">
        <v>6179</v>
      </c>
      <c r="T700">
        <v>1</v>
      </c>
      <c r="U700" t="s">
        <v>51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  <c r="AG700" t="s">
        <v>67</v>
      </c>
      <c r="AH700" t="s">
        <v>71</v>
      </c>
      <c r="AI700">
        <v>0</v>
      </c>
      <c r="AJ700" t="s">
        <v>65</v>
      </c>
      <c r="AK700" t="s">
        <v>72</v>
      </c>
      <c r="AL700" t="s">
        <v>66</v>
      </c>
      <c r="AM700" t="s">
        <v>61</v>
      </c>
      <c r="AN700">
        <f t="shared" si="10"/>
        <v>1</v>
      </c>
    </row>
    <row r="701" spans="1:40">
      <c r="A701">
        <v>52</v>
      </c>
      <c r="B701" t="s">
        <v>51</v>
      </c>
      <c r="C701" t="s">
        <v>39</v>
      </c>
      <c r="D701">
        <v>1053</v>
      </c>
      <c r="E701" t="s">
        <v>53</v>
      </c>
      <c r="F701">
        <v>1</v>
      </c>
      <c r="G701">
        <v>2</v>
      </c>
      <c r="H701" t="s">
        <v>41</v>
      </c>
      <c r="I701">
        <v>976</v>
      </c>
      <c r="J701">
        <v>4</v>
      </c>
      <c r="K701" t="s">
        <v>54</v>
      </c>
      <c r="L701">
        <v>70</v>
      </c>
      <c r="M701">
        <v>3</v>
      </c>
      <c r="N701">
        <v>4</v>
      </c>
      <c r="O701" t="s">
        <v>79</v>
      </c>
      <c r="P701">
        <v>4</v>
      </c>
      <c r="Q701" t="s">
        <v>56</v>
      </c>
      <c r="R701">
        <v>17099</v>
      </c>
      <c r="S701">
        <v>13829</v>
      </c>
      <c r="T701">
        <v>2</v>
      </c>
      <c r="U701" t="s">
        <v>51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  <c r="AG701" t="s">
        <v>57</v>
      </c>
      <c r="AH701" t="s">
        <v>46</v>
      </c>
      <c r="AI701">
        <v>0</v>
      </c>
      <c r="AJ701" t="s">
        <v>47</v>
      </c>
      <c r="AK701" t="s">
        <v>48</v>
      </c>
      <c r="AL701" t="s">
        <v>49</v>
      </c>
      <c r="AM701" t="s">
        <v>70</v>
      </c>
      <c r="AN701">
        <f t="shared" si="10"/>
        <v>6</v>
      </c>
    </row>
    <row r="702" spans="1:40">
      <c r="A702">
        <v>58</v>
      </c>
      <c r="B702" t="s">
        <v>38</v>
      </c>
      <c r="C702" t="s">
        <v>39</v>
      </c>
      <c r="D702">
        <v>289</v>
      </c>
      <c r="E702" t="s">
        <v>53</v>
      </c>
      <c r="F702">
        <v>2</v>
      </c>
      <c r="G702">
        <v>3</v>
      </c>
      <c r="H702" t="s">
        <v>86</v>
      </c>
      <c r="I702">
        <v>977</v>
      </c>
      <c r="J702">
        <v>4</v>
      </c>
      <c r="K702" t="s">
        <v>54</v>
      </c>
      <c r="L702">
        <v>51</v>
      </c>
      <c r="M702">
        <v>3</v>
      </c>
      <c r="N702">
        <v>1</v>
      </c>
      <c r="O702" t="s">
        <v>55</v>
      </c>
      <c r="P702">
        <v>3</v>
      </c>
      <c r="Q702" t="s">
        <v>44</v>
      </c>
      <c r="R702">
        <v>2479</v>
      </c>
      <c r="S702">
        <v>26227</v>
      </c>
      <c r="T702">
        <v>4</v>
      </c>
      <c r="U702" t="s">
        <v>51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  <c r="AG702" t="s">
        <v>57</v>
      </c>
      <c r="AH702" t="s">
        <v>46</v>
      </c>
      <c r="AI702">
        <v>1</v>
      </c>
      <c r="AJ702" t="s">
        <v>65</v>
      </c>
      <c r="AK702" t="s">
        <v>72</v>
      </c>
      <c r="AL702" t="s">
        <v>66</v>
      </c>
      <c r="AM702" t="s">
        <v>61</v>
      </c>
      <c r="AN702">
        <f t="shared" si="10"/>
        <v>0</v>
      </c>
    </row>
    <row r="703" spans="1:40">
      <c r="A703">
        <v>53</v>
      </c>
      <c r="B703" t="s">
        <v>51</v>
      </c>
      <c r="C703" t="s">
        <v>39</v>
      </c>
      <c r="D703">
        <v>1376</v>
      </c>
      <c r="E703" t="s">
        <v>40</v>
      </c>
      <c r="F703">
        <v>2</v>
      </c>
      <c r="G703">
        <v>2</v>
      </c>
      <c r="H703" t="s">
        <v>69</v>
      </c>
      <c r="I703">
        <v>981</v>
      </c>
      <c r="J703">
        <v>3</v>
      </c>
      <c r="K703" t="s">
        <v>54</v>
      </c>
      <c r="L703">
        <v>45</v>
      </c>
      <c r="M703">
        <v>3</v>
      </c>
      <c r="N703">
        <v>4</v>
      </c>
      <c r="O703" t="s">
        <v>79</v>
      </c>
      <c r="P703">
        <v>3</v>
      </c>
      <c r="Q703" t="s">
        <v>74</v>
      </c>
      <c r="R703">
        <v>14852</v>
      </c>
      <c r="S703">
        <v>13938</v>
      </c>
      <c r="T703">
        <v>6</v>
      </c>
      <c r="U703" t="s">
        <v>51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  <c r="AG703" t="s">
        <v>57</v>
      </c>
      <c r="AH703" t="s">
        <v>46</v>
      </c>
      <c r="AI703">
        <v>0</v>
      </c>
      <c r="AJ703" t="s">
        <v>80</v>
      </c>
      <c r="AK703" t="s">
        <v>48</v>
      </c>
      <c r="AL703" t="s">
        <v>66</v>
      </c>
      <c r="AM703" t="s">
        <v>85</v>
      </c>
      <c r="AN703">
        <f t="shared" si="10"/>
        <v>13</v>
      </c>
    </row>
    <row r="704" spans="1:40">
      <c r="A704">
        <v>30</v>
      </c>
      <c r="B704" t="s">
        <v>51</v>
      </c>
      <c r="C704" t="s">
        <v>39</v>
      </c>
      <c r="D704">
        <v>231</v>
      </c>
      <c r="E704" t="s">
        <v>40</v>
      </c>
      <c r="F704">
        <v>8</v>
      </c>
      <c r="G704">
        <v>2</v>
      </c>
      <c r="H704" t="s">
        <v>62</v>
      </c>
      <c r="I704">
        <v>982</v>
      </c>
      <c r="J704">
        <v>3</v>
      </c>
      <c r="K704" t="s">
        <v>54</v>
      </c>
      <c r="L704">
        <v>62</v>
      </c>
      <c r="M704">
        <v>3</v>
      </c>
      <c r="N704">
        <v>3</v>
      </c>
      <c r="O704" t="s">
        <v>43</v>
      </c>
      <c r="P704">
        <v>3</v>
      </c>
      <c r="Q704" t="s">
        <v>74</v>
      </c>
      <c r="R704">
        <v>7264</v>
      </c>
      <c r="S704">
        <v>9977</v>
      </c>
      <c r="T704">
        <v>5</v>
      </c>
      <c r="U704" t="s">
        <v>51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  <c r="AG704" t="s">
        <v>67</v>
      </c>
      <c r="AH704" t="s">
        <v>71</v>
      </c>
      <c r="AI704">
        <v>0</v>
      </c>
      <c r="AJ704" t="s">
        <v>58</v>
      </c>
      <c r="AK704" t="s">
        <v>48</v>
      </c>
      <c r="AL704" t="s">
        <v>66</v>
      </c>
      <c r="AM704" t="s">
        <v>85</v>
      </c>
      <c r="AN704">
        <f t="shared" si="10"/>
        <v>5</v>
      </c>
    </row>
    <row r="705" spans="1:40">
      <c r="A705">
        <v>38</v>
      </c>
      <c r="B705" t="s">
        <v>51</v>
      </c>
      <c r="C705" t="s">
        <v>77</v>
      </c>
      <c r="D705">
        <v>152</v>
      </c>
      <c r="E705" t="s">
        <v>40</v>
      </c>
      <c r="F705">
        <v>10</v>
      </c>
      <c r="G705">
        <v>3</v>
      </c>
      <c r="H705" t="s">
        <v>86</v>
      </c>
      <c r="I705">
        <v>983</v>
      </c>
      <c r="J705">
        <v>3</v>
      </c>
      <c r="K705" t="s">
        <v>42</v>
      </c>
      <c r="L705">
        <v>85</v>
      </c>
      <c r="M705">
        <v>3</v>
      </c>
      <c r="N705">
        <v>2</v>
      </c>
      <c r="O705" t="s">
        <v>43</v>
      </c>
      <c r="P705">
        <v>4</v>
      </c>
      <c r="Q705" t="s">
        <v>44</v>
      </c>
      <c r="R705">
        <v>5666</v>
      </c>
      <c r="S705">
        <v>19899</v>
      </c>
      <c r="T705">
        <v>1</v>
      </c>
      <c r="U705" t="s">
        <v>38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  <c r="AG705" t="s">
        <v>45</v>
      </c>
      <c r="AH705" t="s">
        <v>46</v>
      </c>
      <c r="AI705">
        <v>0</v>
      </c>
      <c r="AJ705" t="s">
        <v>65</v>
      </c>
      <c r="AK705" t="s">
        <v>72</v>
      </c>
      <c r="AL705" t="s">
        <v>49</v>
      </c>
      <c r="AM705" t="s">
        <v>61</v>
      </c>
      <c r="AN705">
        <f t="shared" si="10"/>
        <v>-2</v>
      </c>
    </row>
    <row r="706" spans="1:40">
      <c r="A706">
        <v>35</v>
      </c>
      <c r="B706" t="s">
        <v>51</v>
      </c>
      <c r="C706" t="s">
        <v>39</v>
      </c>
      <c r="D706">
        <v>882</v>
      </c>
      <c r="E706" t="s">
        <v>40</v>
      </c>
      <c r="F706">
        <v>3</v>
      </c>
      <c r="G706">
        <v>4</v>
      </c>
      <c r="H706" t="s">
        <v>41</v>
      </c>
      <c r="I706">
        <v>984</v>
      </c>
      <c r="J706">
        <v>4</v>
      </c>
      <c r="K706" t="s">
        <v>54</v>
      </c>
      <c r="L706">
        <v>92</v>
      </c>
      <c r="M706">
        <v>3</v>
      </c>
      <c r="N706">
        <v>3</v>
      </c>
      <c r="O706" t="s">
        <v>43</v>
      </c>
      <c r="P706">
        <v>4</v>
      </c>
      <c r="Q706" t="s">
        <v>74</v>
      </c>
      <c r="R706">
        <v>7823</v>
      </c>
      <c r="S706">
        <v>6812</v>
      </c>
      <c r="T706">
        <v>6</v>
      </c>
      <c r="U706" t="s">
        <v>51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  <c r="AG706" t="s">
        <v>67</v>
      </c>
      <c r="AH706" t="s">
        <v>71</v>
      </c>
      <c r="AI706">
        <v>0</v>
      </c>
      <c r="AJ706" t="s">
        <v>58</v>
      </c>
      <c r="AK706" t="s">
        <v>68</v>
      </c>
      <c r="AL706" t="s">
        <v>49</v>
      </c>
      <c r="AM706" t="s">
        <v>61</v>
      </c>
      <c r="AN706">
        <f t="shared" si="10"/>
        <v>-3</v>
      </c>
    </row>
    <row r="707" spans="1:40">
      <c r="A707">
        <v>39</v>
      </c>
      <c r="B707" t="s">
        <v>51</v>
      </c>
      <c r="C707" t="s">
        <v>39</v>
      </c>
      <c r="D707">
        <v>903</v>
      </c>
      <c r="E707" t="s">
        <v>40</v>
      </c>
      <c r="F707">
        <v>2</v>
      </c>
      <c r="G707">
        <v>5</v>
      </c>
      <c r="H707" t="s">
        <v>41</v>
      </c>
      <c r="I707">
        <v>985</v>
      </c>
      <c r="J707">
        <v>1</v>
      </c>
      <c r="K707" t="s">
        <v>54</v>
      </c>
      <c r="L707">
        <v>41</v>
      </c>
      <c r="M707">
        <v>4</v>
      </c>
      <c r="N707">
        <v>3</v>
      </c>
      <c r="O707" t="s">
        <v>43</v>
      </c>
      <c r="P707">
        <v>3</v>
      </c>
      <c r="Q707" t="s">
        <v>44</v>
      </c>
      <c r="R707">
        <v>7880</v>
      </c>
      <c r="S707">
        <v>2560</v>
      </c>
      <c r="T707">
        <v>0</v>
      </c>
      <c r="U707" t="s">
        <v>51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  <c r="AG707" t="s">
        <v>45</v>
      </c>
      <c r="AH707" t="s">
        <v>64</v>
      </c>
      <c r="AI707">
        <v>0</v>
      </c>
      <c r="AJ707" t="s">
        <v>58</v>
      </c>
      <c r="AK707" t="s">
        <v>87</v>
      </c>
      <c r="AL707" t="s">
        <v>66</v>
      </c>
      <c r="AM707" t="s">
        <v>61</v>
      </c>
      <c r="AN707">
        <f t="shared" ref="AN707:AN770" si="11">((3-P707)*3+((3-AB707)*2+AE707))</f>
        <v>0</v>
      </c>
    </row>
    <row r="708" spans="1:40">
      <c r="A708">
        <v>40</v>
      </c>
      <c r="B708" t="s">
        <v>38</v>
      </c>
      <c r="C708" t="s">
        <v>77</v>
      </c>
      <c r="D708">
        <v>1479</v>
      </c>
      <c r="E708" t="s">
        <v>40</v>
      </c>
      <c r="F708">
        <v>24</v>
      </c>
      <c r="G708">
        <v>3</v>
      </c>
      <c r="H708" t="s">
        <v>41</v>
      </c>
      <c r="I708">
        <v>986</v>
      </c>
      <c r="J708">
        <v>2</v>
      </c>
      <c r="K708" t="s">
        <v>42</v>
      </c>
      <c r="L708">
        <v>100</v>
      </c>
      <c r="M708">
        <v>4</v>
      </c>
      <c r="N708">
        <v>4</v>
      </c>
      <c r="O708" t="s">
        <v>43</v>
      </c>
      <c r="P708">
        <v>2</v>
      </c>
      <c r="Q708" t="s">
        <v>44</v>
      </c>
      <c r="R708">
        <v>13194</v>
      </c>
      <c r="S708">
        <v>17071</v>
      </c>
      <c r="T708">
        <v>4</v>
      </c>
      <c r="U708" t="s">
        <v>38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  <c r="AG708" t="s">
        <v>45</v>
      </c>
      <c r="AH708" t="s">
        <v>46</v>
      </c>
      <c r="AI708">
        <v>1</v>
      </c>
      <c r="AJ708" t="s">
        <v>47</v>
      </c>
      <c r="AK708" t="s">
        <v>72</v>
      </c>
      <c r="AL708" t="s">
        <v>60</v>
      </c>
      <c r="AM708" t="s">
        <v>70</v>
      </c>
      <c r="AN708">
        <f t="shared" si="11"/>
        <v>5</v>
      </c>
    </row>
    <row r="709" spans="1:40">
      <c r="A709">
        <v>47</v>
      </c>
      <c r="B709" t="s">
        <v>51</v>
      </c>
      <c r="C709" t="s">
        <v>52</v>
      </c>
      <c r="D709">
        <v>1379</v>
      </c>
      <c r="E709" t="s">
        <v>53</v>
      </c>
      <c r="F709">
        <v>16</v>
      </c>
      <c r="G709">
        <v>4</v>
      </c>
      <c r="H709" t="s">
        <v>69</v>
      </c>
      <c r="I709">
        <v>987</v>
      </c>
      <c r="J709">
        <v>3</v>
      </c>
      <c r="K709" t="s">
        <v>54</v>
      </c>
      <c r="L709">
        <v>64</v>
      </c>
      <c r="M709">
        <v>4</v>
      </c>
      <c r="N709">
        <v>2</v>
      </c>
      <c r="O709" t="s">
        <v>75</v>
      </c>
      <c r="P709">
        <v>3</v>
      </c>
      <c r="Q709" t="s">
        <v>74</v>
      </c>
      <c r="R709">
        <v>5067</v>
      </c>
      <c r="S709">
        <v>6759</v>
      </c>
      <c r="T709">
        <v>1</v>
      </c>
      <c r="U709" t="s">
        <v>38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  <c r="AG709" t="s">
        <v>57</v>
      </c>
      <c r="AH709" t="s">
        <v>71</v>
      </c>
      <c r="AI709">
        <v>0</v>
      </c>
      <c r="AJ709" t="s">
        <v>80</v>
      </c>
      <c r="AK709" t="s">
        <v>68</v>
      </c>
      <c r="AL709" t="s">
        <v>66</v>
      </c>
      <c r="AM709" t="s">
        <v>85</v>
      </c>
      <c r="AN709">
        <f t="shared" si="11"/>
        <v>0</v>
      </c>
    </row>
    <row r="710" spans="1:40">
      <c r="A710">
        <v>36</v>
      </c>
      <c r="B710" t="s">
        <v>51</v>
      </c>
      <c r="C710" t="s">
        <v>77</v>
      </c>
      <c r="D710">
        <v>1229</v>
      </c>
      <c r="E710" t="s">
        <v>40</v>
      </c>
      <c r="F710">
        <v>8</v>
      </c>
      <c r="G710">
        <v>4</v>
      </c>
      <c r="H710" t="s">
        <v>86</v>
      </c>
      <c r="I710">
        <v>990</v>
      </c>
      <c r="J710">
        <v>1</v>
      </c>
      <c r="K710" t="s">
        <v>54</v>
      </c>
      <c r="L710">
        <v>84</v>
      </c>
      <c r="M710">
        <v>3</v>
      </c>
      <c r="N710">
        <v>2</v>
      </c>
      <c r="O710" t="s">
        <v>43</v>
      </c>
      <c r="P710">
        <v>4</v>
      </c>
      <c r="Q710" t="s">
        <v>74</v>
      </c>
      <c r="R710">
        <v>5079</v>
      </c>
      <c r="S710">
        <v>25952</v>
      </c>
      <c r="T710">
        <v>4</v>
      </c>
      <c r="U710" t="s">
        <v>51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  <c r="AG710" t="s">
        <v>45</v>
      </c>
      <c r="AH710" t="s">
        <v>46</v>
      </c>
      <c r="AI710">
        <v>0</v>
      </c>
      <c r="AJ710" t="s">
        <v>58</v>
      </c>
      <c r="AK710" t="s">
        <v>68</v>
      </c>
      <c r="AL710" t="s">
        <v>49</v>
      </c>
      <c r="AM710" t="s">
        <v>61</v>
      </c>
      <c r="AN710">
        <f t="shared" si="11"/>
        <v>-3</v>
      </c>
    </row>
    <row r="711" spans="1:40">
      <c r="A711">
        <v>31</v>
      </c>
      <c r="B711" t="s">
        <v>38</v>
      </c>
      <c r="C711" t="s">
        <v>77</v>
      </c>
      <c r="D711">
        <v>335</v>
      </c>
      <c r="E711" t="s">
        <v>53</v>
      </c>
      <c r="F711">
        <v>9</v>
      </c>
      <c r="G711">
        <v>2</v>
      </c>
      <c r="H711" t="s">
        <v>69</v>
      </c>
      <c r="I711">
        <v>991</v>
      </c>
      <c r="J711">
        <v>3</v>
      </c>
      <c r="K711" t="s">
        <v>54</v>
      </c>
      <c r="L711">
        <v>46</v>
      </c>
      <c r="M711">
        <v>2</v>
      </c>
      <c r="N711">
        <v>1</v>
      </c>
      <c r="O711" t="s">
        <v>55</v>
      </c>
      <c r="P711">
        <v>1</v>
      </c>
      <c r="Q711" t="s">
        <v>44</v>
      </c>
      <c r="R711">
        <v>2321</v>
      </c>
      <c r="S711">
        <v>10322</v>
      </c>
      <c r="T711">
        <v>0</v>
      </c>
      <c r="U711" t="s">
        <v>38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  <c r="AG711" t="s">
        <v>67</v>
      </c>
      <c r="AH711" t="s">
        <v>46</v>
      </c>
      <c r="AI711">
        <v>1</v>
      </c>
      <c r="AJ711" t="s">
        <v>65</v>
      </c>
      <c r="AK711" t="s">
        <v>48</v>
      </c>
      <c r="AL711" t="s">
        <v>73</v>
      </c>
      <c r="AM711" t="s">
        <v>61</v>
      </c>
      <c r="AN711">
        <f t="shared" si="11"/>
        <v>7</v>
      </c>
    </row>
    <row r="712" spans="1:40">
      <c r="A712">
        <v>33</v>
      </c>
      <c r="B712" t="s">
        <v>51</v>
      </c>
      <c r="C712" t="s">
        <v>77</v>
      </c>
      <c r="D712">
        <v>722</v>
      </c>
      <c r="E712" t="s">
        <v>40</v>
      </c>
      <c r="F712">
        <v>17</v>
      </c>
      <c r="G712">
        <v>3</v>
      </c>
      <c r="H712" t="s">
        <v>41</v>
      </c>
      <c r="I712">
        <v>992</v>
      </c>
      <c r="J712">
        <v>4</v>
      </c>
      <c r="K712" t="s">
        <v>54</v>
      </c>
      <c r="L712">
        <v>38</v>
      </c>
      <c r="M712">
        <v>3</v>
      </c>
      <c r="N712">
        <v>4</v>
      </c>
      <c r="O712" t="s">
        <v>79</v>
      </c>
      <c r="P712">
        <v>3</v>
      </c>
      <c r="Q712" t="s">
        <v>44</v>
      </c>
      <c r="R712">
        <v>17444</v>
      </c>
      <c r="S712">
        <v>20489</v>
      </c>
      <c r="T712">
        <v>1</v>
      </c>
      <c r="U712" t="s">
        <v>51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  <c r="AG712" t="s">
        <v>67</v>
      </c>
      <c r="AH712" t="s">
        <v>46</v>
      </c>
      <c r="AI712">
        <v>0</v>
      </c>
      <c r="AJ712" t="s">
        <v>58</v>
      </c>
      <c r="AK712" t="s">
        <v>72</v>
      </c>
      <c r="AL712" t="s">
        <v>66</v>
      </c>
      <c r="AM712" t="s">
        <v>61</v>
      </c>
      <c r="AN712">
        <f t="shared" si="11"/>
        <v>6</v>
      </c>
    </row>
    <row r="713" spans="1:40">
      <c r="A713">
        <v>29</v>
      </c>
      <c r="B713" t="s">
        <v>38</v>
      </c>
      <c r="C713" t="s">
        <v>39</v>
      </c>
      <c r="D713">
        <v>906</v>
      </c>
      <c r="E713" t="s">
        <v>53</v>
      </c>
      <c r="F713">
        <v>10</v>
      </c>
      <c r="G713">
        <v>3</v>
      </c>
      <c r="H713" t="s">
        <v>41</v>
      </c>
      <c r="I713">
        <v>994</v>
      </c>
      <c r="J713">
        <v>4</v>
      </c>
      <c r="K713" t="s">
        <v>42</v>
      </c>
      <c r="L713">
        <v>92</v>
      </c>
      <c r="M713">
        <v>2</v>
      </c>
      <c r="N713">
        <v>1</v>
      </c>
      <c r="O713" t="s">
        <v>55</v>
      </c>
      <c r="P713">
        <v>1</v>
      </c>
      <c r="Q713" t="s">
        <v>44</v>
      </c>
      <c r="R713">
        <v>2404</v>
      </c>
      <c r="S713">
        <v>11479</v>
      </c>
      <c r="T713">
        <v>6</v>
      </c>
      <c r="U713" t="s">
        <v>38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  <c r="AG713" t="s">
        <v>67</v>
      </c>
      <c r="AH713" t="s">
        <v>46</v>
      </c>
      <c r="AI713">
        <v>1</v>
      </c>
      <c r="AJ713" t="s">
        <v>65</v>
      </c>
      <c r="AK713" t="s">
        <v>72</v>
      </c>
      <c r="AL713" t="s">
        <v>73</v>
      </c>
      <c r="AM713" t="s">
        <v>61</v>
      </c>
      <c r="AN713">
        <f t="shared" si="11"/>
        <v>6</v>
      </c>
    </row>
    <row r="714" spans="1:40">
      <c r="A714">
        <v>33</v>
      </c>
      <c r="B714" t="s">
        <v>51</v>
      </c>
      <c r="C714" t="s">
        <v>39</v>
      </c>
      <c r="D714">
        <v>461</v>
      </c>
      <c r="E714" t="s">
        <v>53</v>
      </c>
      <c r="F714">
        <v>13</v>
      </c>
      <c r="G714">
        <v>1</v>
      </c>
      <c r="H714" t="s">
        <v>41</v>
      </c>
      <c r="I714">
        <v>995</v>
      </c>
      <c r="J714">
        <v>2</v>
      </c>
      <c r="K714" t="s">
        <v>42</v>
      </c>
      <c r="L714">
        <v>53</v>
      </c>
      <c r="M714">
        <v>3</v>
      </c>
      <c r="N714">
        <v>1</v>
      </c>
      <c r="O714" t="s">
        <v>55</v>
      </c>
      <c r="P714">
        <v>4</v>
      </c>
      <c r="Q714" t="s">
        <v>44</v>
      </c>
      <c r="R714">
        <v>3452</v>
      </c>
      <c r="S714">
        <v>17241</v>
      </c>
      <c r="T714">
        <v>3</v>
      </c>
      <c r="U714" t="s">
        <v>51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  <c r="AG714" t="s">
        <v>67</v>
      </c>
      <c r="AH714" t="s">
        <v>46</v>
      </c>
      <c r="AI714">
        <v>0</v>
      </c>
      <c r="AJ714" t="s">
        <v>65</v>
      </c>
      <c r="AK714" t="s">
        <v>59</v>
      </c>
      <c r="AL714" t="s">
        <v>49</v>
      </c>
      <c r="AM714" t="s">
        <v>61</v>
      </c>
      <c r="AN714">
        <f t="shared" si="11"/>
        <v>-3</v>
      </c>
    </row>
    <row r="715" spans="1:40">
      <c r="A715">
        <v>45</v>
      </c>
      <c r="B715" t="s">
        <v>51</v>
      </c>
      <c r="C715" t="s">
        <v>39</v>
      </c>
      <c r="D715">
        <v>974</v>
      </c>
      <c r="E715" t="s">
        <v>53</v>
      </c>
      <c r="F715">
        <v>1</v>
      </c>
      <c r="G715">
        <v>4</v>
      </c>
      <c r="H715" t="s">
        <v>69</v>
      </c>
      <c r="I715">
        <v>996</v>
      </c>
      <c r="J715">
        <v>4</v>
      </c>
      <c r="K715" t="s">
        <v>42</v>
      </c>
      <c r="L715">
        <v>91</v>
      </c>
      <c r="M715">
        <v>3</v>
      </c>
      <c r="N715">
        <v>1</v>
      </c>
      <c r="O715" t="s">
        <v>63</v>
      </c>
      <c r="P715">
        <v>4</v>
      </c>
      <c r="Q715" t="s">
        <v>74</v>
      </c>
      <c r="R715">
        <v>2270</v>
      </c>
      <c r="S715">
        <v>11005</v>
      </c>
      <c r="T715">
        <v>3</v>
      </c>
      <c r="U715" t="s">
        <v>51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  <c r="AG715" t="s">
        <v>45</v>
      </c>
      <c r="AH715" t="s">
        <v>46</v>
      </c>
      <c r="AI715">
        <v>0</v>
      </c>
      <c r="AJ715" t="s">
        <v>65</v>
      </c>
      <c r="AK715" t="s">
        <v>68</v>
      </c>
      <c r="AL715" t="s">
        <v>49</v>
      </c>
      <c r="AM715" t="s">
        <v>61</v>
      </c>
      <c r="AN715">
        <f t="shared" si="11"/>
        <v>-3</v>
      </c>
    </row>
    <row r="716" spans="1:40">
      <c r="A716">
        <v>50</v>
      </c>
      <c r="B716" t="s">
        <v>51</v>
      </c>
      <c r="C716" t="s">
        <v>39</v>
      </c>
      <c r="D716">
        <v>1126</v>
      </c>
      <c r="E716" t="s">
        <v>53</v>
      </c>
      <c r="F716">
        <v>1</v>
      </c>
      <c r="G716">
        <v>2</v>
      </c>
      <c r="H716" t="s">
        <v>69</v>
      </c>
      <c r="I716">
        <v>997</v>
      </c>
      <c r="J716">
        <v>4</v>
      </c>
      <c r="K716" t="s">
        <v>54</v>
      </c>
      <c r="L716">
        <v>66</v>
      </c>
      <c r="M716">
        <v>3</v>
      </c>
      <c r="N716">
        <v>4</v>
      </c>
      <c r="O716" t="s">
        <v>83</v>
      </c>
      <c r="P716">
        <v>4</v>
      </c>
      <c r="Q716" t="s">
        <v>74</v>
      </c>
      <c r="R716">
        <v>17399</v>
      </c>
      <c r="S716">
        <v>6615</v>
      </c>
      <c r="T716">
        <v>9</v>
      </c>
      <c r="U716" t="s">
        <v>51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  <c r="AG716" t="s">
        <v>57</v>
      </c>
      <c r="AH716" t="s">
        <v>71</v>
      </c>
      <c r="AI716">
        <v>0</v>
      </c>
      <c r="AJ716" t="s">
        <v>47</v>
      </c>
      <c r="AK716" t="s">
        <v>48</v>
      </c>
      <c r="AL716" t="s">
        <v>49</v>
      </c>
      <c r="AM716" t="s">
        <v>70</v>
      </c>
      <c r="AN716">
        <f t="shared" si="11"/>
        <v>0</v>
      </c>
    </row>
    <row r="717" spans="1:40">
      <c r="A717">
        <v>33</v>
      </c>
      <c r="B717" t="s">
        <v>51</v>
      </c>
      <c r="C717" t="s">
        <v>52</v>
      </c>
      <c r="D717">
        <v>827</v>
      </c>
      <c r="E717" t="s">
        <v>53</v>
      </c>
      <c r="F717">
        <v>1</v>
      </c>
      <c r="G717">
        <v>4</v>
      </c>
      <c r="H717" t="s">
        <v>62</v>
      </c>
      <c r="I717">
        <v>998</v>
      </c>
      <c r="J717">
        <v>3</v>
      </c>
      <c r="K717" t="s">
        <v>42</v>
      </c>
      <c r="L717">
        <v>84</v>
      </c>
      <c r="M717">
        <v>4</v>
      </c>
      <c r="N717">
        <v>2</v>
      </c>
      <c r="O717" t="s">
        <v>76</v>
      </c>
      <c r="P717">
        <v>2</v>
      </c>
      <c r="Q717" t="s">
        <v>56</v>
      </c>
      <c r="R717">
        <v>5488</v>
      </c>
      <c r="S717">
        <v>20161</v>
      </c>
      <c r="T717">
        <v>1</v>
      </c>
      <c r="U717" t="s">
        <v>38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  <c r="AG717" t="s">
        <v>67</v>
      </c>
      <c r="AH717" t="s">
        <v>46</v>
      </c>
      <c r="AI717">
        <v>0</v>
      </c>
      <c r="AJ717" t="s">
        <v>58</v>
      </c>
      <c r="AK717" t="s">
        <v>68</v>
      </c>
      <c r="AL717" t="s">
        <v>60</v>
      </c>
      <c r="AM717" t="s">
        <v>61</v>
      </c>
      <c r="AN717">
        <f t="shared" si="11"/>
        <v>4</v>
      </c>
    </row>
    <row r="718" spans="1:40">
      <c r="A718">
        <v>41</v>
      </c>
      <c r="B718" t="s">
        <v>51</v>
      </c>
      <c r="C718" t="s">
        <v>52</v>
      </c>
      <c r="D718">
        <v>840</v>
      </c>
      <c r="E718" t="s">
        <v>53</v>
      </c>
      <c r="F718">
        <v>9</v>
      </c>
      <c r="G718">
        <v>3</v>
      </c>
      <c r="H718" t="s">
        <v>69</v>
      </c>
      <c r="I718">
        <v>999</v>
      </c>
      <c r="J718">
        <v>1</v>
      </c>
      <c r="K718" t="s">
        <v>54</v>
      </c>
      <c r="L718">
        <v>64</v>
      </c>
      <c r="M718">
        <v>3</v>
      </c>
      <c r="N718">
        <v>5</v>
      </c>
      <c r="O718" t="s">
        <v>83</v>
      </c>
      <c r="P718">
        <v>3</v>
      </c>
      <c r="Q718" t="s">
        <v>74</v>
      </c>
      <c r="R718">
        <v>19419</v>
      </c>
      <c r="S718">
        <v>3735</v>
      </c>
      <c r="T718">
        <v>2</v>
      </c>
      <c r="U718" t="s">
        <v>51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  <c r="AG718" t="s">
        <v>45</v>
      </c>
      <c r="AH718" t="s">
        <v>81</v>
      </c>
      <c r="AI718">
        <v>0</v>
      </c>
      <c r="AJ718" t="s">
        <v>80</v>
      </c>
      <c r="AK718" t="s">
        <v>72</v>
      </c>
      <c r="AL718" t="s">
        <v>66</v>
      </c>
      <c r="AM718" t="s">
        <v>85</v>
      </c>
      <c r="AN718">
        <f t="shared" si="11"/>
        <v>-2</v>
      </c>
    </row>
    <row r="719" spans="1:40">
      <c r="A719">
        <v>27</v>
      </c>
      <c r="B719" t="s">
        <v>51</v>
      </c>
      <c r="C719" t="s">
        <v>39</v>
      </c>
      <c r="D719">
        <v>1134</v>
      </c>
      <c r="E719" t="s">
        <v>53</v>
      </c>
      <c r="F719">
        <v>16</v>
      </c>
      <c r="G719">
        <v>4</v>
      </c>
      <c r="H719" t="s">
        <v>86</v>
      </c>
      <c r="I719">
        <v>1001</v>
      </c>
      <c r="J719">
        <v>3</v>
      </c>
      <c r="K719" t="s">
        <v>42</v>
      </c>
      <c r="L719">
        <v>37</v>
      </c>
      <c r="M719">
        <v>3</v>
      </c>
      <c r="N719">
        <v>1</v>
      </c>
      <c r="O719" t="s">
        <v>63</v>
      </c>
      <c r="P719">
        <v>2</v>
      </c>
      <c r="Q719" t="s">
        <v>56</v>
      </c>
      <c r="R719">
        <v>2811</v>
      </c>
      <c r="S719">
        <v>12086</v>
      </c>
      <c r="T719">
        <v>9</v>
      </c>
      <c r="U719" t="s">
        <v>51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  <c r="AG719" t="s">
        <v>67</v>
      </c>
      <c r="AH719" t="s">
        <v>46</v>
      </c>
      <c r="AI719">
        <v>0</v>
      </c>
      <c r="AJ719" t="s">
        <v>65</v>
      </c>
      <c r="AK719" t="s">
        <v>68</v>
      </c>
      <c r="AL719" t="s">
        <v>60</v>
      </c>
      <c r="AM719" t="s">
        <v>61</v>
      </c>
      <c r="AN719">
        <f t="shared" si="11"/>
        <v>5</v>
      </c>
    </row>
    <row r="720" spans="1:40">
      <c r="A720">
        <v>45</v>
      </c>
      <c r="B720" t="s">
        <v>51</v>
      </c>
      <c r="C720" t="s">
        <v>77</v>
      </c>
      <c r="D720">
        <v>248</v>
      </c>
      <c r="E720" t="s">
        <v>53</v>
      </c>
      <c r="F720">
        <v>23</v>
      </c>
      <c r="G720">
        <v>2</v>
      </c>
      <c r="H720" t="s">
        <v>41</v>
      </c>
      <c r="I720">
        <v>1002</v>
      </c>
      <c r="J720">
        <v>4</v>
      </c>
      <c r="K720" t="s">
        <v>54</v>
      </c>
      <c r="L720">
        <v>42</v>
      </c>
      <c r="M720">
        <v>3</v>
      </c>
      <c r="N720">
        <v>2</v>
      </c>
      <c r="O720" t="s">
        <v>63</v>
      </c>
      <c r="P720">
        <v>1</v>
      </c>
      <c r="Q720" t="s">
        <v>56</v>
      </c>
      <c r="R720">
        <v>3633</v>
      </c>
      <c r="S720">
        <v>14039</v>
      </c>
      <c r="T720">
        <v>1</v>
      </c>
      <c r="U720" t="s">
        <v>38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  <c r="AG720" t="s">
        <v>45</v>
      </c>
      <c r="AH720" t="s">
        <v>46</v>
      </c>
      <c r="AI720">
        <v>0</v>
      </c>
      <c r="AJ720" t="s">
        <v>58</v>
      </c>
      <c r="AK720" t="s">
        <v>48</v>
      </c>
      <c r="AL720" t="s">
        <v>73</v>
      </c>
      <c r="AM720" t="s">
        <v>61</v>
      </c>
      <c r="AN720">
        <f t="shared" si="11"/>
        <v>6</v>
      </c>
    </row>
    <row r="721" spans="1:40">
      <c r="A721">
        <v>47</v>
      </c>
      <c r="B721" t="s">
        <v>51</v>
      </c>
      <c r="C721" t="s">
        <v>39</v>
      </c>
      <c r="D721">
        <v>955</v>
      </c>
      <c r="E721" t="s">
        <v>40</v>
      </c>
      <c r="F721">
        <v>4</v>
      </c>
      <c r="G721">
        <v>2</v>
      </c>
      <c r="H721" t="s">
        <v>41</v>
      </c>
      <c r="I721">
        <v>1003</v>
      </c>
      <c r="J721">
        <v>4</v>
      </c>
      <c r="K721" t="s">
        <v>42</v>
      </c>
      <c r="L721">
        <v>83</v>
      </c>
      <c r="M721">
        <v>3</v>
      </c>
      <c r="N721">
        <v>2</v>
      </c>
      <c r="O721" t="s">
        <v>43</v>
      </c>
      <c r="P721">
        <v>4</v>
      </c>
      <c r="Q721" t="s">
        <v>44</v>
      </c>
      <c r="R721">
        <v>4163</v>
      </c>
      <c r="S721">
        <v>8571</v>
      </c>
      <c r="T721">
        <v>1</v>
      </c>
      <c r="U721" t="s">
        <v>38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  <c r="AG721" t="s">
        <v>57</v>
      </c>
      <c r="AH721" t="s">
        <v>71</v>
      </c>
      <c r="AI721">
        <v>0</v>
      </c>
      <c r="AJ721" t="s">
        <v>58</v>
      </c>
      <c r="AK721" t="s">
        <v>48</v>
      </c>
      <c r="AL721" t="s">
        <v>49</v>
      </c>
      <c r="AM721" t="s">
        <v>61</v>
      </c>
      <c r="AN721">
        <f t="shared" si="11"/>
        <v>-3</v>
      </c>
    </row>
    <row r="722" spans="1:40">
      <c r="A722">
        <v>30</v>
      </c>
      <c r="B722" t="s">
        <v>38</v>
      </c>
      <c r="C722" t="s">
        <v>39</v>
      </c>
      <c r="D722">
        <v>138</v>
      </c>
      <c r="E722" t="s">
        <v>53</v>
      </c>
      <c r="F722">
        <v>22</v>
      </c>
      <c r="G722">
        <v>3</v>
      </c>
      <c r="H722" t="s">
        <v>41</v>
      </c>
      <c r="I722">
        <v>1004</v>
      </c>
      <c r="J722">
        <v>1</v>
      </c>
      <c r="K722" t="s">
        <v>42</v>
      </c>
      <c r="L722">
        <v>48</v>
      </c>
      <c r="M722">
        <v>3</v>
      </c>
      <c r="N722">
        <v>1</v>
      </c>
      <c r="O722" t="s">
        <v>55</v>
      </c>
      <c r="P722">
        <v>3</v>
      </c>
      <c r="Q722" t="s">
        <v>56</v>
      </c>
      <c r="R722">
        <v>2132</v>
      </c>
      <c r="S722">
        <v>11539</v>
      </c>
      <c r="T722">
        <v>4</v>
      </c>
      <c r="U722" t="s">
        <v>38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  <c r="AG722" t="s">
        <v>67</v>
      </c>
      <c r="AH722" t="s">
        <v>46</v>
      </c>
      <c r="AI722">
        <v>1</v>
      </c>
      <c r="AJ722" t="s">
        <v>65</v>
      </c>
      <c r="AK722" t="s">
        <v>72</v>
      </c>
      <c r="AL722" t="s">
        <v>66</v>
      </c>
      <c r="AM722" t="s">
        <v>61</v>
      </c>
      <c r="AN722">
        <f t="shared" si="11"/>
        <v>0</v>
      </c>
    </row>
    <row r="723" spans="1:40">
      <c r="A723">
        <v>50</v>
      </c>
      <c r="B723" t="s">
        <v>51</v>
      </c>
      <c r="C723" t="s">
        <v>39</v>
      </c>
      <c r="D723">
        <v>939</v>
      </c>
      <c r="E723" t="s">
        <v>53</v>
      </c>
      <c r="F723">
        <v>24</v>
      </c>
      <c r="G723">
        <v>3</v>
      </c>
      <c r="H723" t="s">
        <v>41</v>
      </c>
      <c r="I723">
        <v>1005</v>
      </c>
      <c r="J723">
        <v>4</v>
      </c>
      <c r="K723" t="s">
        <v>54</v>
      </c>
      <c r="L723">
        <v>95</v>
      </c>
      <c r="M723">
        <v>3</v>
      </c>
      <c r="N723">
        <v>4</v>
      </c>
      <c r="O723" t="s">
        <v>75</v>
      </c>
      <c r="P723">
        <v>3</v>
      </c>
      <c r="Q723" t="s">
        <v>56</v>
      </c>
      <c r="R723">
        <v>13973</v>
      </c>
      <c r="S723">
        <v>4161</v>
      </c>
      <c r="T723">
        <v>3</v>
      </c>
      <c r="U723" t="s">
        <v>38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  <c r="AG723" t="s">
        <v>57</v>
      </c>
      <c r="AH723" t="s">
        <v>81</v>
      </c>
      <c r="AI723">
        <v>0</v>
      </c>
      <c r="AJ723" t="s">
        <v>80</v>
      </c>
      <c r="AK723" t="s">
        <v>72</v>
      </c>
      <c r="AL723" t="s">
        <v>66</v>
      </c>
      <c r="AM723" t="s">
        <v>61</v>
      </c>
      <c r="AN723">
        <f t="shared" si="11"/>
        <v>1</v>
      </c>
    </row>
    <row r="724" spans="1:40">
      <c r="A724">
        <v>38</v>
      </c>
      <c r="B724" t="s">
        <v>51</v>
      </c>
      <c r="C724" t="s">
        <v>52</v>
      </c>
      <c r="D724">
        <v>1391</v>
      </c>
      <c r="E724" t="s">
        <v>53</v>
      </c>
      <c r="F724">
        <v>10</v>
      </c>
      <c r="G724">
        <v>1</v>
      </c>
      <c r="H724" t="s">
        <v>69</v>
      </c>
      <c r="I724">
        <v>1006</v>
      </c>
      <c r="J724">
        <v>3</v>
      </c>
      <c r="K724" t="s">
        <v>54</v>
      </c>
      <c r="L724">
        <v>66</v>
      </c>
      <c r="M724">
        <v>3</v>
      </c>
      <c r="N724">
        <v>1</v>
      </c>
      <c r="O724" t="s">
        <v>55</v>
      </c>
      <c r="P724">
        <v>3</v>
      </c>
      <c r="Q724" t="s">
        <v>56</v>
      </c>
      <c r="R724">
        <v>2684</v>
      </c>
      <c r="S724">
        <v>12127</v>
      </c>
      <c r="T724">
        <v>0</v>
      </c>
      <c r="U724" t="s">
        <v>51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  <c r="AG724" t="s">
        <v>45</v>
      </c>
      <c r="AH724" t="s">
        <v>46</v>
      </c>
      <c r="AI724">
        <v>0</v>
      </c>
      <c r="AJ724" t="s">
        <v>47</v>
      </c>
      <c r="AK724" t="s">
        <v>59</v>
      </c>
      <c r="AL724" t="s">
        <v>66</v>
      </c>
      <c r="AM724" t="s">
        <v>70</v>
      </c>
      <c r="AN724">
        <f t="shared" si="11"/>
        <v>2</v>
      </c>
    </row>
    <row r="725" spans="1:40">
      <c r="A725">
        <v>46</v>
      </c>
      <c r="B725" t="s">
        <v>51</v>
      </c>
      <c r="C725" t="s">
        <v>39</v>
      </c>
      <c r="D725">
        <v>566</v>
      </c>
      <c r="E725" t="s">
        <v>53</v>
      </c>
      <c r="F725">
        <v>7</v>
      </c>
      <c r="G725">
        <v>2</v>
      </c>
      <c r="H725" t="s">
        <v>69</v>
      </c>
      <c r="I725">
        <v>1007</v>
      </c>
      <c r="J725">
        <v>4</v>
      </c>
      <c r="K725" t="s">
        <v>54</v>
      </c>
      <c r="L725">
        <v>75</v>
      </c>
      <c r="M725">
        <v>3</v>
      </c>
      <c r="N725">
        <v>3</v>
      </c>
      <c r="O725" t="s">
        <v>75</v>
      </c>
      <c r="P725">
        <v>3</v>
      </c>
      <c r="Q725" t="s">
        <v>74</v>
      </c>
      <c r="R725">
        <v>10845</v>
      </c>
      <c r="S725">
        <v>24208</v>
      </c>
      <c r="T725">
        <v>6</v>
      </c>
      <c r="U725" t="s">
        <v>51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  <c r="AG725" t="s">
        <v>57</v>
      </c>
      <c r="AH725" t="s">
        <v>46</v>
      </c>
      <c r="AI725">
        <v>0</v>
      </c>
      <c r="AJ725" t="s">
        <v>58</v>
      </c>
      <c r="AK725" t="s">
        <v>48</v>
      </c>
      <c r="AL725" t="s">
        <v>66</v>
      </c>
      <c r="AM725" t="s">
        <v>61</v>
      </c>
      <c r="AN725">
        <f t="shared" si="11"/>
        <v>0</v>
      </c>
    </row>
    <row r="726" spans="1:40">
      <c r="A726">
        <v>24</v>
      </c>
      <c r="B726" t="s">
        <v>51</v>
      </c>
      <c r="C726" t="s">
        <v>39</v>
      </c>
      <c r="D726">
        <v>1206</v>
      </c>
      <c r="E726" t="s">
        <v>53</v>
      </c>
      <c r="F726">
        <v>17</v>
      </c>
      <c r="G726">
        <v>1</v>
      </c>
      <c r="H726" t="s">
        <v>69</v>
      </c>
      <c r="I726">
        <v>1009</v>
      </c>
      <c r="J726">
        <v>4</v>
      </c>
      <c r="K726" t="s">
        <v>42</v>
      </c>
      <c r="L726">
        <v>41</v>
      </c>
      <c r="M726">
        <v>2</v>
      </c>
      <c r="N726">
        <v>2</v>
      </c>
      <c r="O726" t="s">
        <v>75</v>
      </c>
      <c r="P726">
        <v>3</v>
      </c>
      <c r="Q726" t="s">
        <v>74</v>
      </c>
      <c r="R726">
        <v>4377</v>
      </c>
      <c r="S726">
        <v>24117</v>
      </c>
      <c r="T726">
        <v>1</v>
      </c>
      <c r="U726" t="s">
        <v>51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  <c r="AG726" t="s">
        <v>78</v>
      </c>
      <c r="AH726" t="s">
        <v>46</v>
      </c>
      <c r="AI726">
        <v>0</v>
      </c>
      <c r="AJ726" t="s">
        <v>65</v>
      </c>
      <c r="AK726" t="s">
        <v>59</v>
      </c>
      <c r="AL726" t="s">
        <v>66</v>
      </c>
      <c r="AM726" t="s">
        <v>61</v>
      </c>
      <c r="AN726">
        <f t="shared" si="11"/>
        <v>3</v>
      </c>
    </row>
    <row r="727" spans="1:40">
      <c r="A727">
        <v>35</v>
      </c>
      <c r="B727" t="s">
        <v>38</v>
      </c>
      <c r="C727" t="s">
        <v>39</v>
      </c>
      <c r="D727">
        <v>622</v>
      </c>
      <c r="E727" t="s">
        <v>53</v>
      </c>
      <c r="F727">
        <v>14</v>
      </c>
      <c r="G727">
        <v>4</v>
      </c>
      <c r="H727" t="s">
        <v>62</v>
      </c>
      <c r="I727">
        <v>1010</v>
      </c>
      <c r="J727">
        <v>3</v>
      </c>
      <c r="K727" t="s">
        <v>54</v>
      </c>
      <c r="L727">
        <v>39</v>
      </c>
      <c r="M727">
        <v>2</v>
      </c>
      <c r="N727">
        <v>1</v>
      </c>
      <c r="O727" t="s">
        <v>63</v>
      </c>
      <c r="P727">
        <v>2</v>
      </c>
      <c r="Q727" t="s">
        <v>74</v>
      </c>
      <c r="R727">
        <v>3743</v>
      </c>
      <c r="S727">
        <v>10074</v>
      </c>
      <c r="T727">
        <v>1</v>
      </c>
      <c r="U727" t="s">
        <v>38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  <c r="AG727" t="s">
        <v>67</v>
      </c>
      <c r="AH727" t="s">
        <v>46</v>
      </c>
      <c r="AI727">
        <v>1</v>
      </c>
      <c r="AJ727" t="s">
        <v>47</v>
      </c>
      <c r="AK727" t="s">
        <v>68</v>
      </c>
      <c r="AL727" t="s">
        <v>60</v>
      </c>
      <c r="AM727" t="s">
        <v>50</v>
      </c>
      <c r="AN727">
        <f t="shared" si="11"/>
        <v>7</v>
      </c>
    </row>
    <row r="728" spans="1:40">
      <c r="A728">
        <v>31</v>
      </c>
      <c r="B728" t="s">
        <v>51</v>
      </c>
      <c r="C728" t="s">
        <v>52</v>
      </c>
      <c r="D728">
        <v>853</v>
      </c>
      <c r="E728" t="s">
        <v>53</v>
      </c>
      <c r="F728">
        <v>1</v>
      </c>
      <c r="G728">
        <v>1</v>
      </c>
      <c r="H728" t="s">
        <v>41</v>
      </c>
      <c r="I728">
        <v>1011</v>
      </c>
      <c r="J728">
        <v>3</v>
      </c>
      <c r="K728" t="s">
        <v>42</v>
      </c>
      <c r="L728">
        <v>96</v>
      </c>
      <c r="M728">
        <v>3</v>
      </c>
      <c r="N728">
        <v>2</v>
      </c>
      <c r="O728" t="s">
        <v>75</v>
      </c>
      <c r="P728">
        <v>1</v>
      </c>
      <c r="Q728" t="s">
        <v>56</v>
      </c>
      <c r="R728">
        <v>4148</v>
      </c>
      <c r="S728">
        <v>11275</v>
      </c>
      <c r="T728">
        <v>1</v>
      </c>
      <c r="U728" t="s">
        <v>51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  <c r="AG728" t="s">
        <v>67</v>
      </c>
      <c r="AH728" t="s">
        <v>46</v>
      </c>
      <c r="AI728">
        <v>0</v>
      </c>
      <c r="AJ728" t="s">
        <v>65</v>
      </c>
      <c r="AK728" t="s">
        <v>59</v>
      </c>
      <c r="AL728" t="s">
        <v>73</v>
      </c>
      <c r="AM728" t="s">
        <v>61</v>
      </c>
      <c r="AN728">
        <f t="shared" si="11"/>
        <v>6</v>
      </c>
    </row>
    <row r="729" spans="1:40">
      <c r="A729">
        <v>18</v>
      </c>
      <c r="B729" t="s">
        <v>51</v>
      </c>
      <c r="C729" t="s">
        <v>77</v>
      </c>
      <c r="D729">
        <v>287</v>
      </c>
      <c r="E729" t="s">
        <v>53</v>
      </c>
      <c r="F729">
        <v>5</v>
      </c>
      <c r="G729">
        <v>2</v>
      </c>
      <c r="H729" t="s">
        <v>41</v>
      </c>
      <c r="I729">
        <v>1012</v>
      </c>
      <c r="J729">
        <v>2</v>
      </c>
      <c r="K729" t="s">
        <v>54</v>
      </c>
      <c r="L729">
        <v>73</v>
      </c>
      <c r="M729">
        <v>3</v>
      </c>
      <c r="N729">
        <v>1</v>
      </c>
      <c r="O729" t="s">
        <v>55</v>
      </c>
      <c r="P729">
        <v>4</v>
      </c>
      <c r="Q729" t="s">
        <v>44</v>
      </c>
      <c r="R729">
        <v>1051</v>
      </c>
      <c r="S729">
        <v>13493</v>
      </c>
      <c r="T729">
        <v>1</v>
      </c>
      <c r="U729" t="s">
        <v>51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  <c r="AG729" t="s">
        <v>78</v>
      </c>
      <c r="AH729" t="s">
        <v>46</v>
      </c>
      <c r="AI729">
        <v>0</v>
      </c>
      <c r="AJ729" t="s">
        <v>65</v>
      </c>
      <c r="AK729" t="s">
        <v>48</v>
      </c>
      <c r="AL729" t="s">
        <v>49</v>
      </c>
      <c r="AM729" t="s">
        <v>61</v>
      </c>
      <c r="AN729">
        <f t="shared" si="11"/>
        <v>-3</v>
      </c>
    </row>
    <row r="730" spans="1:40">
      <c r="A730">
        <v>54</v>
      </c>
      <c r="B730" t="s">
        <v>51</v>
      </c>
      <c r="C730" t="s">
        <v>39</v>
      </c>
      <c r="D730">
        <v>1441</v>
      </c>
      <c r="E730" t="s">
        <v>53</v>
      </c>
      <c r="F730">
        <v>17</v>
      </c>
      <c r="G730">
        <v>3</v>
      </c>
      <c r="H730" t="s">
        <v>86</v>
      </c>
      <c r="I730">
        <v>1013</v>
      </c>
      <c r="J730">
        <v>3</v>
      </c>
      <c r="K730" t="s">
        <v>42</v>
      </c>
      <c r="L730">
        <v>56</v>
      </c>
      <c r="M730">
        <v>3</v>
      </c>
      <c r="N730">
        <v>3</v>
      </c>
      <c r="O730" t="s">
        <v>75</v>
      </c>
      <c r="P730">
        <v>3</v>
      </c>
      <c r="Q730" t="s">
        <v>56</v>
      </c>
      <c r="R730">
        <v>10739</v>
      </c>
      <c r="S730">
        <v>13943</v>
      </c>
      <c r="T730">
        <v>8</v>
      </c>
      <c r="U730" t="s">
        <v>51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  <c r="AG730" t="s">
        <v>57</v>
      </c>
      <c r="AH730" t="s">
        <v>46</v>
      </c>
      <c r="AI730">
        <v>0</v>
      </c>
      <c r="AJ730" t="s">
        <v>58</v>
      </c>
      <c r="AK730" t="s">
        <v>72</v>
      </c>
      <c r="AL730" t="s">
        <v>66</v>
      </c>
      <c r="AM730" t="s">
        <v>61</v>
      </c>
      <c r="AN730">
        <f t="shared" si="11"/>
        <v>0</v>
      </c>
    </row>
    <row r="731" spans="1:40">
      <c r="A731">
        <v>35</v>
      </c>
      <c r="B731" t="s">
        <v>51</v>
      </c>
      <c r="C731" t="s">
        <v>39</v>
      </c>
      <c r="D731">
        <v>583</v>
      </c>
      <c r="E731" t="s">
        <v>53</v>
      </c>
      <c r="F731">
        <v>25</v>
      </c>
      <c r="G731">
        <v>4</v>
      </c>
      <c r="H731" t="s">
        <v>69</v>
      </c>
      <c r="I731">
        <v>1014</v>
      </c>
      <c r="J731">
        <v>3</v>
      </c>
      <c r="K731" t="s">
        <v>42</v>
      </c>
      <c r="L731">
        <v>57</v>
      </c>
      <c r="M731">
        <v>3</v>
      </c>
      <c r="N731">
        <v>3</v>
      </c>
      <c r="O731" t="s">
        <v>76</v>
      </c>
      <c r="P731">
        <v>3</v>
      </c>
      <c r="Q731" t="s">
        <v>74</v>
      </c>
      <c r="R731">
        <v>10388</v>
      </c>
      <c r="S731">
        <v>6975</v>
      </c>
      <c r="T731">
        <v>1</v>
      </c>
      <c r="U731" t="s">
        <v>38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  <c r="AG731" t="s">
        <v>67</v>
      </c>
      <c r="AH731" t="s">
        <v>71</v>
      </c>
      <c r="AI731">
        <v>0</v>
      </c>
      <c r="AJ731" t="s">
        <v>47</v>
      </c>
      <c r="AK731" t="s">
        <v>68</v>
      </c>
      <c r="AL731" t="s">
        <v>66</v>
      </c>
      <c r="AM731" t="s">
        <v>70</v>
      </c>
      <c r="AN731">
        <f t="shared" si="11"/>
        <v>12</v>
      </c>
    </row>
    <row r="732" spans="1:40">
      <c r="A732">
        <v>30</v>
      </c>
      <c r="B732" t="s">
        <v>51</v>
      </c>
      <c r="C732" t="s">
        <v>39</v>
      </c>
      <c r="D732">
        <v>153</v>
      </c>
      <c r="E732" t="s">
        <v>53</v>
      </c>
      <c r="F732">
        <v>8</v>
      </c>
      <c r="G732">
        <v>2</v>
      </c>
      <c r="H732" t="s">
        <v>41</v>
      </c>
      <c r="I732">
        <v>1015</v>
      </c>
      <c r="J732">
        <v>2</v>
      </c>
      <c r="K732" t="s">
        <v>42</v>
      </c>
      <c r="L732">
        <v>73</v>
      </c>
      <c r="M732">
        <v>4</v>
      </c>
      <c r="N732">
        <v>3</v>
      </c>
      <c r="O732" t="s">
        <v>83</v>
      </c>
      <c r="P732">
        <v>1</v>
      </c>
      <c r="Q732" t="s">
        <v>56</v>
      </c>
      <c r="R732">
        <v>11416</v>
      </c>
      <c r="S732">
        <v>17802</v>
      </c>
      <c r="T732">
        <v>0</v>
      </c>
      <c r="U732" t="s">
        <v>38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  <c r="AG732" t="s">
        <v>67</v>
      </c>
      <c r="AH732" t="s">
        <v>46</v>
      </c>
      <c r="AI732">
        <v>0</v>
      </c>
      <c r="AJ732" t="s">
        <v>47</v>
      </c>
      <c r="AK732" t="s">
        <v>48</v>
      </c>
      <c r="AL732" t="s">
        <v>73</v>
      </c>
      <c r="AM732" t="s">
        <v>70</v>
      </c>
      <c r="AN732">
        <f t="shared" si="11"/>
        <v>9</v>
      </c>
    </row>
    <row r="733" spans="1:40">
      <c r="A733">
        <v>20</v>
      </c>
      <c r="B733" t="s">
        <v>38</v>
      </c>
      <c r="C733" t="s">
        <v>39</v>
      </c>
      <c r="D733">
        <v>1097</v>
      </c>
      <c r="E733" t="s">
        <v>53</v>
      </c>
      <c r="F733">
        <v>11</v>
      </c>
      <c r="G733">
        <v>3</v>
      </c>
      <c r="H733" t="s">
        <v>69</v>
      </c>
      <c r="I733">
        <v>1016</v>
      </c>
      <c r="J733">
        <v>4</v>
      </c>
      <c r="K733" t="s">
        <v>42</v>
      </c>
      <c r="L733">
        <v>98</v>
      </c>
      <c r="M733">
        <v>2</v>
      </c>
      <c r="N733">
        <v>1</v>
      </c>
      <c r="O733" t="s">
        <v>55</v>
      </c>
      <c r="P733">
        <v>1</v>
      </c>
      <c r="Q733" t="s">
        <v>44</v>
      </c>
      <c r="R733">
        <v>2600</v>
      </c>
      <c r="S733">
        <v>18275</v>
      </c>
      <c r="T733">
        <v>1</v>
      </c>
      <c r="U733" t="s">
        <v>38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  <c r="AG733" t="s">
        <v>78</v>
      </c>
      <c r="AH733" t="s">
        <v>46</v>
      </c>
      <c r="AI733">
        <v>1</v>
      </c>
      <c r="AJ733" t="s">
        <v>65</v>
      </c>
      <c r="AK733" t="s">
        <v>72</v>
      </c>
      <c r="AL733" t="s">
        <v>73</v>
      </c>
      <c r="AM733" t="s">
        <v>61</v>
      </c>
      <c r="AN733">
        <f t="shared" si="11"/>
        <v>6</v>
      </c>
    </row>
    <row r="734" spans="1:40">
      <c r="A734">
        <v>30</v>
      </c>
      <c r="B734" t="s">
        <v>38</v>
      </c>
      <c r="C734" t="s">
        <v>52</v>
      </c>
      <c r="D734">
        <v>109</v>
      </c>
      <c r="E734" t="s">
        <v>53</v>
      </c>
      <c r="F734">
        <v>5</v>
      </c>
      <c r="G734">
        <v>3</v>
      </c>
      <c r="H734" t="s">
        <v>69</v>
      </c>
      <c r="I734">
        <v>1017</v>
      </c>
      <c r="J734">
        <v>2</v>
      </c>
      <c r="K734" t="s">
        <v>42</v>
      </c>
      <c r="L734">
        <v>60</v>
      </c>
      <c r="M734">
        <v>3</v>
      </c>
      <c r="N734">
        <v>1</v>
      </c>
      <c r="O734" t="s">
        <v>63</v>
      </c>
      <c r="P734">
        <v>2</v>
      </c>
      <c r="Q734" t="s">
        <v>44</v>
      </c>
      <c r="R734">
        <v>2422</v>
      </c>
      <c r="S734">
        <v>25725</v>
      </c>
      <c r="T734">
        <v>0</v>
      </c>
      <c r="U734" t="s">
        <v>51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  <c r="AG734" t="s">
        <v>67</v>
      </c>
      <c r="AH734" t="s">
        <v>46</v>
      </c>
      <c r="AI734">
        <v>1</v>
      </c>
      <c r="AJ734" t="s">
        <v>65</v>
      </c>
      <c r="AK734" t="s">
        <v>72</v>
      </c>
      <c r="AL734" t="s">
        <v>60</v>
      </c>
      <c r="AM734" t="s">
        <v>61</v>
      </c>
      <c r="AN734">
        <f t="shared" si="11"/>
        <v>4</v>
      </c>
    </row>
    <row r="735" spans="1:40">
      <c r="A735">
        <v>26</v>
      </c>
      <c r="B735" t="s">
        <v>51</v>
      </c>
      <c r="C735" t="s">
        <v>39</v>
      </c>
      <c r="D735">
        <v>1066</v>
      </c>
      <c r="E735" t="s">
        <v>53</v>
      </c>
      <c r="F735">
        <v>2</v>
      </c>
      <c r="G735">
        <v>2</v>
      </c>
      <c r="H735" t="s">
        <v>69</v>
      </c>
      <c r="I735">
        <v>1018</v>
      </c>
      <c r="J735">
        <v>4</v>
      </c>
      <c r="K735" t="s">
        <v>54</v>
      </c>
      <c r="L735">
        <v>32</v>
      </c>
      <c r="M735">
        <v>4</v>
      </c>
      <c r="N735">
        <v>2</v>
      </c>
      <c r="O735" t="s">
        <v>75</v>
      </c>
      <c r="P735">
        <v>4</v>
      </c>
      <c r="Q735" t="s">
        <v>56</v>
      </c>
      <c r="R735">
        <v>5472</v>
      </c>
      <c r="S735">
        <v>3334</v>
      </c>
      <c r="T735">
        <v>1</v>
      </c>
      <c r="U735" t="s">
        <v>51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  <c r="AG735" t="s">
        <v>67</v>
      </c>
      <c r="AH735" t="s">
        <v>81</v>
      </c>
      <c r="AI735">
        <v>0</v>
      </c>
      <c r="AJ735" t="s">
        <v>58</v>
      </c>
      <c r="AK735" t="s">
        <v>48</v>
      </c>
      <c r="AL735" t="s">
        <v>49</v>
      </c>
      <c r="AM735" t="s">
        <v>61</v>
      </c>
      <c r="AN735">
        <f t="shared" si="11"/>
        <v>-2</v>
      </c>
    </row>
    <row r="736" spans="1:40">
      <c r="A736">
        <v>22</v>
      </c>
      <c r="B736" t="s">
        <v>51</v>
      </c>
      <c r="C736" t="s">
        <v>39</v>
      </c>
      <c r="D736">
        <v>217</v>
      </c>
      <c r="E736" t="s">
        <v>53</v>
      </c>
      <c r="F736">
        <v>8</v>
      </c>
      <c r="G736">
        <v>1</v>
      </c>
      <c r="H736" t="s">
        <v>41</v>
      </c>
      <c r="I736">
        <v>1019</v>
      </c>
      <c r="J736">
        <v>2</v>
      </c>
      <c r="K736" t="s">
        <v>54</v>
      </c>
      <c r="L736">
        <v>94</v>
      </c>
      <c r="M736">
        <v>1</v>
      </c>
      <c r="N736">
        <v>1</v>
      </c>
      <c r="O736" t="s">
        <v>63</v>
      </c>
      <c r="P736">
        <v>1</v>
      </c>
      <c r="Q736" t="s">
        <v>56</v>
      </c>
      <c r="R736">
        <v>2451</v>
      </c>
      <c r="S736">
        <v>6881</v>
      </c>
      <c r="T736">
        <v>1</v>
      </c>
      <c r="U736" t="s">
        <v>51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  <c r="AG736" t="s">
        <v>78</v>
      </c>
      <c r="AH736" t="s">
        <v>71</v>
      </c>
      <c r="AI736">
        <v>0</v>
      </c>
      <c r="AJ736" t="s">
        <v>47</v>
      </c>
      <c r="AK736" t="s">
        <v>59</v>
      </c>
      <c r="AL736" t="s">
        <v>73</v>
      </c>
      <c r="AM736" t="s">
        <v>70</v>
      </c>
      <c r="AN736">
        <f t="shared" si="11"/>
        <v>9</v>
      </c>
    </row>
    <row r="737" spans="1:40">
      <c r="A737">
        <v>48</v>
      </c>
      <c r="B737" t="s">
        <v>51</v>
      </c>
      <c r="C737" t="s">
        <v>39</v>
      </c>
      <c r="D737">
        <v>277</v>
      </c>
      <c r="E737" t="s">
        <v>53</v>
      </c>
      <c r="F737">
        <v>6</v>
      </c>
      <c r="G737">
        <v>3</v>
      </c>
      <c r="H737" t="s">
        <v>41</v>
      </c>
      <c r="I737">
        <v>1022</v>
      </c>
      <c r="J737">
        <v>1</v>
      </c>
      <c r="K737" t="s">
        <v>54</v>
      </c>
      <c r="L737">
        <v>97</v>
      </c>
      <c r="M737">
        <v>2</v>
      </c>
      <c r="N737">
        <v>2</v>
      </c>
      <c r="O737" t="s">
        <v>76</v>
      </c>
      <c r="P737">
        <v>3</v>
      </c>
      <c r="Q737" t="s">
        <v>44</v>
      </c>
      <c r="R737">
        <v>4240</v>
      </c>
      <c r="S737">
        <v>13119</v>
      </c>
      <c r="T737">
        <v>2</v>
      </c>
      <c r="U737" t="s">
        <v>51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  <c r="AG737" t="s">
        <v>57</v>
      </c>
      <c r="AH737" t="s">
        <v>46</v>
      </c>
      <c r="AI737">
        <v>0</v>
      </c>
      <c r="AJ737" t="s">
        <v>65</v>
      </c>
      <c r="AK737" t="s">
        <v>72</v>
      </c>
      <c r="AL737" t="s">
        <v>66</v>
      </c>
      <c r="AM737" t="s">
        <v>61</v>
      </c>
      <c r="AN737">
        <f t="shared" si="11"/>
        <v>2</v>
      </c>
    </row>
    <row r="738" spans="1:40">
      <c r="A738">
        <v>48</v>
      </c>
      <c r="B738" t="s">
        <v>51</v>
      </c>
      <c r="C738" t="s">
        <v>39</v>
      </c>
      <c r="D738">
        <v>1355</v>
      </c>
      <c r="E738" t="s">
        <v>53</v>
      </c>
      <c r="F738">
        <v>4</v>
      </c>
      <c r="G738">
        <v>4</v>
      </c>
      <c r="H738" t="s">
        <v>41</v>
      </c>
      <c r="I738">
        <v>1024</v>
      </c>
      <c r="J738">
        <v>3</v>
      </c>
      <c r="K738" t="s">
        <v>54</v>
      </c>
      <c r="L738">
        <v>78</v>
      </c>
      <c r="M738">
        <v>2</v>
      </c>
      <c r="N738">
        <v>3</v>
      </c>
      <c r="O738" t="s">
        <v>76</v>
      </c>
      <c r="P738">
        <v>3</v>
      </c>
      <c r="Q738" t="s">
        <v>44</v>
      </c>
      <c r="R738">
        <v>10999</v>
      </c>
      <c r="S738">
        <v>22245</v>
      </c>
      <c r="T738">
        <v>7</v>
      </c>
      <c r="U738" t="s">
        <v>51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  <c r="AG738" t="s">
        <v>57</v>
      </c>
      <c r="AH738" t="s">
        <v>46</v>
      </c>
      <c r="AI738">
        <v>0</v>
      </c>
      <c r="AJ738" t="s">
        <v>80</v>
      </c>
      <c r="AK738" t="s">
        <v>68</v>
      </c>
      <c r="AL738" t="s">
        <v>66</v>
      </c>
      <c r="AM738" t="s">
        <v>61</v>
      </c>
      <c r="AN738">
        <f t="shared" si="11"/>
        <v>4</v>
      </c>
    </row>
    <row r="739" spans="1:40">
      <c r="A739">
        <v>41</v>
      </c>
      <c r="B739" t="s">
        <v>51</v>
      </c>
      <c r="C739" t="s">
        <v>39</v>
      </c>
      <c r="D739">
        <v>549</v>
      </c>
      <c r="E739" t="s">
        <v>53</v>
      </c>
      <c r="F739">
        <v>7</v>
      </c>
      <c r="G739">
        <v>2</v>
      </c>
      <c r="H739" t="s">
        <v>69</v>
      </c>
      <c r="I739">
        <v>1025</v>
      </c>
      <c r="J739">
        <v>4</v>
      </c>
      <c r="K739" t="s">
        <v>42</v>
      </c>
      <c r="L739">
        <v>42</v>
      </c>
      <c r="M739">
        <v>3</v>
      </c>
      <c r="N739">
        <v>2</v>
      </c>
      <c r="O739" t="s">
        <v>75</v>
      </c>
      <c r="P739">
        <v>3</v>
      </c>
      <c r="Q739" t="s">
        <v>44</v>
      </c>
      <c r="R739">
        <v>5003</v>
      </c>
      <c r="S739">
        <v>23371</v>
      </c>
      <c r="T739">
        <v>6</v>
      </c>
      <c r="U739" t="s">
        <v>51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  <c r="AG739" t="s">
        <v>45</v>
      </c>
      <c r="AH739" t="s">
        <v>46</v>
      </c>
      <c r="AI739">
        <v>0</v>
      </c>
      <c r="AJ739" t="s">
        <v>65</v>
      </c>
      <c r="AK739" t="s">
        <v>48</v>
      </c>
      <c r="AL739" t="s">
        <v>66</v>
      </c>
      <c r="AM739" t="s">
        <v>61</v>
      </c>
      <c r="AN739">
        <f t="shared" si="11"/>
        <v>2</v>
      </c>
    </row>
    <row r="740" spans="1:40">
      <c r="A740">
        <v>39</v>
      </c>
      <c r="B740" t="s">
        <v>51</v>
      </c>
      <c r="C740" t="s">
        <v>39</v>
      </c>
      <c r="D740">
        <v>466</v>
      </c>
      <c r="E740" t="s">
        <v>53</v>
      </c>
      <c r="F740">
        <v>1</v>
      </c>
      <c r="G740">
        <v>1</v>
      </c>
      <c r="H740" t="s">
        <v>41</v>
      </c>
      <c r="I740">
        <v>1026</v>
      </c>
      <c r="J740">
        <v>4</v>
      </c>
      <c r="K740" t="s">
        <v>42</v>
      </c>
      <c r="L740">
        <v>65</v>
      </c>
      <c r="M740">
        <v>2</v>
      </c>
      <c r="N740">
        <v>4</v>
      </c>
      <c r="O740" t="s">
        <v>75</v>
      </c>
      <c r="P740">
        <v>4</v>
      </c>
      <c r="Q740" t="s">
        <v>56</v>
      </c>
      <c r="R740">
        <v>12742</v>
      </c>
      <c r="S740">
        <v>7060</v>
      </c>
      <c r="T740">
        <v>1</v>
      </c>
      <c r="U740" t="s">
        <v>51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  <c r="AG740" t="s">
        <v>45</v>
      </c>
      <c r="AH740" t="s">
        <v>71</v>
      </c>
      <c r="AI740">
        <v>0</v>
      </c>
      <c r="AJ740" t="s">
        <v>80</v>
      </c>
      <c r="AK740" t="s">
        <v>59</v>
      </c>
      <c r="AL740" t="s">
        <v>49</v>
      </c>
      <c r="AM740" t="s">
        <v>61</v>
      </c>
      <c r="AN740">
        <f t="shared" si="11"/>
        <v>8</v>
      </c>
    </row>
    <row r="741" spans="1:40">
      <c r="A741">
        <v>27</v>
      </c>
      <c r="B741" t="s">
        <v>51</v>
      </c>
      <c r="C741" t="s">
        <v>39</v>
      </c>
      <c r="D741">
        <v>1055</v>
      </c>
      <c r="E741" t="s">
        <v>53</v>
      </c>
      <c r="F741">
        <v>2</v>
      </c>
      <c r="G741">
        <v>4</v>
      </c>
      <c r="H741" t="s">
        <v>41</v>
      </c>
      <c r="I741">
        <v>1027</v>
      </c>
      <c r="J741">
        <v>1</v>
      </c>
      <c r="K741" t="s">
        <v>42</v>
      </c>
      <c r="L741">
        <v>47</v>
      </c>
      <c r="M741">
        <v>3</v>
      </c>
      <c r="N741">
        <v>2</v>
      </c>
      <c r="O741" t="s">
        <v>75</v>
      </c>
      <c r="P741">
        <v>4</v>
      </c>
      <c r="Q741" t="s">
        <v>56</v>
      </c>
      <c r="R741">
        <v>4227</v>
      </c>
      <c r="S741">
        <v>4658</v>
      </c>
      <c r="T741">
        <v>0</v>
      </c>
      <c r="U741" t="s">
        <v>51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  <c r="AG741" t="s">
        <v>67</v>
      </c>
      <c r="AH741" t="s">
        <v>81</v>
      </c>
      <c r="AI741">
        <v>0</v>
      </c>
      <c r="AJ741" t="s">
        <v>65</v>
      </c>
      <c r="AK741" t="s">
        <v>68</v>
      </c>
      <c r="AL741" t="s">
        <v>49</v>
      </c>
      <c r="AM741" t="s">
        <v>61</v>
      </c>
      <c r="AN741">
        <f t="shared" si="11"/>
        <v>-1</v>
      </c>
    </row>
    <row r="742" spans="1:40">
      <c r="A742">
        <v>35</v>
      </c>
      <c r="B742" t="s">
        <v>51</v>
      </c>
      <c r="C742" t="s">
        <v>39</v>
      </c>
      <c r="D742">
        <v>802</v>
      </c>
      <c r="E742" t="s">
        <v>53</v>
      </c>
      <c r="F742">
        <v>10</v>
      </c>
      <c r="G742">
        <v>3</v>
      </c>
      <c r="H742" t="s">
        <v>62</v>
      </c>
      <c r="I742">
        <v>1028</v>
      </c>
      <c r="J742">
        <v>2</v>
      </c>
      <c r="K742" t="s">
        <v>54</v>
      </c>
      <c r="L742">
        <v>45</v>
      </c>
      <c r="M742">
        <v>3</v>
      </c>
      <c r="N742">
        <v>1</v>
      </c>
      <c r="O742" t="s">
        <v>63</v>
      </c>
      <c r="P742">
        <v>4</v>
      </c>
      <c r="Q742" t="s">
        <v>74</v>
      </c>
      <c r="R742">
        <v>3917</v>
      </c>
      <c r="S742">
        <v>9541</v>
      </c>
      <c r="T742">
        <v>1</v>
      </c>
      <c r="U742" t="s">
        <v>51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  <c r="AG742" t="s">
        <v>67</v>
      </c>
      <c r="AH742" t="s">
        <v>71</v>
      </c>
      <c r="AI742">
        <v>0</v>
      </c>
      <c r="AJ742" t="s">
        <v>47</v>
      </c>
      <c r="AK742" t="s">
        <v>72</v>
      </c>
      <c r="AL742" t="s">
        <v>49</v>
      </c>
      <c r="AM742" t="s">
        <v>70</v>
      </c>
      <c r="AN742">
        <f t="shared" si="11"/>
        <v>0</v>
      </c>
    </row>
    <row r="743" spans="1:40">
      <c r="A743">
        <v>42</v>
      </c>
      <c r="B743" t="s">
        <v>51</v>
      </c>
      <c r="C743" t="s">
        <v>39</v>
      </c>
      <c r="D743">
        <v>265</v>
      </c>
      <c r="E743" t="s">
        <v>40</v>
      </c>
      <c r="F743">
        <v>5</v>
      </c>
      <c r="G743">
        <v>2</v>
      </c>
      <c r="H743" t="s">
        <v>84</v>
      </c>
      <c r="I743">
        <v>1029</v>
      </c>
      <c r="J743">
        <v>4</v>
      </c>
      <c r="K743" t="s">
        <v>54</v>
      </c>
      <c r="L743">
        <v>90</v>
      </c>
      <c r="M743">
        <v>3</v>
      </c>
      <c r="N743">
        <v>5</v>
      </c>
      <c r="O743" t="s">
        <v>79</v>
      </c>
      <c r="P743">
        <v>3</v>
      </c>
      <c r="Q743" t="s">
        <v>56</v>
      </c>
      <c r="R743">
        <v>18303</v>
      </c>
      <c r="S743">
        <v>7770</v>
      </c>
      <c r="T743">
        <v>6</v>
      </c>
      <c r="U743" t="s">
        <v>51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  <c r="AG743" t="s">
        <v>45</v>
      </c>
      <c r="AH743" t="s">
        <v>71</v>
      </c>
      <c r="AI743">
        <v>0</v>
      </c>
      <c r="AJ743" t="s">
        <v>65</v>
      </c>
      <c r="AK743" t="s">
        <v>48</v>
      </c>
      <c r="AL743" t="s">
        <v>66</v>
      </c>
      <c r="AM743" t="s">
        <v>85</v>
      </c>
      <c r="AN743">
        <f t="shared" si="11"/>
        <v>-2</v>
      </c>
    </row>
    <row r="744" spans="1:40">
      <c r="A744">
        <v>50</v>
      </c>
      <c r="B744" t="s">
        <v>51</v>
      </c>
      <c r="C744" t="s">
        <v>39</v>
      </c>
      <c r="D744">
        <v>804</v>
      </c>
      <c r="E744" t="s">
        <v>53</v>
      </c>
      <c r="F744">
        <v>9</v>
      </c>
      <c r="G744">
        <v>3</v>
      </c>
      <c r="H744" t="s">
        <v>41</v>
      </c>
      <c r="I744">
        <v>1030</v>
      </c>
      <c r="J744">
        <v>1</v>
      </c>
      <c r="K744" t="s">
        <v>54</v>
      </c>
      <c r="L744">
        <v>64</v>
      </c>
      <c r="M744">
        <v>3</v>
      </c>
      <c r="N744">
        <v>1</v>
      </c>
      <c r="O744" t="s">
        <v>63</v>
      </c>
      <c r="P744">
        <v>4</v>
      </c>
      <c r="Q744" t="s">
        <v>56</v>
      </c>
      <c r="R744">
        <v>2380</v>
      </c>
      <c r="S744">
        <v>20165</v>
      </c>
      <c r="T744">
        <v>4</v>
      </c>
      <c r="U744" t="s">
        <v>51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  <c r="AG744" t="s">
        <v>57</v>
      </c>
      <c r="AH744" t="s">
        <v>46</v>
      </c>
      <c r="AI744">
        <v>0</v>
      </c>
      <c r="AJ744" t="s">
        <v>65</v>
      </c>
      <c r="AK744" t="s">
        <v>72</v>
      </c>
      <c r="AL744" t="s">
        <v>49</v>
      </c>
      <c r="AM744" t="s">
        <v>61</v>
      </c>
      <c r="AN744">
        <f t="shared" si="11"/>
        <v>-3</v>
      </c>
    </row>
    <row r="745" spans="1:40">
      <c r="A745">
        <v>59</v>
      </c>
      <c r="B745" t="s">
        <v>51</v>
      </c>
      <c r="C745" t="s">
        <v>39</v>
      </c>
      <c r="D745">
        <v>715</v>
      </c>
      <c r="E745" t="s">
        <v>53</v>
      </c>
      <c r="F745">
        <v>2</v>
      </c>
      <c r="G745">
        <v>3</v>
      </c>
      <c r="H745" t="s">
        <v>41</v>
      </c>
      <c r="I745">
        <v>1032</v>
      </c>
      <c r="J745">
        <v>3</v>
      </c>
      <c r="K745" t="s">
        <v>42</v>
      </c>
      <c r="L745">
        <v>69</v>
      </c>
      <c r="M745">
        <v>2</v>
      </c>
      <c r="N745">
        <v>4</v>
      </c>
      <c r="O745" t="s">
        <v>75</v>
      </c>
      <c r="P745">
        <v>4</v>
      </c>
      <c r="Q745" t="s">
        <v>44</v>
      </c>
      <c r="R745">
        <v>13726</v>
      </c>
      <c r="S745">
        <v>21829</v>
      </c>
      <c r="T745">
        <v>3</v>
      </c>
      <c r="U745" t="s">
        <v>38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  <c r="AG745" t="s">
        <v>57</v>
      </c>
      <c r="AH745" t="s">
        <v>46</v>
      </c>
      <c r="AI745">
        <v>0</v>
      </c>
      <c r="AJ745" t="s">
        <v>65</v>
      </c>
      <c r="AK745" t="s">
        <v>72</v>
      </c>
      <c r="AL745" t="s">
        <v>49</v>
      </c>
      <c r="AM745" t="s">
        <v>61</v>
      </c>
      <c r="AN745">
        <f t="shared" si="11"/>
        <v>1</v>
      </c>
    </row>
    <row r="746" spans="1:40">
      <c r="A746">
        <v>37</v>
      </c>
      <c r="B746" t="s">
        <v>38</v>
      </c>
      <c r="C746" t="s">
        <v>39</v>
      </c>
      <c r="D746">
        <v>1141</v>
      </c>
      <c r="E746" t="s">
        <v>53</v>
      </c>
      <c r="F746">
        <v>11</v>
      </c>
      <c r="G746">
        <v>2</v>
      </c>
      <c r="H746" t="s">
        <v>69</v>
      </c>
      <c r="I746">
        <v>1033</v>
      </c>
      <c r="J746">
        <v>1</v>
      </c>
      <c r="K746" t="s">
        <v>42</v>
      </c>
      <c r="L746">
        <v>61</v>
      </c>
      <c r="M746">
        <v>1</v>
      </c>
      <c r="N746">
        <v>2</v>
      </c>
      <c r="O746" t="s">
        <v>76</v>
      </c>
      <c r="P746">
        <v>2</v>
      </c>
      <c r="Q746" t="s">
        <v>56</v>
      </c>
      <c r="R746">
        <v>4777</v>
      </c>
      <c r="S746">
        <v>14382</v>
      </c>
      <c r="T746">
        <v>5</v>
      </c>
      <c r="U746" t="s">
        <v>51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  <c r="AG746" t="s">
        <v>45</v>
      </c>
      <c r="AH746" t="s">
        <v>46</v>
      </c>
      <c r="AI746">
        <v>1</v>
      </c>
      <c r="AJ746" t="s">
        <v>47</v>
      </c>
      <c r="AK746" t="s">
        <v>48</v>
      </c>
      <c r="AL746" t="s">
        <v>60</v>
      </c>
      <c r="AM746" t="s">
        <v>50</v>
      </c>
      <c r="AN746">
        <f t="shared" si="11"/>
        <v>7</v>
      </c>
    </row>
    <row r="747" spans="1:40">
      <c r="A747">
        <v>55</v>
      </c>
      <c r="B747" t="s">
        <v>51</v>
      </c>
      <c r="C747" t="s">
        <v>52</v>
      </c>
      <c r="D747">
        <v>135</v>
      </c>
      <c r="E747" t="s">
        <v>53</v>
      </c>
      <c r="F747">
        <v>18</v>
      </c>
      <c r="G747">
        <v>4</v>
      </c>
      <c r="H747" t="s">
        <v>69</v>
      </c>
      <c r="I747">
        <v>1034</v>
      </c>
      <c r="J747">
        <v>3</v>
      </c>
      <c r="K747" t="s">
        <v>54</v>
      </c>
      <c r="L747">
        <v>62</v>
      </c>
      <c r="M747">
        <v>3</v>
      </c>
      <c r="N747">
        <v>2</v>
      </c>
      <c r="O747" t="s">
        <v>76</v>
      </c>
      <c r="P747">
        <v>2</v>
      </c>
      <c r="Q747" t="s">
        <v>56</v>
      </c>
      <c r="R747">
        <v>6385</v>
      </c>
      <c r="S747">
        <v>12992</v>
      </c>
      <c r="T747">
        <v>3</v>
      </c>
      <c r="U747" t="s">
        <v>38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  <c r="AG747" t="s">
        <v>57</v>
      </c>
      <c r="AH747" t="s">
        <v>46</v>
      </c>
      <c r="AI747">
        <v>0</v>
      </c>
      <c r="AJ747" t="s">
        <v>58</v>
      </c>
      <c r="AK747" t="s">
        <v>68</v>
      </c>
      <c r="AL747" t="s">
        <v>60</v>
      </c>
      <c r="AM747" t="s">
        <v>61</v>
      </c>
      <c r="AN747">
        <f t="shared" si="11"/>
        <v>9</v>
      </c>
    </row>
    <row r="748" spans="1:40">
      <c r="A748">
        <v>41</v>
      </c>
      <c r="B748" t="s">
        <v>51</v>
      </c>
      <c r="C748" t="s">
        <v>77</v>
      </c>
      <c r="D748">
        <v>247</v>
      </c>
      <c r="E748" t="s">
        <v>53</v>
      </c>
      <c r="F748">
        <v>7</v>
      </c>
      <c r="G748">
        <v>1</v>
      </c>
      <c r="H748" t="s">
        <v>41</v>
      </c>
      <c r="I748">
        <v>1035</v>
      </c>
      <c r="J748">
        <v>2</v>
      </c>
      <c r="K748" t="s">
        <v>42</v>
      </c>
      <c r="L748">
        <v>55</v>
      </c>
      <c r="M748">
        <v>1</v>
      </c>
      <c r="N748">
        <v>5</v>
      </c>
      <c r="O748" t="s">
        <v>83</v>
      </c>
      <c r="P748">
        <v>3</v>
      </c>
      <c r="Q748" t="s">
        <v>74</v>
      </c>
      <c r="R748">
        <v>19973</v>
      </c>
      <c r="S748">
        <v>20284</v>
      </c>
      <c r="T748">
        <v>1</v>
      </c>
      <c r="U748" t="s">
        <v>51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  <c r="AG748" t="s">
        <v>45</v>
      </c>
      <c r="AH748" t="s">
        <v>46</v>
      </c>
      <c r="AI748">
        <v>0</v>
      </c>
      <c r="AJ748" t="s">
        <v>80</v>
      </c>
      <c r="AK748" t="s">
        <v>59</v>
      </c>
      <c r="AL748" t="s">
        <v>66</v>
      </c>
      <c r="AM748" t="s">
        <v>61</v>
      </c>
      <c r="AN748">
        <f t="shared" si="11"/>
        <v>5</v>
      </c>
    </row>
    <row r="749" spans="1:40">
      <c r="A749">
        <v>38</v>
      </c>
      <c r="B749" t="s">
        <v>51</v>
      </c>
      <c r="C749" t="s">
        <v>39</v>
      </c>
      <c r="D749">
        <v>1035</v>
      </c>
      <c r="E749" t="s">
        <v>40</v>
      </c>
      <c r="F749">
        <v>3</v>
      </c>
      <c r="G749">
        <v>4</v>
      </c>
      <c r="H749" t="s">
        <v>41</v>
      </c>
      <c r="I749">
        <v>1036</v>
      </c>
      <c r="J749">
        <v>2</v>
      </c>
      <c r="K749" t="s">
        <v>54</v>
      </c>
      <c r="L749">
        <v>42</v>
      </c>
      <c r="M749">
        <v>3</v>
      </c>
      <c r="N749">
        <v>2</v>
      </c>
      <c r="O749" t="s">
        <v>43</v>
      </c>
      <c r="P749">
        <v>4</v>
      </c>
      <c r="Q749" t="s">
        <v>44</v>
      </c>
      <c r="R749">
        <v>6861</v>
      </c>
      <c r="S749">
        <v>4981</v>
      </c>
      <c r="T749">
        <v>8</v>
      </c>
      <c r="U749" t="s">
        <v>38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  <c r="AG749" t="s">
        <v>45</v>
      </c>
      <c r="AH749" t="s">
        <v>81</v>
      </c>
      <c r="AI749">
        <v>0</v>
      </c>
      <c r="AJ749" t="s">
        <v>65</v>
      </c>
      <c r="AK749" t="s">
        <v>68</v>
      </c>
      <c r="AL749" t="s">
        <v>49</v>
      </c>
      <c r="AM749" t="s">
        <v>61</v>
      </c>
      <c r="AN749">
        <f t="shared" si="11"/>
        <v>-3</v>
      </c>
    </row>
    <row r="750" spans="1:40">
      <c r="A750">
        <v>26</v>
      </c>
      <c r="B750" t="s">
        <v>38</v>
      </c>
      <c r="C750" t="s">
        <v>77</v>
      </c>
      <c r="D750">
        <v>265</v>
      </c>
      <c r="E750" t="s">
        <v>40</v>
      </c>
      <c r="F750">
        <v>29</v>
      </c>
      <c r="G750">
        <v>2</v>
      </c>
      <c r="H750" t="s">
        <v>69</v>
      </c>
      <c r="I750">
        <v>1037</v>
      </c>
      <c r="J750">
        <v>2</v>
      </c>
      <c r="K750" t="s">
        <v>54</v>
      </c>
      <c r="L750">
        <v>79</v>
      </c>
      <c r="M750">
        <v>1</v>
      </c>
      <c r="N750">
        <v>2</v>
      </c>
      <c r="O750" t="s">
        <v>43</v>
      </c>
      <c r="P750">
        <v>1</v>
      </c>
      <c r="Q750" t="s">
        <v>44</v>
      </c>
      <c r="R750">
        <v>4969</v>
      </c>
      <c r="S750">
        <v>21813</v>
      </c>
      <c r="T750">
        <v>8</v>
      </c>
      <c r="U750" t="s">
        <v>51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  <c r="AG750" t="s">
        <v>67</v>
      </c>
      <c r="AH750" t="s">
        <v>46</v>
      </c>
      <c r="AI750">
        <v>1</v>
      </c>
      <c r="AJ750" t="s">
        <v>65</v>
      </c>
      <c r="AK750" t="s">
        <v>48</v>
      </c>
      <c r="AL750" t="s">
        <v>73</v>
      </c>
      <c r="AM750" t="s">
        <v>61</v>
      </c>
      <c r="AN750">
        <f t="shared" si="11"/>
        <v>8</v>
      </c>
    </row>
    <row r="751" spans="1:40">
      <c r="A751">
        <v>52</v>
      </c>
      <c r="B751" t="s">
        <v>38</v>
      </c>
      <c r="C751" t="s">
        <v>39</v>
      </c>
      <c r="D751">
        <v>266</v>
      </c>
      <c r="E751" t="s">
        <v>40</v>
      </c>
      <c r="F751">
        <v>2</v>
      </c>
      <c r="G751">
        <v>1</v>
      </c>
      <c r="H751" t="s">
        <v>84</v>
      </c>
      <c r="I751">
        <v>1038</v>
      </c>
      <c r="J751">
        <v>1</v>
      </c>
      <c r="K751" t="s">
        <v>42</v>
      </c>
      <c r="L751">
        <v>57</v>
      </c>
      <c r="M751">
        <v>1</v>
      </c>
      <c r="N751">
        <v>5</v>
      </c>
      <c r="O751" t="s">
        <v>79</v>
      </c>
      <c r="P751">
        <v>4</v>
      </c>
      <c r="Q751" t="s">
        <v>56</v>
      </c>
      <c r="R751">
        <v>19845</v>
      </c>
      <c r="S751">
        <v>25846</v>
      </c>
      <c r="T751">
        <v>1</v>
      </c>
      <c r="U751" t="s">
        <v>51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  <c r="AG751" t="s">
        <v>57</v>
      </c>
      <c r="AH751" t="s">
        <v>46</v>
      </c>
      <c r="AI751">
        <v>1</v>
      </c>
      <c r="AJ751" t="s">
        <v>80</v>
      </c>
      <c r="AK751" t="s">
        <v>59</v>
      </c>
      <c r="AL751" t="s">
        <v>49</v>
      </c>
      <c r="AM751" t="s">
        <v>61</v>
      </c>
      <c r="AN751">
        <f t="shared" si="11"/>
        <v>3</v>
      </c>
    </row>
    <row r="752" spans="1:40">
      <c r="A752">
        <v>44</v>
      </c>
      <c r="B752" t="s">
        <v>51</v>
      </c>
      <c r="C752" t="s">
        <v>39</v>
      </c>
      <c r="D752">
        <v>1448</v>
      </c>
      <c r="E752" t="s">
        <v>40</v>
      </c>
      <c r="F752">
        <v>28</v>
      </c>
      <c r="G752">
        <v>3</v>
      </c>
      <c r="H752" t="s">
        <v>69</v>
      </c>
      <c r="I752">
        <v>1039</v>
      </c>
      <c r="J752">
        <v>4</v>
      </c>
      <c r="K752" t="s">
        <v>42</v>
      </c>
      <c r="L752">
        <v>53</v>
      </c>
      <c r="M752">
        <v>4</v>
      </c>
      <c r="N752">
        <v>4</v>
      </c>
      <c r="O752" t="s">
        <v>43</v>
      </c>
      <c r="P752">
        <v>4</v>
      </c>
      <c r="Q752" t="s">
        <v>56</v>
      </c>
      <c r="R752">
        <v>13320</v>
      </c>
      <c r="S752">
        <v>11737</v>
      </c>
      <c r="T752">
        <v>3</v>
      </c>
      <c r="U752" t="s">
        <v>38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  <c r="AG752" t="s">
        <v>45</v>
      </c>
      <c r="AH752" t="s">
        <v>46</v>
      </c>
      <c r="AI752">
        <v>0</v>
      </c>
      <c r="AJ752" t="s">
        <v>80</v>
      </c>
      <c r="AK752" t="s">
        <v>72</v>
      </c>
      <c r="AL752" t="s">
        <v>49</v>
      </c>
      <c r="AM752" t="s">
        <v>61</v>
      </c>
      <c r="AN752">
        <f t="shared" si="11"/>
        <v>8</v>
      </c>
    </row>
    <row r="753" spans="1:40">
      <c r="A753">
        <v>50</v>
      </c>
      <c r="B753" t="s">
        <v>51</v>
      </c>
      <c r="C753" t="s">
        <v>77</v>
      </c>
      <c r="D753">
        <v>145</v>
      </c>
      <c r="E753" t="s">
        <v>40</v>
      </c>
      <c r="F753">
        <v>1</v>
      </c>
      <c r="G753">
        <v>3</v>
      </c>
      <c r="H753" t="s">
        <v>41</v>
      </c>
      <c r="I753">
        <v>1040</v>
      </c>
      <c r="J753">
        <v>4</v>
      </c>
      <c r="K753" t="s">
        <v>42</v>
      </c>
      <c r="L753">
        <v>95</v>
      </c>
      <c r="M753">
        <v>3</v>
      </c>
      <c r="N753">
        <v>2</v>
      </c>
      <c r="O753" t="s">
        <v>43</v>
      </c>
      <c r="P753">
        <v>3</v>
      </c>
      <c r="Q753" t="s">
        <v>56</v>
      </c>
      <c r="R753">
        <v>6347</v>
      </c>
      <c r="S753">
        <v>24920</v>
      </c>
      <c r="T753">
        <v>0</v>
      </c>
      <c r="U753" t="s">
        <v>51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  <c r="AG753" t="s">
        <v>57</v>
      </c>
      <c r="AH753" t="s">
        <v>46</v>
      </c>
      <c r="AI753">
        <v>0</v>
      </c>
      <c r="AJ753" t="s">
        <v>80</v>
      </c>
      <c r="AK753" t="s">
        <v>72</v>
      </c>
      <c r="AL753" t="s">
        <v>66</v>
      </c>
      <c r="AM753" t="s">
        <v>61</v>
      </c>
      <c r="AN753">
        <f t="shared" si="11"/>
        <v>0</v>
      </c>
    </row>
    <row r="754" spans="1:40">
      <c r="A754">
        <v>36</v>
      </c>
      <c r="B754" t="s">
        <v>38</v>
      </c>
      <c r="C754" t="s">
        <v>39</v>
      </c>
      <c r="D754">
        <v>885</v>
      </c>
      <c r="E754" t="s">
        <v>53</v>
      </c>
      <c r="F754">
        <v>16</v>
      </c>
      <c r="G754">
        <v>4</v>
      </c>
      <c r="H754" t="s">
        <v>41</v>
      </c>
      <c r="I754">
        <v>1042</v>
      </c>
      <c r="J754">
        <v>3</v>
      </c>
      <c r="K754" t="s">
        <v>42</v>
      </c>
      <c r="L754">
        <v>43</v>
      </c>
      <c r="M754">
        <v>4</v>
      </c>
      <c r="N754">
        <v>1</v>
      </c>
      <c r="O754" t="s">
        <v>63</v>
      </c>
      <c r="P754">
        <v>1</v>
      </c>
      <c r="Q754" t="s">
        <v>44</v>
      </c>
      <c r="R754">
        <v>2743</v>
      </c>
      <c r="S754">
        <v>8269</v>
      </c>
      <c r="T754">
        <v>1</v>
      </c>
      <c r="U754" t="s">
        <v>51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  <c r="AG754" t="s">
        <v>45</v>
      </c>
      <c r="AH754" t="s">
        <v>71</v>
      </c>
      <c r="AI754">
        <v>1</v>
      </c>
      <c r="AJ754" t="s">
        <v>80</v>
      </c>
      <c r="AK754" t="s">
        <v>68</v>
      </c>
      <c r="AL754" t="s">
        <v>73</v>
      </c>
      <c r="AM754" t="s">
        <v>61</v>
      </c>
      <c r="AN754">
        <f t="shared" si="11"/>
        <v>21</v>
      </c>
    </row>
    <row r="755" spans="1:40">
      <c r="A755">
        <v>39</v>
      </c>
      <c r="B755" t="s">
        <v>51</v>
      </c>
      <c r="C755" t="s">
        <v>52</v>
      </c>
      <c r="D755">
        <v>945</v>
      </c>
      <c r="E755" t="s">
        <v>53</v>
      </c>
      <c r="F755">
        <v>22</v>
      </c>
      <c r="G755">
        <v>3</v>
      </c>
      <c r="H755" t="s">
        <v>69</v>
      </c>
      <c r="I755">
        <v>1043</v>
      </c>
      <c r="J755">
        <v>4</v>
      </c>
      <c r="K755" t="s">
        <v>42</v>
      </c>
      <c r="L755">
        <v>82</v>
      </c>
      <c r="M755">
        <v>3</v>
      </c>
      <c r="N755">
        <v>3</v>
      </c>
      <c r="O755" t="s">
        <v>75</v>
      </c>
      <c r="P755">
        <v>1</v>
      </c>
      <c r="Q755" t="s">
        <v>44</v>
      </c>
      <c r="R755">
        <v>10880</v>
      </c>
      <c r="S755">
        <v>5083</v>
      </c>
      <c r="T755">
        <v>1</v>
      </c>
      <c r="U755" t="s">
        <v>38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  <c r="AG755" t="s">
        <v>45</v>
      </c>
      <c r="AH755" t="s">
        <v>81</v>
      </c>
      <c r="AI755">
        <v>0</v>
      </c>
      <c r="AJ755" t="s">
        <v>80</v>
      </c>
      <c r="AK755" t="s">
        <v>72</v>
      </c>
      <c r="AL755" t="s">
        <v>73</v>
      </c>
      <c r="AM755" t="s">
        <v>61</v>
      </c>
      <c r="AN755">
        <f t="shared" si="11"/>
        <v>8</v>
      </c>
    </row>
    <row r="756" spans="1:40">
      <c r="A756">
        <v>33</v>
      </c>
      <c r="B756" t="s">
        <v>51</v>
      </c>
      <c r="C756" t="s">
        <v>77</v>
      </c>
      <c r="D756">
        <v>1038</v>
      </c>
      <c r="E756" t="s">
        <v>40</v>
      </c>
      <c r="F756">
        <v>8</v>
      </c>
      <c r="G756">
        <v>1</v>
      </c>
      <c r="H756" t="s">
        <v>41</v>
      </c>
      <c r="I756">
        <v>1044</v>
      </c>
      <c r="J756">
        <v>2</v>
      </c>
      <c r="K756" t="s">
        <v>42</v>
      </c>
      <c r="L756">
        <v>88</v>
      </c>
      <c r="M756">
        <v>2</v>
      </c>
      <c r="N756">
        <v>1</v>
      </c>
      <c r="O756" t="s">
        <v>82</v>
      </c>
      <c r="P756">
        <v>4</v>
      </c>
      <c r="Q756" t="s">
        <v>44</v>
      </c>
      <c r="R756">
        <v>2342</v>
      </c>
      <c r="S756">
        <v>21437</v>
      </c>
      <c r="T756">
        <v>0</v>
      </c>
      <c r="U756" t="s">
        <v>51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  <c r="AG756" t="s">
        <v>67</v>
      </c>
      <c r="AH756" t="s">
        <v>46</v>
      </c>
      <c r="AI756">
        <v>0</v>
      </c>
      <c r="AJ756" t="s">
        <v>47</v>
      </c>
      <c r="AK756" t="s">
        <v>59</v>
      </c>
      <c r="AL756" t="s">
        <v>49</v>
      </c>
      <c r="AM756" t="s">
        <v>70</v>
      </c>
      <c r="AN756">
        <f t="shared" si="11"/>
        <v>1</v>
      </c>
    </row>
    <row r="757" spans="1:40">
      <c r="A757">
        <v>45</v>
      </c>
      <c r="B757" t="s">
        <v>51</v>
      </c>
      <c r="C757" t="s">
        <v>39</v>
      </c>
      <c r="D757">
        <v>1234</v>
      </c>
      <c r="E757" t="s">
        <v>40</v>
      </c>
      <c r="F757">
        <v>11</v>
      </c>
      <c r="G757">
        <v>2</v>
      </c>
      <c r="H757" t="s">
        <v>41</v>
      </c>
      <c r="I757">
        <v>1045</v>
      </c>
      <c r="J757">
        <v>4</v>
      </c>
      <c r="K757" t="s">
        <v>42</v>
      </c>
      <c r="L757">
        <v>90</v>
      </c>
      <c r="M757">
        <v>3</v>
      </c>
      <c r="N757">
        <v>4</v>
      </c>
      <c r="O757" t="s">
        <v>79</v>
      </c>
      <c r="P757">
        <v>4</v>
      </c>
      <c r="Q757" t="s">
        <v>56</v>
      </c>
      <c r="R757">
        <v>17650</v>
      </c>
      <c r="S757">
        <v>5404</v>
      </c>
      <c r="T757">
        <v>3</v>
      </c>
      <c r="U757" t="s">
        <v>51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  <c r="AG757" t="s">
        <v>45</v>
      </c>
      <c r="AH757" t="s">
        <v>81</v>
      </c>
      <c r="AI757">
        <v>0</v>
      </c>
      <c r="AJ757" t="s">
        <v>58</v>
      </c>
      <c r="AK757" t="s">
        <v>48</v>
      </c>
      <c r="AL757" t="s">
        <v>49</v>
      </c>
      <c r="AM757" t="s">
        <v>85</v>
      </c>
      <c r="AN757">
        <f t="shared" si="11"/>
        <v>-4</v>
      </c>
    </row>
    <row r="758" spans="1:40">
      <c r="A758">
        <v>32</v>
      </c>
      <c r="B758" t="s">
        <v>51</v>
      </c>
      <c r="C758" t="s">
        <v>77</v>
      </c>
      <c r="D758">
        <v>1109</v>
      </c>
      <c r="E758" t="s">
        <v>53</v>
      </c>
      <c r="F758">
        <v>29</v>
      </c>
      <c r="G758">
        <v>4</v>
      </c>
      <c r="H758" t="s">
        <v>69</v>
      </c>
      <c r="I758">
        <v>1046</v>
      </c>
      <c r="J758">
        <v>4</v>
      </c>
      <c r="K758" t="s">
        <v>42</v>
      </c>
      <c r="L758">
        <v>69</v>
      </c>
      <c r="M758">
        <v>3</v>
      </c>
      <c r="N758">
        <v>1</v>
      </c>
      <c r="O758" t="s">
        <v>63</v>
      </c>
      <c r="P758">
        <v>3</v>
      </c>
      <c r="Q758" t="s">
        <v>44</v>
      </c>
      <c r="R758">
        <v>4025</v>
      </c>
      <c r="S758">
        <v>11135</v>
      </c>
      <c r="T758">
        <v>9</v>
      </c>
      <c r="U758" t="s">
        <v>51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  <c r="AG758" t="s">
        <v>67</v>
      </c>
      <c r="AH758" t="s">
        <v>46</v>
      </c>
      <c r="AI758">
        <v>0</v>
      </c>
      <c r="AJ758" t="s">
        <v>58</v>
      </c>
      <c r="AK758" t="s">
        <v>68</v>
      </c>
      <c r="AL758" t="s">
        <v>66</v>
      </c>
      <c r="AM758" t="s">
        <v>61</v>
      </c>
      <c r="AN758">
        <f t="shared" si="11"/>
        <v>7</v>
      </c>
    </row>
    <row r="759" spans="1:40">
      <c r="A759">
        <v>34</v>
      </c>
      <c r="B759" t="s">
        <v>51</v>
      </c>
      <c r="C759" t="s">
        <v>39</v>
      </c>
      <c r="D759">
        <v>216</v>
      </c>
      <c r="E759" t="s">
        <v>40</v>
      </c>
      <c r="F759">
        <v>1</v>
      </c>
      <c r="G759">
        <v>4</v>
      </c>
      <c r="H759" t="s">
        <v>84</v>
      </c>
      <c r="I759">
        <v>1047</v>
      </c>
      <c r="J759">
        <v>2</v>
      </c>
      <c r="K759" t="s">
        <v>54</v>
      </c>
      <c r="L759">
        <v>75</v>
      </c>
      <c r="M759">
        <v>4</v>
      </c>
      <c r="N759">
        <v>2</v>
      </c>
      <c r="O759" t="s">
        <v>43</v>
      </c>
      <c r="P759">
        <v>4</v>
      </c>
      <c r="Q759" t="s">
        <v>74</v>
      </c>
      <c r="R759">
        <v>9725</v>
      </c>
      <c r="S759">
        <v>12278</v>
      </c>
      <c r="T759">
        <v>0</v>
      </c>
      <c r="U759" t="s">
        <v>51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  <c r="AG759" t="s">
        <v>67</v>
      </c>
      <c r="AH759" t="s">
        <v>46</v>
      </c>
      <c r="AI759">
        <v>0</v>
      </c>
      <c r="AJ759" t="s">
        <v>47</v>
      </c>
      <c r="AK759" t="s">
        <v>68</v>
      </c>
      <c r="AL759" t="s">
        <v>49</v>
      </c>
      <c r="AM759" t="s">
        <v>70</v>
      </c>
      <c r="AN759">
        <f t="shared" si="11"/>
        <v>-1</v>
      </c>
    </row>
    <row r="760" spans="1:40">
      <c r="A760">
        <v>59</v>
      </c>
      <c r="B760" t="s">
        <v>51</v>
      </c>
      <c r="C760" t="s">
        <v>39</v>
      </c>
      <c r="D760">
        <v>1089</v>
      </c>
      <c r="E760" t="s">
        <v>40</v>
      </c>
      <c r="F760">
        <v>1</v>
      </c>
      <c r="G760">
        <v>2</v>
      </c>
      <c r="H760" t="s">
        <v>86</v>
      </c>
      <c r="I760">
        <v>1048</v>
      </c>
      <c r="J760">
        <v>2</v>
      </c>
      <c r="K760" t="s">
        <v>54</v>
      </c>
      <c r="L760">
        <v>66</v>
      </c>
      <c r="M760">
        <v>3</v>
      </c>
      <c r="N760">
        <v>3</v>
      </c>
      <c r="O760" t="s">
        <v>79</v>
      </c>
      <c r="P760">
        <v>4</v>
      </c>
      <c r="Q760" t="s">
        <v>56</v>
      </c>
      <c r="R760">
        <v>11904</v>
      </c>
      <c r="S760">
        <v>11038</v>
      </c>
      <c r="T760">
        <v>3</v>
      </c>
      <c r="U760" t="s">
        <v>38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  <c r="AG760" t="s">
        <v>57</v>
      </c>
      <c r="AH760" t="s">
        <v>46</v>
      </c>
      <c r="AI760">
        <v>0</v>
      </c>
      <c r="AJ760" t="s">
        <v>47</v>
      </c>
      <c r="AK760" t="s">
        <v>48</v>
      </c>
      <c r="AL760" t="s">
        <v>49</v>
      </c>
      <c r="AM760" t="s">
        <v>50</v>
      </c>
      <c r="AN760">
        <f t="shared" si="11"/>
        <v>1</v>
      </c>
    </row>
    <row r="761" spans="1:40">
      <c r="A761">
        <v>45</v>
      </c>
      <c r="B761" t="s">
        <v>51</v>
      </c>
      <c r="C761" t="s">
        <v>39</v>
      </c>
      <c r="D761">
        <v>788</v>
      </c>
      <c r="E761" t="s">
        <v>88</v>
      </c>
      <c r="F761">
        <v>24</v>
      </c>
      <c r="G761">
        <v>4</v>
      </c>
      <c r="H761" t="s">
        <v>69</v>
      </c>
      <c r="I761">
        <v>1049</v>
      </c>
      <c r="J761">
        <v>2</v>
      </c>
      <c r="K761" t="s">
        <v>54</v>
      </c>
      <c r="L761">
        <v>36</v>
      </c>
      <c r="M761">
        <v>3</v>
      </c>
      <c r="N761">
        <v>1</v>
      </c>
      <c r="O761" t="s">
        <v>88</v>
      </c>
      <c r="P761">
        <v>2</v>
      </c>
      <c r="Q761" t="s">
        <v>44</v>
      </c>
      <c r="R761">
        <v>2177</v>
      </c>
      <c r="S761">
        <v>8318</v>
      </c>
      <c r="T761">
        <v>1</v>
      </c>
      <c r="U761" t="s">
        <v>51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  <c r="AG761" t="s">
        <v>45</v>
      </c>
      <c r="AH761" t="s">
        <v>71</v>
      </c>
      <c r="AI761">
        <v>0</v>
      </c>
      <c r="AJ761" t="s">
        <v>58</v>
      </c>
      <c r="AK761" t="s">
        <v>68</v>
      </c>
      <c r="AL761" t="s">
        <v>60</v>
      </c>
      <c r="AM761" t="s">
        <v>61</v>
      </c>
      <c r="AN761">
        <f t="shared" si="11"/>
        <v>3</v>
      </c>
    </row>
    <row r="762" spans="1:40">
      <c r="A762">
        <v>53</v>
      </c>
      <c r="B762" t="s">
        <v>51</v>
      </c>
      <c r="C762" t="s">
        <v>52</v>
      </c>
      <c r="D762">
        <v>124</v>
      </c>
      <c r="E762" t="s">
        <v>40</v>
      </c>
      <c r="F762">
        <v>2</v>
      </c>
      <c r="G762">
        <v>3</v>
      </c>
      <c r="H762" t="s">
        <v>84</v>
      </c>
      <c r="I762">
        <v>1050</v>
      </c>
      <c r="J762">
        <v>3</v>
      </c>
      <c r="K762" t="s">
        <v>42</v>
      </c>
      <c r="L762">
        <v>38</v>
      </c>
      <c r="M762">
        <v>2</v>
      </c>
      <c r="N762">
        <v>3</v>
      </c>
      <c r="O762" t="s">
        <v>43</v>
      </c>
      <c r="P762">
        <v>2</v>
      </c>
      <c r="Q762" t="s">
        <v>56</v>
      </c>
      <c r="R762">
        <v>7525</v>
      </c>
      <c r="S762">
        <v>23537</v>
      </c>
      <c r="T762">
        <v>2</v>
      </c>
      <c r="U762" t="s">
        <v>51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  <c r="AG762" t="s">
        <v>57</v>
      </c>
      <c r="AH762" t="s">
        <v>46</v>
      </c>
      <c r="AI762">
        <v>0</v>
      </c>
      <c r="AJ762" t="s">
        <v>80</v>
      </c>
      <c r="AK762" t="s">
        <v>72</v>
      </c>
      <c r="AL762" t="s">
        <v>60</v>
      </c>
      <c r="AM762" t="s">
        <v>61</v>
      </c>
      <c r="AN762">
        <f t="shared" si="11"/>
        <v>9</v>
      </c>
    </row>
    <row r="763" spans="1:40">
      <c r="A763">
        <v>36</v>
      </c>
      <c r="B763" t="s">
        <v>38</v>
      </c>
      <c r="C763" t="s">
        <v>39</v>
      </c>
      <c r="D763">
        <v>660</v>
      </c>
      <c r="E763" t="s">
        <v>53</v>
      </c>
      <c r="F763">
        <v>15</v>
      </c>
      <c r="G763">
        <v>3</v>
      </c>
      <c r="H763" t="s">
        <v>62</v>
      </c>
      <c r="I763">
        <v>1052</v>
      </c>
      <c r="J763">
        <v>1</v>
      </c>
      <c r="K763" t="s">
        <v>54</v>
      </c>
      <c r="L763">
        <v>81</v>
      </c>
      <c r="M763">
        <v>3</v>
      </c>
      <c r="N763">
        <v>2</v>
      </c>
      <c r="O763" t="s">
        <v>63</v>
      </c>
      <c r="P763">
        <v>3</v>
      </c>
      <c r="Q763" t="s">
        <v>74</v>
      </c>
      <c r="R763">
        <v>4834</v>
      </c>
      <c r="S763">
        <v>7858</v>
      </c>
      <c r="T763">
        <v>7</v>
      </c>
      <c r="U763" t="s">
        <v>51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  <c r="AG763" t="s">
        <v>45</v>
      </c>
      <c r="AH763" t="s">
        <v>71</v>
      </c>
      <c r="AI763">
        <v>1</v>
      </c>
      <c r="AJ763" t="s">
        <v>47</v>
      </c>
      <c r="AK763" t="s">
        <v>72</v>
      </c>
      <c r="AL763" t="s">
        <v>66</v>
      </c>
      <c r="AM763" t="s">
        <v>70</v>
      </c>
      <c r="AN763">
        <f t="shared" si="11"/>
        <v>2</v>
      </c>
    </row>
    <row r="764" spans="1:40">
      <c r="A764">
        <v>26</v>
      </c>
      <c r="B764" t="s">
        <v>38</v>
      </c>
      <c r="C764" t="s">
        <v>52</v>
      </c>
      <c r="D764">
        <v>342</v>
      </c>
      <c r="E764" t="s">
        <v>53</v>
      </c>
      <c r="F764">
        <v>2</v>
      </c>
      <c r="G764">
        <v>3</v>
      </c>
      <c r="H764" t="s">
        <v>41</v>
      </c>
      <c r="I764">
        <v>1053</v>
      </c>
      <c r="J764">
        <v>1</v>
      </c>
      <c r="K764" t="s">
        <v>54</v>
      </c>
      <c r="L764">
        <v>57</v>
      </c>
      <c r="M764">
        <v>3</v>
      </c>
      <c r="N764">
        <v>1</v>
      </c>
      <c r="O764" t="s">
        <v>55</v>
      </c>
      <c r="P764">
        <v>1</v>
      </c>
      <c r="Q764" t="s">
        <v>56</v>
      </c>
      <c r="R764">
        <v>2042</v>
      </c>
      <c r="S764">
        <v>15346</v>
      </c>
      <c r="T764">
        <v>6</v>
      </c>
      <c r="U764" t="s">
        <v>38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  <c r="AG764" t="s">
        <v>67</v>
      </c>
      <c r="AH764" t="s">
        <v>46</v>
      </c>
      <c r="AI764">
        <v>1</v>
      </c>
      <c r="AJ764" t="s">
        <v>65</v>
      </c>
      <c r="AK764" t="s">
        <v>72</v>
      </c>
      <c r="AL764" t="s">
        <v>73</v>
      </c>
      <c r="AM764" t="s">
        <v>61</v>
      </c>
      <c r="AN764">
        <f t="shared" si="11"/>
        <v>7</v>
      </c>
    </row>
    <row r="765" spans="1:40">
      <c r="A765">
        <v>34</v>
      </c>
      <c r="B765" t="s">
        <v>51</v>
      </c>
      <c r="C765" t="s">
        <v>39</v>
      </c>
      <c r="D765">
        <v>1333</v>
      </c>
      <c r="E765" t="s">
        <v>40</v>
      </c>
      <c r="F765">
        <v>10</v>
      </c>
      <c r="G765">
        <v>4</v>
      </c>
      <c r="H765" t="s">
        <v>41</v>
      </c>
      <c r="I765">
        <v>1055</v>
      </c>
      <c r="J765">
        <v>3</v>
      </c>
      <c r="K765" t="s">
        <v>42</v>
      </c>
      <c r="L765">
        <v>87</v>
      </c>
      <c r="M765">
        <v>3</v>
      </c>
      <c r="N765">
        <v>1</v>
      </c>
      <c r="O765" t="s">
        <v>82</v>
      </c>
      <c r="P765">
        <v>3</v>
      </c>
      <c r="Q765" t="s">
        <v>56</v>
      </c>
      <c r="R765">
        <v>2220</v>
      </c>
      <c r="S765">
        <v>18410</v>
      </c>
      <c r="T765">
        <v>1</v>
      </c>
      <c r="U765" t="s">
        <v>38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  <c r="AG765" t="s">
        <v>67</v>
      </c>
      <c r="AH765" t="s">
        <v>46</v>
      </c>
      <c r="AI765">
        <v>0</v>
      </c>
      <c r="AJ765" t="s">
        <v>65</v>
      </c>
      <c r="AK765" t="s">
        <v>68</v>
      </c>
      <c r="AL765" t="s">
        <v>66</v>
      </c>
      <c r="AM765" t="s">
        <v>61</v>
      </c>
      <c r="AN765">
        <f t="shared" si="11"/>
        <v>0</v>
      </c>
    </row>
    <row r="766" spans="1:40">
      <c r="A766">
        <v>28</v>
      </c>
      <c r="B766" t="s">
        <v>51</v>
      </c>
      <c r="C766" t="s">
        <v>39</v>
      </c>
      <c r="D766">
        <v>1144</v>
      </c>
      <c r="E766" t="s">
        <v>40</v>
      </c>
      <c r="F766">
        <v>10</v>
      </c>
      <c r="G766">
        <v>1</v>
      </c>
      <c r="H766" t="s">
        <v>69</v>
      </c>
      <c r="I766">
        <v>1056</v>
      </c>
      <c r="J766">
        <v>4</v>
      </c>
      <c r="K766" t="s">
        <v>54</v>
      </c>
      <c r="L766">
        <v>74</v>
      </c>
      <c r="M766">
        <v>3</v>
      </c>
      <c r="N766">
        <v>1</v>
      </c>
      <c r="O766" t="s">
        <v>82</v>
      </c>
      <c r="P766">
        <v>2</v>
      </c>
      <c r="Q766" t="s">
        <v>56</v>
      </c>
      <c r="R766">
        <v>1052</v>
      </c>
      <c r="S766">
        <v>23384</v>
      </c>
      <c r="T766">
        <v>1</v>
      </c>
      <c r="U766" t="s">
        <v>51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  <c r="AG766" t="s">
        <v>67</v>
      </c>
      <c r="AH766" t="s">
        <v>46</v>
      </c>
      <c r="AI766">
        <v>0</v>
      </c>
      <c r="AJ766" t="s">
        <v>65</v>
      </c>
      <c r="AK766" t="s">
        <v>59</v>
      </c>
      <c r="AL766" t="s">
        <v>60</v>
      </c>
      <c r="AM766" t="s">
        <v>61</v>
      </c>
      <c r="AN766">
        <f t="shared" si="11"/>
        <v>3</v>
      </c>
    </row>
    <row r="767" spans="1:40">
      <c r="A767">
        <v>38</v>
      </c>
      <c r="B767" t="s">
        <v>51</v>
      </c>
      <c r="C767" t="s">
        <v>52</v>
      </c>
      <c r="D767">
        <v>1186</v>
      </c>
      <c r="E767" t="s">
        <v>53</v>
      </c>
      <c r="F767">
        <v>3</v>
      </c>
      <c r="G767">
        <v>4</v>
      </c>
      <c r="H767" t="s">
        <v>62</v>
      </c>
      <c r="I767">
        <v>1060</v>
      </c>
      <c r="J767">
        <v>3</v>
      </c>
      <c r="K767" t="s">
        <v>54</v>
      </c>
      <c r="L767">
        <v>44</v>
      </c>
      <c r="M767">
        <v>3</v>
      </c>
      <c r="N767">
        <v>1</v>
      </c>
      <c r="O767" t="s">
        <v>55</v>
      </c>
      <c r="P767">
        <v>3</v>
      </c>
      <c r="Q767" t="s">
        <v>56</v>
      </c>
      <c r="R767">
        <v>2821</v>
      </c>
      <c r="S767">
        <v>2997</v>
      </c>
      <c r="T767">
        <v>3</v>
      </c>
      <c r="U767" t="s">
        <v>51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  <c r="AG767" t="s">
        <v>45</v>
      </c>
      <c r="AH767" t="s">
        <v>64</v>
      </c>
      <c r="AI767">
        <v>0</v>
      </c>
      <c r="AJ767" t="s">
        <v>65</v>
      </c>
      <c r="AK767" t="s">
        <v>68</v>
      </c>
      <c r="AL767" t="s">
        <v>66</v>
      </c>
      <c r="AM767" t="s">
        <v>61</v>
      </c>
      <c r="AN767">
        <f t="shared" si="11"/>
        <v>2</v>
      </c>
    </row>
    <row r="768" spans="1:40">
      <c r="A768">
        <v>50</v>
      </c>
      <c r="B768" t="s">
        <v>51</v>
      </c>
      <c r="C768" t="s">
        <v>39</v>
      </c>
      <c r="D768">
        <v>1464</v>
      </c>
      <c r="E768" t="s">
        <v>53</v>
      </c>
      <c r="F768">
        <v>2</v>
      </c>
      <c r="G768">
        <v>4</v>
      </c>
      <c r="H768" t="s">
        <v>69</v>
      </c>
      <c r="I768">
        <v>1061</v>
      </c>
      <c r="J768">
        <v>2</v>
      </c>
      <c r="K768" t="s">
        <v>54</v>
      </c>
      <c r="L768">
        <v>62</v>
      </c>
      <c r="M768">
        <v>3</v>
      </c>
      <c r="N768">
        <v>5</v>
      </c>
      <c r="O768" t="s">
        <v>83</v>
      </c>
      <c r="P768">
        <v>3</v>
      </c>
      <c r="Q768" t="s">
        <v>56</v>
      </c>
      <c r="R768">
        <v>19237</v>
      </c>
      <c r="S768">
        <v>12853</v>
      </c>
      <c r="T768">
        <v>2</v>
      </c>
      <c r="U768" t="s">
        <v>38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  <c r="AG768" t="s">
        <v>57</v>
      </c>
      <c r="AH768" t="s">
        <v>46</v>
      </c>
      <c r="AI768">
        <v>0</v>
      </c>
      <c r="AJ768" t="s">
        <v>47</v>
      </c>
      <c r="AK768" t="s">
        <v>68</v>
      </c>
      <c r="AL768" t="s">
        <v>66</v>
      </c>
      <c r="AM768" t="s">
        <v>70</v>
      </c>
      <c r="AN768">
        <f t="shared" si="11"/>
        <v>9</v>
      </c>
    </row>
    <row r="769" spans="1:40">
      <c r="A769">
        <v>37</v>
      </c>
      <c r="B769" t="s">
        <v>51</v>
      </c>
      <c r="C769" t="s">
        <v>39</v>
      </c>
      <c r="D769">
        <v>124</v>
      </c>
      <c r="E769" t="s">
        <v>53</v>
      </c>
      <c r="F769">
        <v>3</v>
      </c>
      <c r="G769">
        <v>3</v>
      </c>
      <c r="H769" t="s">
        <v>62</v>
      </c>
      <c r="I769">
        <v>1062</v>
      </c>
      <c r="J769">
        <v>4</v>
      </c>
      <c r="K769" t="s">
        <v>42</v>
      </c>
      <c r="L769">
        <v>35</v>
      </c>
      <c r="M769">
        <v>3</v>
      </c>
      <c r="N769">
        <v>2</v>
      </c>
      <c r="O769" t="s">
        <v>76</v>
      </c>
      <c r="P769">
        <v>2</v>
      </c>
      <c r="Q769" t="s">
        <v>44</v>
      </c>
      <c r="R769">
        <v>4107</v>
      </c>
      <c r="S769">
        <v>13848</v>
      </c>
      <c r="T769">
        <v>3</v>
      </c>
      <c r="U769" t="s">
        <v>51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  <c r="AG769" t="s">
        <v>45</v>
      </c>
      <c r="AH769" t="s">
        <v>46</v>
      </c>
      <c r="AI769">
        <v>0</v>
      </c>
      <c r="AJ769" t="s">
        <v>47</v>
      </c>
      <c r="AK769" t="s">
        <v>72</v>
      </c>
      <c r="AL769" t="s">
        <v>60</v>
      </c>
      <c r="AM769" t="s">
        <v>70</v>
      </c>
      <c r="AN769">
        <f t="shared" si="11"/>
        <v>5</v>
      </c>
    </row>
    <row r="770" spans="1:40">
      <c r="A770">
        <v>40</v>
      </c>
      <c r="B770" t="s">
        <v>51</v>
      </c>
      <c r="C770" t="s">
        <v>39</v>
      </c>
      <c r="D770">
        <v>300</v>
      </c>
      <c r="E770" t="s">
        <v>40</v>
      </c>
      <c r="F770">
        <v>26</v>
      </c>
      <c r="G770">
        <v>3</v>
      </c>
      <c r="H770" t="s">
        <v>84</v>
      </c>
      <c r="I770">
        <v>1066</v>
      </c>
      <c r="J770">
        <v>3</v>
      </c>
      <c r="K770" t="s">
        <v>54</v>
      </c>
      <c r="L770">
        <v>74</v>
      </c>
      <c r="M770">
        <v>3</v>
      </c>
      <c r="N770">
        <v>2</v>
      </c>
      <c r="O770" t="s">
        <v>43</v>
      </c>
      <c r="P770">
        <v>1</v>
      </c>
      <c r="Q770" t="s">
        <v>56</v>
      </c>
      <c r="R770">
        <v>8396</v>
      </c>
      <c r="S770">
        <v>22217</v>
      </c>
      <c r="T770">
        <v>1</v>
      </c>
      <c r="U770" t="s">
        <v>51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  <c r="AG770" t="s">
        <v>45</v>
      </c>
      <c r="AH770" t="s">
        <v>46</v>
      </c>
      <c r="AI770">
        <v>0</v>
      </c>
      <c r="AJ770" t="s">
        <v>47</v>
      </c>
      <c r="AK770" t="s">
        <v>72</v>
      </c>
      <c r="AL770" t="s">
        <v>73</v>
      </c>
      <c r="AM770" t="s">
        <v>70</v>
      </c>
      <c r="AN770">
        <f t="shared" si="11"/>
        <v>15</v>
      </c>
    </row>
    <row r="771" spans="1:40">
      <c r="A771">
        <v>26</v>
      </c>
      <c r="B771" t="s">
        <v>51</v>
      </c>
      <c r="C771" t="s">
        <v>52</v>
      </c>
      <c r="D771">
        <v>921</v>
      </c>
      <c r="E771" t="s">
        <v>53</v>
      </c>
      <c r="F771">
        <v>1</v>
      </c>
      <c r="G771">
        <v>1</v>
      </c>
      <c r="H771" t="s">
        <v>69</v>
      </c>
      <c r="I771">
        <v>1068</v>
      </c>
      <c r="J771">
        <v>1</v>
      </c>
      <c r="K771" t="s">
        <v>42</v>
      </c>
      <c r="L771">
        <v>66</v>
      </c>
      <c r="M771">
        <v>2</v>
      </c>
      <c r="N771">
        <v>1</v>
      </c>
      <c r="O771" t="s">
        <v>55</v>
      </c>
      <c r="P771">
        <v>3</v>
      </c>
      <c r="Q771" t="s">
        <v>74</v>
      </c>
      <c r="R771">
        <v>2007</v>
      </c>
      <c r="S771">
        <v>25265</v>
      </c>
      <c r="T771">
        <v>1</v>
      </c>
      <c r="U771" t="s">
        <v>51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  <c r="AG771" t="s">
        <v>67</v>
      </c>
      <c r="AH771" t="s">
        <v>46</v>
      </c>
      <c r="AI771">
        <v>0</v>
      </c>
      <c r="AJ771" t="s">
        <v>65</v>
      </c>
      <c r="AK771" t="s">
        <v>59</v>
      </c>
      <c r="AL771" t="s">
        <v>66</v>
      </c>
      <c r="AM771" t="s">
        <v>61</v>
      </c>
      <c r="AN771">
        <f t="shared" ref="AN771:AN834" si="12">((3-P771)*3+((3-AB771)*2+AE771))</f>
        <v>1</v>
      </c>
    </row>
    <row r="772" spans="1:40">
      <c r="A772">
        <v>46</v>
      </c>
      <c r="B772" t="s">
        <v>51</v>
      </c>
      <c r="C772" t="s">
        <v>39</v>
      </c>
      <c r="D772">
        <v>430</v>
      </c>
      <c r="E772" t="s">
        <v>53</v>
      </c>
      <c r="F772">
        <v>1</v>
      </c>
      <c r="G772">
        <v>4</v>
      </c>
      <c r="H772" t="s">
        <v>69</v>
      </c>
      <c r="I772">
        <v>1069</v>
      </c>
      <c r="J772">
        <v>4</v>
      </c>
      <c r="K772" t="s">
        <v>54</v>
      </c>
      <c r="L772">
        <v>40</v>
      </c>
      <c r="M772">
        <v>3</v>
      </c>
      <c r="N772">
        <v>5</v>
      </c>
      <c r="O772" t="s">
        <v>83</v>
      </c>
      <c r="P772">
        <v>4</v>
      </c>
      <c r="Q772" t="s">
        <v>74</v>
      </c>
      <c r="R772">
        <v>19627</v>
      </c>
      <c r="S772">
        <v>21445</v>
      </c>
      <c r="T772">
        <v>9</v>
      </c>
      <c r="U772" t="s">
        <v>51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  <c r="AG772" t="s">
        <v>57</v>
      </c>
      <c r="AH772" t="s">
        <v>46</v>
      </c>
      <c r="AI772">
        <v>0</v>
      </c>
      <c r="AJ772" t="s">
        <v>65</v>
      </c>
      <c r="AK772" t="s">
        <v>68</v>
      </c>
      <c r="AL772" t="s">
        <v>49</v>
      </c>
      <c r="AM772" t="s">
        <v>61</v>
      </c>
      <c r="AN772">
        <f t="shared" si="12"/>
        <v>-1</v>
      </c>
    </row>
    <row r="773" spans="1:40">
      <c r="A773">
        <v>54</v>
      </c>
      <c r="B773" t="s">
        <v>51</v>
      </c>
      <c r="C773" t="s">
        <v>39</v>
      </c>
      <c r="D773">
        <v>1082</v>
      </c>
      <c r="E773" t="s">
        <v>40</v>
      </c>
      <c r="F773">
        <v>2</v>
      </c>
      <c r="G773">
        <v>4</v>
      </c>
      <c r="H773" t="s">
        <v>41</v>
      </c>
      <c r="I773">
        <v>1070</v>
      </c>
      <c r="J773">
        <v>3</v>
      </c>
      <c r="K773" t="s">
        <v>42</v>
      </c>
      <c r="L773">
        <v>41</v>
      </c>
      <c r="M773">
        <v>2</v>
      </c>
      <c r="N773">
        <v>3</v>
      </c>
      <c r="O773" t="s">
        <v>43</v>
      </c>
      <c r="P773">
        <v>3</v>
      </c>
      <c r="Q773" t="s">
        <v>56</v>
      </c>
      <c r="R773">
        <v>10686</v>
      </c>
      <c r="S773">
        <v>8392</v>
      </c>
      <c r="T773">
        <v>6</v>
      </c>
      <c r="U773" t="s">
        <v>51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  <c r="AG773" t="s">
        <v>57</v>
      </c>
      <c r="AH773" t="s">
        <v>71</v>
      </c>
      <c r="AI773">
        <v>0</v>
      </c>
      <c r="AJ773" t="s">
        <v>58</v>
      </c>
      <c r="AK773" t="s">
        <v>68</v>
      </c>
      <c r="AL773" t="s">
        <v>66</v>
      </c>
      <c r="AM773" t="s">
        <v>61</v>
      </c>
      <c r="AN773">
        <f t="shared" si="12"/>
        <v>7</v>
      </c>
    </row>
    <row r="774" spans="1:40">
      <c r="A774">
        <v>56</v>
      </c>
      <c r="B774" t="s">
        <v>51</v>
      </c>
      <c r="C774" t="s">
        <v>52</v>
      </c>
      <c r="D774">
        <v>1240</v>
      </c>
      <c r="E774" t="s">
        <v>53</v>
      </c>
      <c r="F774">
        <v>9</v>
      </c>
      <c r="G774">
        <v>3</v>
      </c>
      <c r="H774" t="s">
        <v>69</v>
      </c>
      <c r="I774">
        <v>1071</v>
      </c>
      <c r="J774">
        <v>1</v>
      </c>
      <c r="K774" t="s">
        <v>42</v>
      </c>
      <c r="L774">
        <v>63</v>
      </c>
      <c r="M774">
        <v>3</v>
      </c>
      <c r="N774">
        <v>1</v>
      </c>
      <c r="O774" t="s">
        <v>55</v>
      </c>
      <c r="P774">
        <v>3</v>
      </c>
      <c r="Q774" t="s">
        <v>56</v>
      </c>
      <c r="R774">
        <v>2942</v>
      </c>
      <c r="S774">
        <v>12154</v>
      </c>
      <c r="T774">
        <v>2</v>
      </c>
      <c r="U774" t="s">
        <v>51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  <c r="AG774" t="s">
        <v>57</v>
      </c>
      <c r="AH774" t="s">
        <v>46</v>
      </c>
      <c r="AI774">
        <v>0</v>
      </c>
      <c r="AJ774" t="s">
        <v>65</v>
      </c>
      <c r="AK774" t="s">
        <v>72</v>
      </c>
      <c r="AL774" t="s">
        <v>66</v>
      </c>
      <c r="AM774" t="s">
        <v>61</v>
      </c>
      <c r="AN774">
        <f t="shared" si="12"/>
        <v>0</v>
      </c>
    </row>
    <row r="775" spans="1:40">
      <c r="A775">
        <v>36</v>
      </c>
      <c r="B775" t="s">
        <v>51</v>
      </c>
      <c r="C775" t="s">
        <v>39</v>
      </c>
      <c r="D775">
        <v>796</v>
      </c>
      <c r="E775" t="s">
        <v>53</v>
      </c>
      <c r="F775">
        <v>12</v>
      </c>
      <c r="G775">
        <v>5</v>
      </c>
      <c r="H775" t="s">
        <v>69</v>
      </c>
      <c r="I775">
        <v>1073</v>
      </c>
      <c r="J775">
        <v>4</v>
      </c>
      <c r="K775" t="s">
        <v>42</v>
      </c>
      <c r="L775">
        <v>51</v>
      </c>
      <c r="M775">
        <v>2</v>
      </c>
      <c r="N775">
        <v>3</v>
      </c>
      <c r="O775" t="s">
        <v>75</v>
      </c>
      <c r="P775">
        <v>4</v>
      </c>
      <c r="Q775" t="s">
        <v>44</v>
      </c>
      <c r="R775">
        <v>8858</v>
      </c>
      <c r="S775">
        <v>15669</v>
      </c>
      <c r="T775">
        <v>0</v>
      </c>
      <c r="U775" t="s">
        <v>51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  <c r="AG775" t="s">
        <v>45</v>
      </c>
      <c r="AH775" t="s">
        <v>46</v>
      </c>
      <c r="AI775">
        <v>0</v>
      </c>
      <c r="AJ775" t="s">
        <v>47</v>
      </c>
      <c r="AK775" t="s">
        <v>87</v>
      </c>
      <c r="AL775" t="s">
        <v>49</v>
      </c>
      <c r="AM775" t="s">
        <v>70</v>
      </c>
      <c r="AN775">
        <f t="shared" si="12"/>
        <v>6</v>
      </c>
    </row>
    <row r="776" spans="1:40">
      <c r="A776">
        <v>55</v>
      </c>
      <c r="B776" t="s">
        <v>51</v>
      </c>
      <c r="C776" t="s">
        <v>77</v>
      </c>
      <c r="D776">
        <v>444</v>
      </c>
      <c r="E776" t="s">
        <v>53</v>
      </c>
      <c r="F776">
        <v>2</v>
      </c>
      <c r="G776">
        <v>1</v>
      </c>
      <c r="H776" t="s">
        <v>69</v>
      </c>
      <c r="I776">
        <v>1074</v>
      </c>
      <c r="J776">
        <v>3</v>
      </c>
      <c r="K776" t="s">
        <v>54</v>
      </c>
      <c r="L776">
        <v>40</v>
      </c>
      <c r="M776">
        <v>2</v>
      </c>
      <c r="N776">
        <v>4</v>
      </c>
      <c r="O776" t="s">
        <v>79</v>
      </c>
      <c r="P776">
        <v>1</v>
      </c>
      <c r="Q776" t="s">
        <v>44</v>
      </c>
      <c r="R776">
        <v>16756</v>
      </c>
      <c r="S776">
        <v>17323</v>
      </c>
      <c r="T776">
        <v>7</v>
      </c>
      <c r="U776" t="s">
        <v>51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  <c r="AG776" t="s">
        <v>57</v>
      </c>
      <c r="AH776" t="s">
        <v>46</v>
      </c>
      <c r="AI776">
        <v>0</v>
      </c>
      <c r="AJ776" t="s">
        <v>58</v>
      </c>
      <c r="AK776" t="s">
        <v>59</v>
      </c>
      <c r="AL776" t="s">
        <v>73</v>
      </c>
      <c r="AM776" t="s">
        <v>85</v>
      </c>
      <c r="AN776">
        <f t="shared" si="12"/>
        <v>10</v>
      </c>
    </row>
    <row r="777" spans="1:40">
      <c r="A777">
        <v>43</v>
      </c>
      <c r="B777" t="s">
        <v>51</v>
      </c>
      <c r="C777" t="s">
        <v>39</v>
      </c>
      <c r="D777">
        <v>415</v>
      </c>
      <c r="E777" t="s">
        <v>40</v>
      </c>
      <c r="F777">
        <v>25</v>
      </c>
      <c r="G777">
        <v>3</v>
      </c>
      <c r="H777" t="s">
        <v>69</v>
      </c>
      <c r="I777">
        <v>1076</v>
      </c>
      <c r="J777">
        <v>3</v>
      </c>
      <c r="K777" t="s">
        <v>54</v>
      </c>
      <c r="L777">
        <v>79</v>
      </c>
      <c r="M777">
        <v>2</v>
      </c>
      <c r="N777">
        <v>3</v>
      </c>
      <c r="O777" t="s">
        <v>43</v>
      </c>
      <c r="P777">
        <v>4</v>
      </c>
      <c r="Q777" t="s">
        <v>74</v>
      </c>
      <c r="R777">
        <v>10798</v>
      </c>
      <c r="S777">
        <v>5268</v>
      </c>
      <c r="T777">
        <v>5</v>
      </c>
      <c r="U777" t="s">
        <v>51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  <c r="AG777" t="s">
        <v>45</v>
      </c>
      <c r="AH777" t="s">
        <v>81</v>
      </c>
      <c r="AI777">
        <v>0</v>
      </c>
      <c r="AJ777" t="s">
        <v>65</v>
      </c>
      <c r="AK777" t="s">
        <v>72</v>
      </c>
      <c r="AL777" t="s">
        <v>49</v>
      </c>
      <c r="AM777" t="s">
        <v>61</v>
      </c>
      <c r="AN777">
        <f t="shared" si="12"/>
        <v>-3</v>
      </c>
    </row>
    <row r="778" spans="1:40">
      <c r="A778">
        <v>20</v>
      </c>
      <c r="B778" t="s">
        <v>38</v>
      </c>
      <c r="C778" t="s">
        <v>52</v>
      </c>
      <c r="D778">
        <v>769</v>
      </c>
      <c r="E778" t="s">
        <v>40</v>
      </c>
      <c r="F778">
        <v>9</v>
      </c>
      <c r="G778">
        <v>3</v>
      </c>
      <c r="H778" t="s">
        <v>84</v>
      </c>
      <c r="I778">
        <v>1077</v>
      </c>
      <c r="J778">
        <v>4</v>
      </c>
      <c r="K778" t="s">
        <v>42</v>
      </c>
      <c r="L778">
        <v>54</v>
      </c>
      <c r="M778">
        <v>3</v>
      </c>
      <c r="N778">
        <v>1</v>
      </c>
      <c r="O778" t="s">
        <v>82</v>
      </c>
      <c r="P778">
        <v>4</v>
      </c>
      <c r="Q778" t="s">
        <v>44</v>
      </c>
      <c r="R778">
        <v>2323</v>
      </c>
      <c r="S778">
        <v>17205</v>
      </c>
      <c r="T778">
        <v>1</v>
      </c>
      <c r="U778" t="s">
        <v>38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  <c r="AG778" t="s">
        <v>78</v>
      </c>
      <c r="AH778" t="s">
        <v>46</v>
      </c>
      <c r="AI778">
        <v>1</v>
      </c>
      <c r="AJ778" t="s">
        <v>65</v>
      </c>
      <c r="AK778" t="s">
        <v>72</v>
      </c>
      <c r="AL778" t="s">
        <v>49</v>
      </c>
      <c r="AM778" t="s">
        <v>61</v>
      </c>
      <c r="AN778">
        <f t="shared" si="12"/>
        <v>-3</v>
      </c>
    </row>
    <row r="779" spans="1:40">
      <c r="A779">
        <v>21</v>
      </c>
      <c r="B779" t="s">
        <v>38</v>
      </c>
      <c r="C779" t="s">
        <v>39</v>
      </c>
      <c r="D779">
        <v>1334</v>
      </c>
      <c r="E779" t="s">
        <v>53</v>
      </c>
      <c r="F779">
        <v>10</v>
      </c>
      <c r="G779">
        <v>3</v>
      </c>
      <c r="H779" t="s">
        <v>41</v>
      </c>
      <c r="I779">
        <v>1079</v>
      </c>
      <c r="J779">
        <v>3</v>
      </c>
      <c r="K779" t="s">
        <v>42</v>
      </c>
      <c r="L779">
        <v>36</v>
      </c>
      <c r="M779">
        <v>2</v>
      </c>
      <c r="N779">
        <v>1</v>
      </c>
      <c r="O779" t="s">
        <v>63</v>
      </c>
      <c r="P779">
        <v>1</v>
      </c>
      <c r="Q779" t="s">
        <v>44</v>
      </c>
      <c r="R779">
        <v>1416</v>
      </c>
      <c r="S779">
        <v>17258</v>
      </c>
      <c r="T779">
        <v>1</v>
      </c>
      <c r="U779" t="s">
        <v>51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  <c r="AG779" t="s">
        <v>78</v>
      </c>
      <c r="AH779" t="s">
        <v>46</v>
      </c>
      <c r="AI779">
        <v>1</v>
      </c>
      <c r="AJ779" t="s">
        <v>47</v>
      </c>
      <c r="AK779" t="s">
        <v>72</v>
      </c>
      <c r="AL779" t="s">
        <v>73</v>
      </c>
      <c r="AM779" t="s">
        <v>70</v>
      </c>
      <c r="AN779">
        <f t="shared" si="12"/>
        <v>9</v>
      </c>
    </row>
    <row r="780" spans="1:40">
      <c r="A780">
        <v>46</v>
      </c>
      <c r="B780" t="s">
        <v>51</v>
      </c>
      <c r="C780" t="s">
        <v>39</v>
      </c>
      <c r="D780">
        <v>1003</v>
      </c>
      <c r="E780" t="s">
        <v>53</v>
      </c>
      <c r="F780">
        <v>8</v>
      </c>
      <c r="G780">
        <v>4</v>
      </c>
      <c r="H780" t="s">
        <v>41</v>
      </c>
      <c r="I780">
        <v>1080</v>
      </c>
      <c r="J780">
        <v>4</v>
      </c>
      <c r="K780" t="s">
        <v>42</v>
      </c>
      <c r="L780">
        <v>74</v>
      </c>
      <c r="M780">
        <v>2</v>
      </c>
      <c r="N780">
        <v>2</v>
      </c>
      <c r="O780" t="s">
        <v>55</v>
      </c>
      <c r="P780">
        <v>1</v>
      </c>
      <c r="Q780" t="s">
        <v>74</v>
      </c>
      <c r="R780">
        <v>4615</v>
      </c>
      <c r="S780">
        <v>21029</v>
      </c>
      <c r="T780">
        <v>8</v>
      </c>
      <c r="U780" t="s">
        <v>38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  <c r="AG780" t="s">
        <v>57</v>
      </c>
      <c r="AH780" t="s">
        <v>46</v>
      </c>
      <c r="AI780">
        <v>0</v>
      </c>
      <c r="AJ780" t="s">
        <v>80</v>
      </c>
      <c r="AK780" t="s">
        <v>68</v>
      </c>
      <c r="AL780" t="s">
        <v>73</v>
      </c>
      <c r="AM780" t="s">
        <v>61</v>
      </c>
      <c r="AN780">
        <f t="shared" si="12"/>
        <v>7</v>
      </c>
    </row>
    <row r="781" spans="1:40">
      <c r="A781">
        <v>51</v>
      </c>
      <c r="B781" t="s">
        <v>38</v>
      </c>
      <c r="C781" t="s">
        <v>39</v>
      </c>
      <c r="D781">
        <v>1323</v>
      </c>
      <c r="E781" t="s">
        <v>53</v>
      </c>
      <c r="F781">
        <v>4</v>
      </c>
      <c r="G781">
        <v>4</v>
      </c>
      <c r="H781" t="s">
        <v>41</v>
      </c>
      <c r="I781">
        <v>1081</v>
      </c>
      <c r="J781">
        <v>1</v>
      </c>
      <c r="K781" t="s">
        <v>54</v>
      </c>
      <c r="L781">
        <v>34</v>
      </c>
      <c r="M781">
        <v>3</v>
      </c>
      <c r="N781">
        <v>1</v>
      </c>
      <c r="O781" t="s">
        <v>55</v>
      </c>
      <c r="P781">
        <v>3</v>
      </c>
      <c r="Q781" t="s">
        <v>56</v>
      </c>
      <c r="R781">
        <v>2461</v>
      </c>
      <c r="S781">
        <v>10332</v>
      </c>
      <c r="T781">
        <v>9</v>
      </c>
      <c r="U781" t="s">
        <v>38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  <c r="AG781" t="s">
        <v>57</v>
      </c>
      <c r="AH781" t="s">
        <v>46</v>
      </c>
      <c r="AI781">
        <v>1</v>
      </c>
      <c r="AJ781" t="s">
        <v>58</v>
      </c>
      <c r="AK781" t="s">
        <v>68</v>
      </c>
      <c r="AL781" t="s">
        <v>66</v>
      </c>
      <c r="AM781" t="s">
        <v>85</v>
      </c>
      <c r="AN781">
        <f t="shared" si="12"/>
        <v>0</v>
      </c>
    </row>
    <row r="782" spans="1:40">
      <c r="A782">
        <v>28</v>
      </c>
      <c r="B782" t="s">
        <v>38</v>
      </c>
      <c r="C782" t="s">
        <v>77</v>
      </c>
      <c r="D782">
        <v>1366</v>
      </c>
      <c r="E782" t="s">
        <v>53</v>
      </c>
      <c r="F782">
        <v>24</v>
      </c>
      <c r="G782">
        <v>2</v>
      </c>
      <c r="H782" t="s">
        <v>86</v>
      </c>
      <c r="I782">
        <v>1082</v>
      </c>
      <c r="J782">
        <v>2</v>
      </c>
      <c r="K782" t="s">
        <v>54</v>
      </c>
      <c r="L782">
        <v>72</v>
      </c>
      <c r="M782">
        <v>2</v>
      </c>
      <c r="N782">
        <v>3</v>
      </c>
      <c r="O782" t="s">
        <v>76</v>
      </c>
      <c r="P782">
        <v>1</v>
      </c>
      <c r="Q782" t="s">
        <v>44</v>
      </c>
      <c r="R782">
        <v>8722</v>
      </c>
      <c r="S782">
        <v>12355</v>
      </c>
      <c r="T782">
        <v>1</v>
      </c>
      <c r="U782" t="s">
        <v>51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  <c r="AG782" t="s">
        <v>67</v>
      </c>
      <c r="AH782" t="s">
        <v>46</v>
      </c>
      <c r="AI782">
        <v>1</v>
      </c>
      <c r="AJ782" t="s">
        <v>47</v>
      </c>
      <c r="AK782" t="s">
        <v>48</v>
      </c>
      <c r="AL782" t="s">
        <v>73</v>
      </c>
      <c r="AM782" t="s">
        <v>70</v>
      </c>
      <c r="AN782">
        <f t="shared" si="12"/>
        <v>9</v>
      </c>
    </row>
    <row r="783" spans="1:40">
      <c r="A783">
        <v>26</v>
      </c>
      <c r="B783" t="s">
        <v>51</v>
      </c>
      <c r="C783" t="s">
        <v>39</v>
      </c>
      <c r="D783">
        <v>192</v>
      </c>
      <c r="E783" t="s">
        <v>53</v>
      </c>
      <c r="F783">
        <v>1</v>
      </c>
      <c r="G783">
        <v>2</v>
      </c>
      <c r="H783" t="s">
        <v>69</v>
      </c>
      <c r="I783">
        <v>1083</v>
      </c>
      <c r="J783">
        <v>1</v>
      </c>
      <c r="K783" t="s">
        <v>54</v>
      </c>
      <c r="L783">
        <v>59</v>
      </c>
      <c r="M783">
        <v>2</v>
      </c>
      <c r="N783">
        <v>1</v>
      </c>
      <c r="O783" t="s">
        <v>63</v>
      </c>
      <c r="P783">
        <v>1</v>
      </c>
      <c r="Q783" t="s">
        <v>56</v>
      </c>
      <c r="R783">
        <v>3955</v>
      </c>
      <c r="S783">
        <v>11141</v>
      </c>
      <c r="T783">
        <v>1</v>
      </c>
      <c r="U783" t="s">
        <v>51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  <c r="AG783" t="s">
        <v>67</v>
      </c>
      <c r="AH783" t="s">
        <v>46</v>
      </c>
      <c r="AI783">
        <v>0</v>
      </c>
      <c r="AJ783" t="s">
        <v>65</v>
      </c>
      <c r="AK783" t="s">
        <v>48</v>
      </c>
      <c r="AL783" t="s">
        <v>73</v>
      </c>
      <c r="AM783" t="s">
        <v>61</v>
      </c>
      <c r="AN783">
        <f t="shared" si="12"/>
        <v>7</v>
      </c>
    </row>
    <row r="784" spans="1:40">
      <c r="A784">
        <v>30</v>
      </c>
      <c r="B784" t="s">
        <v>51</v>
      </c>
      <c r="C784" t="s">
        <v>39</v>
      </c>
      <c r="D784">
        <v>1176</v>
      </c>
      <c r="E784" t="s">
        <v>53</v>
      </c>
      <c r="F784">
        <v>20</v>
      </c>
      <c r="G784">
        <v>3</v>
      </c>
      <c r="H784" t="s">
        <v>62</v>
      </c>
      <c r="I784">
        <v>1084</v>
      </c>
      <c r="J784">
        <v>3</v>
      </c>
      <c r="K784" t="s">
        <v>54</v>
      </c>
      <c r="L784">
        <v>85</v>
      </c>
      <c r="M784">
        <v>3</v>
      </c>
      <c r="N784">
        <v>2</v>
      </c>
      <c r="O784" t="s">
        <v>75</v>
      </c>
      <c r="P784">
        <v>1</v>
      </c>
      <c r="Q784" t="s">
        <v>56</v>
      </c>
      <c r="R784">
        <v>9957</v>
      </c>
      <c r="S784">
        <v>9096</v>
      </c>
      <c r="T784">
        <v>0</v>
      </c>
      <c r="U784" t="s">
        <v>51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  <c r="AG784" t="s">
        <v>67</v>
      </c>
      <c r="AH784" t="s">
        <v>71</v>
      </c>
      <c r="AI784">
        <v>0</v>
      </c>
      <c r="AJ784" t="s">
        <v>47</v>
      </c>
      <c r="AK784" t="s">
        <v>72</v>
      </c>
      <c r="AL784" t="s">
        <v>73</v>
      </c>
      <c r="AM784" t="s">
        <v>70</v>
      </c>
      <c r="AN784">
        <f t="shared" si="12"/>
        <v>8</v>
      </c>
    </row>
    <row r="785" spans="1:40">
      <c r="A785">
        <v>41</v>
      </c>
      <c r="B785" t="s">
        <v>51</v>
      </c>
      <c r="C785" t="s">
        <v>39</v>
      </c>
      <c r="D785">
        <v>509</v>
      </c>
      <c r="E785" t="s">
        <v>53</v>
      </c>
      <c r="F785">
        <v>7</v>
      </c>
      <c r="G785">
        <v>2</v>
      </c>
      <c r="H785" t="s">
        <v>86</v>
      </c>
      <c r="I785">
        <v>1085</v>
      </c>
      <c r="J785">
        <v>2</v>
      </c>
      <c r="K785" t="s">
        <v>42</v>
      </c>
      <c r="L785">
        <v>43</v>
      </c>
      <c r="M785">
        <v>4</v>
      </c>
      <c r="N785">
        <v>1</v>
      </c>
      <c r="O785" t="s">
        <v>55</v>
      </c>
      <c r="P785">
        <v>3</v>
      </c>
      <c r="Q785" t="s">
        <v>56</v>
      </c>
      <c r="R785">
        <v>3376</v>
      </c>
      <c r="S785">
        <v>18863</v>
      </c>
      <c r="T785">
        <v>1</v>
      </c>
      <c r="U785" t="s">
        <v>51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  <c r="AG785" t="s">
        <v>45</v>
      </c>
      <c r="AH785" t="s">
        <v>46</v>
      </c>
      <c r="AI785">
        <v>0</v>
      </c>
      <c r="AJ785" t="s">
        <v>58</v>
      </c>
      <c r="AK785" t="s">
        <v>48</v>
      </c>
      <c r="AL785" t="s">
        <v>66</v>
      </c>
      <c r="AM785" t="s">
        <v>61</v>
      </c>
      <c r="AN785">
        <f t="shared" si="12"/>
        <v>0</v>
      </c>
    </row>
    <row r="786" spans="1:40">
      <c r="A786">
        <v>38</v>
      </c>
      <c r="B786" t="s">
        <v>51</v>
      </c>
      <c r="C786" t="s">
        <v>39</v>
      </c>
      <c r="D786">
        <v>330</v>
      </c>
      <c r="E786" t="s">
        <v>53</v>
      </c>
      <c r="F786">
        <v>17</v>
      </c>
      <c r="G786">
        <v>1</v>
      </c>
      <c r="H786" t="s">
        <v>41</v>
      </c>
      <c r="I786">
        <v>1088</v>
      </c>
      <c r="J786">
        <v>3</v>
      </c>
      <c r="K786" t="s">
        <v>42</v>
      </c>
      <c r="L786">
        <v>65</v>
      </c>
      <c r="M786">
        <v>2</v>
      </c>
      <c r="N786">
        <v>3</v>
      </c>
      <c r="O786" t="s">
        <v>76</v>
      </c>
      <c r="P786">
        <v>3</v>
      </c>
      <c r="Q786" t="s">
        <v>56</v>
      </c>
      <c r="R786">
        <v>8823</v>
      </c>
      <c r="S786">
        <v>24608</v>
      </c>
      <c r="T786">
        <v>0</v>
      </c>
      <c r="U786" t="s">
        <v>51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  <c r="AG786" t="s">
        <v>45</v>
      </c>
      <c r="AH786" t="s">
        <v>46</v>
      </c>
      <c r="AI786">
        <v>0</v>
      </c>
      <c r="AJ786" t="s">
        <v>47</v>
      </c>
      <c r="AK786" t="s">
        <v>59</v>
      </c>
      <c r="AL786" t="s">
        <v>66</v>
      </c>
      <c r="AM786" t="s">
        <v>70</v>
      </c>
      <c r="AN786">
        <f t="shared" si="12"/>
        <v>3</v>
      </c>
    </row>
    <row r="787" spans="1:40">
      <c r="A787">
        <v>40</v>
      </c>
      <c r="B787" t="s">
        <v>51</v>
      </c>
      <c r="C787" t="s">
        <v>39</v>
      </c>
      <c r="D787">
        <v>1492</v>
      </c>
      <c r="E787" t="s">
        <v>53</v>
      </c>
      <c r="F787">
        <v>20</v>
      </c>
      <c r="G787">
        <v>4</v>
      </c>
      <c r="H787" t="s">
        <v>86</v>
      </c>
      <c r="I787">
        <v>1092</v>
      </c>
      <c r="J787">
        <v>1</v>
      </c>
      <c r="K787" t="s">
        <v>54</v>
      </c>
      <c r="L787">
        <v>61</v>
      </c>
      <c r="M787">
        <v>3</v>
      </c>
      <c r="N787">
        <v>3</v>
      </c>
      <c r="O787" t="s">
        <v>76</v>
      </c>
      <c r="P787">
        <v>4</v>
      </c>
      <c r="Q787" t="s">
        <v>56</v>
      </c>
      <c r="R787">
        <v>10322</v>
      </c>
      <c r="S787">
        <v>26542</v>
      </c>
      <c r="T787">
        <v>4</v>
      </c>
      <c r="U787" t="s">
        <v>51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  <c r="AG787" t="s">
        <v>45</v>
      </c>
      <c r="AH787" t="s">
        <v>46</v>
      </c>
      <c r="AI787">
        <v>0</v>
      </c>
      <c r="AJ787" t="s">
        <v>80</v>
      </c>
      <c r="AK787" t="s">
        <v>68</v>
      </c>
      <c r="AL787" t="s">
        <v>49</v>
      </c>
      <c r="AM787" t="s">
        <v>61</v>
      </c>
      <c r="AN787">
        <f t="shared" si="12"/>
        <v>8</v>
      </c>
    </row>
    <row r="788" spans="1:40">
      <c r="A788">
        <v>27</v>
      </c>
      <c r="B788" t="s">
        <v>51</v>
      </c>
      <c r="C788" t="s">
        <v>77</v>
      </c>
      <c r="D788">
        <v>1277</v>
      </c>
      <c r="E788" t="s">
        <v>53</v>
      </c>
      <c r="F788">
        <v>8</v>
      </c>
      <c r="G788">
        <v>5</v>
      </c>
      <c r="H788" t="s">
        <v>41</v>
      </c>
      <c r="I788">
        <v>1094</v>
      </c>
      <c r="J788">
        <v>1</v>
      </c>
      <c r="K788" t="s">
        <v>54</v>
      </c>
      <c r="L788">
        <v>87</v>
      </c>
      <c r="M788">
        <v>1</v>
      </c>
      <c r="N788">
        <v>1</v>
      </c>
      <c r="O788" t="s">
        <v>63</v>
      </c>
      <c r="P788">
        <v>3</v>
      </c>
      <c r="Q788" t="s">
        <v>56</v>
      </c>
      <c r="R788">
        <v>4621</v>
      </c>
      <c r="S788">
        <v>5869</v>
      </c>
      <c r="T788">
        <v>1</v>
      </c>
      <c r="U788" t="s">
        <v>51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  <c r="AG788" t="s">
        <v>67</v>
      </c>
      <c r="AH788" t="s">
        <v>81</v>
      </c>
      <c r="AI788">
        <v>0</v>
      </c>
      <c r="AJ788" t="s">
        <v>65</v>
      </c>
      <c r="AK788" t="s">
        <v>87</v>
      </c>
      <c r="AL788" t="s">
        <v>66</v>
      </c>
      <c r="AM788" t="s">
        <v>61</v>
      </c>
      <c r="AN788">
        <f t="shared" si="12"/>
        <v>1</v>
      </c>
    </row>
    <row r="789" spans="1:40">
      <c r="A789">
        <v>55</v>
      </c>
      <c r="B789" t="s">
        <v>51</v>
      </c>
      <c r="C789" t="s">
        <v>52</v>
      </c>
      <c r="D789">
        <v>1091</v>
      </c>
      <c r="E789" t="s">
        <v>53</v>
      </c>
      <c r="F789">
        <v>2</v>
      </c>
      <c r="G789">
        <v>1</v>
      </c>
      <c r="H789" t="s">
        <v>41</v>
      </c>
      <c r="I789">
        <v>1096</v>
      </c>
      <c r="J789">
        <v>4</v>
      </c>
      <c r="K789" t="s">
        <v>54</v>
      </c>
      <c r="L789">
        <v>65</v>
      </c>
      <c r="M789">
        <v>3</v>
      </c>
      <c r="N789">
        <v>3</v>
      </c>
      <c r="O789" t="s">
        <v>75</v>
      </c>
      <c r="P789">
        <v>2</v>
      </c>
      <c r="Q789" t="s">
        <v>56</v>
      </c>
      <c r="R789">
        <v>10976</v>
      </c>
      <c r="S789">
        <v>15813</v>
      </c>
      <c r="T789">
        <v>3</v>
      </c>
      <c r="U789" t="s">
        <v>51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  <c r="AG789" t="s">
        <v>57</v>
      </c>
      <c r="AH789" t="s">
        <v>46</v>
      </c>
      <c r="AI789">
        <v>0</v>
      </c>
      <c r="AJ789" t="s">
        <v>65</v>
      </c>
      <c r="AK789" t="s">
        <v>59</v>
      </c>
      <c r="AL789" t="s">
        <v>60</v>
      </c>
      <c r="AM789" t="s">
        <v>61</v>
      </c>
      <c r="AN789">
        <f t="shared" si="12"/>
        <v>4</v>
      </c>
    </row>
    <row r="790" spans="1:40">
      <c r="A790">
        <v>28</v>
      </c>
      <c r="B790" t="s">
        <v>51</v>
      </c>
      <c r="C790" t="s">
        <v>39</v>
      </c>
      <c r="D790">
        <v>857</v>
      </c>
      <c r="E790" t="s">
        <v>53</v>
      </c>
      <c r="F790">
        <v>10</v>
      </c>
      <c r="G790">
        <v>3</v>
      </c>
      <c r="H790" t="s">
        <v>62</v>
      </c>
      <c r="I790">
        <v>1097</v>
      </c>
      <c r="J790">
        <v>3</v>
      </c>
      <c r="K790" t="s">
        <v>42</v>
      </c>
      <c r="L790">
        <v>59</v>
      </c>
      <c r="M790">
        <v>3</v>
      </c>
      <c r="N790">
        <v>2</v>
      </c>
      <c r="O790" t="s">
        <v>55</v>
      </c>
      <c r="P790">
        <v>3</v>
      </c>
      <c r="Q790" t="s">
        <v>44</v>
      </c>
      <c r="R790">
        <v>3660</v>
      </c>
      <c r="S790">
        <v>7909</v>
      </c>
      <c r="T790">
        <v>3</v>
      </c>
      <c r="U790" t="s">
        <v>51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  <c r="AG790" t="s">
        <v>67</v>
      </c>
      <c r="AH790" t="s">
        <v>71</v>
      </c>
      <c r="AI790">
        <v>0</v>
      </c>
      <c r="AJ790" t="s">
        <v>58</v>
      </c>
      <c r="AK790" t="s">
        <v>72</v>
      </c>
      <c r="AL790" t="s">
        <v>66</v>
      </c>
      <c r="AM790" t="s">
        <v>85</v>
      </c>
      <c r="AN790">
        <f t="shared" si="12"/>
        <v>-1</v>
      </c>
    </row>
    <row r="791" spans="1:40">
      <c r="A791">
        <v>44</v>
      </c>
      <c r="B791" t="s">
        <v>38</v>
      </c>
      <c r="C791" t="s">
        <v>39</v>
      </c>
      <c r="D791">
        <v>1376</v>
      </c>
      <c r="E791" t="s">
        <v>88</v>
      </c>
      <c r="F791">
        <v>1</v>
      </c>
      <c r="G791">
        <v>2</v>
      </c>
      <c r="H791" t="s">
        <v>69</v>
      </c>
      <c r="I791">
        <v>1098</v>
      </c>
      <c r="J791">
        <v>2</v>
      </c>
      <c r="K791" t="s">
        <v>54</v>
      </c>
      <c r="L791">
        <v>91</v>
      </c>
      <c r="M791">
        <v>2</v>
      </c>
      <c r="N791">
        <v>3</v>
      </c>
      <c r="O791" t="s">
        <v>88</v>
      </c>
      <c r="P791">
        <v>1</v>
      </c>
      <c r="Q791" t="s">
        <v>56</v>
      </c>
      <c r="R791">
        <v>10482</v>
      </c>
      <c r="S791">
        <v>2326</v>
      </c>
      <c r="T791">
        <v>9</v>
      </c>
      <c r="U791" t="s">
        <v>51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  <c r="AG791" t="s">
        <v>45</v>
      </c>
      <c r="AH791" t="s">
        <v>64</v>
      </c>
      <c r="AI791">
        <v>1</v>
      </c>
      <c r="AJ791" t="s">
        <v>80</v>
      </c>
      <c r="AK791" t="s">
        <v>48</v>
      </c>
      <c r="AL791" t="s">
        <v>73</v>
      </c>
      <c r="AM791" t="s">
        <v>61</v>
      </c>
      <c r="AN791">
        <f t="shared" si="12"/>
        <v>9</v>
      </c>
    </row>
    <row r="792" spans="1:40">
      <c r="A792">
        <v>33</v>
      </c>
      <c r="B792" t="s">
        <v>51</v>
      </c>
      <c r="C792" t="s">
        <v>39</v>
      </c>
      <c r="D792">
        <v>654</v>
      </c>
      <c r="E792" t="s">
        <v>53</v>
      </c>
      <c r="F792">
        <v>5</v>
      </c>
      <c r="G792">
        <v>3</v>
      </c>
      <c r="H792" t="s">
        <v>41</v>
      </c>
      <c r="I792">
        <v>1099</v>
      </c>
      <c r="J792">
        <v>4</v>
      </c>
      <c r="K792" t="s">
        <v>54</v>
      </c>
      <c r="L792">
        <v>34</v>
      </c>
      <c r="M792">
        <v>2</v>
      </c>
      <c r="N792">
        <v>3</v>
      </c>
      <c r="O792" t="s">
        <v>76</v>
      </c>
      <c r="P792">
        <v>4</v>
      </c>
      <c r="Q792" t="s">
        <v>74</v>
      </c>
      <c r="R792">
        <v>7119</v>
      </c>
      <c r="S792">
        <v>21214</v>
      </c>
      <c r="T792">
        <v>4</v>
      </c>
      <c r="U792" t="s">
        <v>51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  <c r="AG792" t="s">
        <v>67</v>
      </c>
      <c r="AH792" t="s">
        <v>46</v>
      </c>
      <c r="AI792">
        <v>0</v>
      </c>
      <c r="AJ792" t="s">
        <v>65</v>
      </c>
      <c r="AK792" t="s">
        <v>72</v>
      </c>
      <c r="AL792" t="s">
        <v>49</v>
      </c>
      <c r="AM792" t="s">
        <v>61</v>
      </c>
      <c r="AN792">
        <f t="shared" si="12"/>
        <v>-2</v>
      </c>
    </row>
    <row r="793" spans="1:40">
      <c r="A793">
        <v>35</v>
      </c>
      <c r="B793" t="s">
        <v>38</v>
      </c>
      <c r="C793" t="s">
        <v>39</v>
      </c>
      <c r="D793">
        <v>1204</v>
      </c>
      <c r="E793" t="s">
        <v>40</v>
      </c>
      <c r="F793">
        <v>4</v>
      </c>
      <c r="G793">
        <v>3</v>
      </c>
      <c r="H793" t="s">
        <v>86</v>
      </c>
      <c r="I793">
        <v>1100</v>
      </c>
      <c r="J793">
        <v>4</v>
      </c>
      <c r="K793" t="s">
        <v>54</v>
      </c>
      <c r="L793">
        <v>86</v>
      </c>
      <c r="M793">
        <v>3</v>
      </c>
      <c r="N793">
        <v>3</v>
      </c>
      <c r="O793" t="s">
        <v>43</v>
      </c>
      <c r="P793">
        <v>1</v>
      </c>
      <c r="Q793" t="s">
        <v>44</v>
      </c>
      <c r="R793">
        <v>9582</v>
      </c>
      <c r="S793">
        <v>10333</v>
      </c>
      <c r="T793">
        <v>0</v>
      </c>
      <c r="U793" t="s">
        <v>38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  <c r="AG793" t="s">
        <v>67</v>
      </c>
      <c r="AH793" t="s">
        <v>46</v>
      </c>
      <c r="AI793">
        <v>1</v>
      </c>
      <c r="AJ793" t="s">
        <v>58</v>
      </c>
      <c r="AK793" t="s">
        <v>72</v>
      </c>
      <c r="AL793" t="s">
        <v>73</v>
      </c>
      <c r="AM793" t="s">
        <v>61</v>
      </c>
      <c r="AN793">
        <f t="shared" si="12"/>
        <v>10</v>
      </c>
    </row>
    <row r="794" spans="1:40">
      <c r="A794">
        <v>33</v>
      </c>
      <c r="B794" t="s">
        <v>38</v>
      </c>
      <c r="C794" t="s">
        <v>52</v>
      </c>
      <c r="D794">
        <v>827</v>
      </c>
      <c r="E794" t="s">
        <v>53</v>
      </c>
      <c r="F794">
        <v>29</v>
      </c>
      <c r="G794">
        <v>4</v>
      </c>
      <c r="H794" t="s">
        <v>69</v>
      </c>
      <c r="I794">
        <v>1101</v>
      </c>
      <c r="J794">
        <v>1</v>
      </c>
      <c r="K794" t="s">
        <v>42</v>
      </c>
      <c r="L794">
        <v>54</v>
      </c>
      <c r="M794">
        <v>2</v>
      </c>
      <c r="N794">
        <v>2</v>
      </c>
      <c r="O794" t="s">
        <v>55</v>
      </c>
      <c r="P794">
        <v>3</v>
      </c>
      <c r="Q794" t="s">
        <v>44</v>
      </c>
      <c r="R794">
        <v>4508</v>
      </c>
      <c r="S794">
        <v>3129</v>
      </c>
      <c r="T794">
        <v>1</v>
      </c>
      <c r="U794" t="s">
        <v>51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  <c r="AG794" t="s">
        <v>67</v>
      </c>
      <c r="AH794" t="s">
        <v>81</v>
      </c>
      <c r="AI794">
        <v>1</v>
      </c>
      <c r="AJ794" t="s">
        <v>80</v>
      </c>
      <c r="AK794" t="s">
        <v>68</v>
      </c>
      <c r="AL794" t="s">
        <v>66</v>
      </c>
      <c r="AM794" t="s">
        <v>61</v>
      </c>
      <c r="AN794">
        <f t="shared" si="12"/>
        <v>3</v>
      </c>
    </row>
    <row r="795" spans="1:40">
      <c r="A795">
        <v>28</v>
      </c>
      <c r="B795" t="s">
        <v>51</v>
      </c>
      <c r="C795" t="s">
        <v>39</v>
      </c>
      <c r="D795">
        <v>895</v>
      </c>
      <c r="E795" t="s">
        <v>53</v>
      </c>
      <c r="F795">
        <v>15</v>
      </c>
      <c r="G795">
        <v>2</v>
      </c>
      <c r="H795" t="s">
        <v>41</v>
      </c>
      <c r="I795">
        <v>1102</v>
      </c>
      <c r="J795">
        <v>1</v>
      </c>
      <c r="K795" t="s">
        <v>54</v>
      </c>
      <c r="L795">
        <v>50</v>
      </c>
      <c r="M795">
        <v>3</v>
      </c>
      <c r="N795">
        <v>1</v>
      </c>
      <c r="O795" t="s">
        <v>63</v>
      </c>
      <c r="P795">
        <v>3</v>
      </c>
      <c r="Q795" t="s">
        <v>74</v>
      </c>
      <c r="R795">
        <v>2207</v>
      </c>
      <c r="S795">
        <v>22482</v>
      </c>
      <c r="T795">
        <v>1</v>
      </c>
      <c r="U795" t="s">
        <v>51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  <c r="AG795" t="s">
        <v>67</v>
      </c>
      <c r="AH795" t="s">
        <v>46</v>
      </c>
      <c r="AI795">
        <v>0</v>
      </c>
      <c r="AJ795" t="s">
        <v>47</v>
      </c>
      <c r="AK795" t="s">
        <v>48</v>
      </c>
      <c r="AL795" t="s">
        <v>66</v>
      </c>
      <c r="AM795" t="s">
        <v>70</v>
      </c>
      <c r="AN795">
        <f t="shared" si="12"/>
        <v>4</v>
      </c>
    </row>
    <row r="796" spans="1:40">
      <c r="A796">
        <v>34</v>
      </c>
      <c r="B796" t="s">
        <v>51</v>
      </c>
      <c r="C796" t="s">
        <v>52</v>
      </c>
      <c r="D796">
        <v>618</v>
      </c>
      <c r="E796" t="s">
        <v>53</v>
      </c>
      <c r="F796">
        <v>3</v>
      </c>
      <c r="G796">
        <v>1</v>
      </c>
      <c r="H796" t="s">
        <v>41</v>
      </c>
      <c r="I796">
        <v>1103</v>
      </c>
      <c r="J796">
        <v>1</v>
      </c>
      <c r="K796" t="s">
        <v>54</v>
      </c>
      <c r="L796">
        <v>45</v>
      </c>
      <c r="M796">
        <v>3</v>
      </c>
      <c r="N796">
        <v>2</v>
      </c>
      <c r="O796" t="s">
        <v>76</v>
      </c>
      <c r="P796">
        <v>4</v>
      </c>
      <c r="Q796" t="s">
        <v>44</v>
      </c>
      <c r="R796">
        <v>7756</v>
      </c>
      <c r="S796">
        <v>22266</v>
      </c>
      <c r="T796">
        <v>0</v>
      </c>
      <c r="U796" t="s">
        <v>51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  <c r="AG796" t="s">
        <v>67</v>
      </c>
      <c r="AH796" t="s">
        <v>46</v>
      </c>
      <c r="AI796">
        <v>0</v>
      </c>
      <c r="AJ796" t="s">
        <v>47</v>
      </c>
      <c r="AK796" t="s">
        <v>59</v>
      </c>
      <c r="AL796" t="s">
        <v>49</v>
      </c>
      <c r="AM796" t="s">
        <v>70</v>
      </c>
      <c r="AN796">
        <f t="shared" si="12"/>
        <v>-1</v>
      </c>
    </row>
    <row r="797" spans="1:40">
      <c r="A797">
        <v>37</v>
      </c>
      <c r="B797" t="s">
        <v>51</v>
      </c>
      <c r="C797" t="s">
        <v>39</v>
      </c>
      <c r="D797">
        <v>309</v>
      </c>
      <c r="E797" t="s">
        <v>40</v>
      </c>
      <c r="F797">
        <v>10</v>
      </c>
      <c r="G797">
        <v>4</v>
      </c>
      <c r="H797" t="s">
        <v>41</v>
      </c>
      <c r="I797">
        <v>1105</v>
      </c>
      <c r="J797">
        <v>4</v>
      </c>
      <c r="K797" t="s">
        <v>42</v>
      </c>
      <c r="L797">
        <v>88</v>
      </c>
      <c r="M797">
        <v>2</v>
      </c>
      <c r="N797">
        <v>2</v>
      </c>
      <c r="O797" t="s">
        <v>43</v>
      </c>
      <c r="P797">
        <v>4</v>
      </c>
      <c r="Q797" t="s">
        <v>74</v>
      </c>
      <c r="R797">
        <v>6694</v>
      </c>
      <c r="S797">
        <v>24223</v>
      </c>
      <c r="T797">
        <v>2</v>
      </c>
      <c r="U797" t="s">
        <v>38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  <c r="AG797" t="s">
        <v>45</v>
      </c>
      <c r="AH797" t="s">
        <v>46</v>
      </c>
      <c r="AI797">
        <v>0</v>
      </c>
      <c r="AJ797" t="s">
        <v>65</v>
      </c>
      <c r="AK797" t="s">
        <v>68</v>
      </c>
      <c r="AL797" t="s">
        <v>49</v>
      </c>
      <c r="AM797" t="s">
        <v>61</v>
      </c>
      <c r="AN797">
        <f t="shared" si="12"/>
        <v>-3</v>
      </c>
    </row>
    <row r="798" spans="1:40">
      <c r="A798">
        <v>25</v>
      </c>
      <c r="B798" t="s">
        <v>38</v>
      </c>
      <c r="C798" t="s">
        <v>39</v>
      </c>
      <c r="D798">
        <v>1219</v>
      </c>
      <c r="E798" t="s">
        <v>53</v>
      </c>
      <c r="F798">
        <v>4</v>
      </c>
      <c r="G798">
        <v>1</v>
      </c>
      <c r="H798" t="s">
        <v>86</v>
      </c>
      <c r="I798">
        <v>1106</v>
      </c>
      <c r="J798">
        <v>4</v>
      </c>
      <c r="K798" t="s">
        <v>54</v>
      </c>
      <c r="L798">
        <v>32</v>
      </c>
      <c r="M798">
        <v>3</v>
      </c>
      <c r="N798">
        <v>1</v>
      </c>
      <c r="O798" t="s">
        <v>63</v>
      </c>
      <c r="P798">
        <v>4</v>
      </c>
      <c r="Q798" t="s">
        <v>56</v>
      </c>
      <c r="R798">
        <v>3691</v>
      </c>
      <c r="S798">
        <v>4605</v>
      </c>
      <c r="T798">
        <v>1</v>
      </c>
      <c r="U798" t="s">
        <v>38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  <c r="AG798" t="s">
        <v>78</v>
      </c>
      <c r="AH798" t="s">
        <v>81</v>
      </c>
      <c r="AI798">
        <v>1</v>
      </c>
      <c r="AJ798" t="s">
        <v>58</v>
      </c>
      <c r="AK798" t="s">
        <v>59</v>
      </c>
      <c r="AL798" t="s">
        <v>49</v>
      </c>
      <c r="AM798" t="s">
        <v>85</v>
      </c>
      <c r="AN798">
        <f t="shared" si="12"/>
        <v>0</v>
      </c>
    </row>
    <row r="799" spans="1:40">
      <c r="A799">
        <v>26</v>
      </c>
      <c r="B799" t="s">
        <v>38</v>
      </c>
      <c r="C799" t="s">
        <v>39</v>
      </c>
      <c r="D799">
        <v>1330</v>
      </c>
      <c r="E799" t="s">
        <v>53</v>
      </c>
      <c r="F799">
        <v>21</v>
      </c>
      <c r="G799">
        <v>3</v>
      </c>
      <c r="H799" t="s">
        <v>69</v>
      </c>
      <c r="I799">
        <v>1107</v>
      </c>
      <c r="J799">
        <v>1</v>
      </c>
      <c r="K799" t="s">
        <v>54</v>
      </c>
      <c r="L799">
        <v>37</v>
      </c>
      <c r="M799">
        <v>3</v>
      </c>
      <c r="N799">
        <v>1</v>
      </c>
      <c r="O799" t="s">
        <v>63</v>
      </c>
      <c r="P799">
        <v>3</v>
      </c>
      <c r="Q799" t="s">
        <v>74</v>
      </c>
      <c r="R799">
        <v>2377</v>
      </c>
      <c r="S799">
        <v>19373</v>
      </c>
      <c r="T799">
        <v>1</v>
      </c>
      <c r="U799" t="s">
        <v>51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  <c r="AG799" t="s">
        <v>67</v>
      </c>
      <c r="AH799" t="s">
        <v>46</v>
      </c>
      <c r="AI799">
        <v>1</v>
      </c>
      <c r="AJ799" t="s">
        <v>47</v>
      </c>
      <c r="AK799" t="s">
        <v>72</v>
      </c>
      <c r="AL799" t="s">
        <v>66</v>
      </c>
      <c r="AM799" t="s">
        <v>70</v>
      </c>
      <c r="AN799">
        <f t="shared" si="12"/>
        <v>2</v>
      </c>
    </row>
    <row r="800" spans="1:40">
      <c r="A800">
        <v>33</v>
      </c>
      <c r="B800" t="s">
        <v>38</v>
      </c>
      <c r="C800" t="s">
        <v>39</v>
      </c>
      <c r="D800">
        <v>1017</v>
      </c>
      <c r="E800" t="s">
        <v>53</v>
      </c>
      <c r="F800">
        <v>25</v>
      </c>
      <c r="G800">
        <v>3</v>
      </c>
      <c r="H800" t="s">
        <v>69</v>
      </c>
      <c r="I800">
        <v>1108</v>
      </c>
      <c r="J800">
        <v>1</v>
      </c>
      <c r="K800" t="s">
        <v>54</v>
      </c>
      <c r="L800">
        <v>55</v>
      </c>
      <c r="M800">
        <v>2</v>
      </c>
      <c r="N800">
        <v>1</v>
      </c>
      <c r="O800" t="s">
        <v>55</v>
      </c>
      <c r="P800">
        <v>2</v>
      </c>
      <c r="Q800" t="s">
        <v>44</v>
      </c>
      <c r="R800">
        <v>2313</v>
      </c>
      <c r="S800">
        <v>2993</v>
      </c>
      <c r="T800">
        <v>4</v>
      </c>
      <c r="U800" t="s">
        <v>38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  <c r="AG800" t="s">
        <v>67</v>
      </c>
      <c r="AH800" t="s">
        <v>64</v>
      </c>
      <c r="AI800">
        <v>1</v>
      </c>
      <c r="AJ800" t="s">
        <v>65</v>
      </c>
      <c r="AK800" t="s">
        <v>72</v>
      </c>
      <c r="AL800" t="s">
        <v>60</v>
      </c>
      <c r="AM800" t="s">
        <v>61</v>
      </c>
      <c r="AN800">
        <f t="shared" si="12"/>
        <v>5</v>
      </c>
    </row>
    <row r="801" spans="1:40">
      <c r="A801">
        <v>42</v>
      </c>
      <c r="B801" t="s">
        <v>51</v>
      </c>
      <c r="C801" t="s">
        <v>39</v>
      </c>
      <c r="D801">
        <v>469</v>
      </c>
      <c r="E801" t="s">
        <v>53</v>
      </c>
      <c r="F801">
        <v>2</v>
      </c>
      <c r="G801">
        <v>2</v>
      </c>
      <c r="H801" t="s">
        <v>69</v>
      </c>
      <c r="I801">
        <v>1109</v>
      </c>
      <c r="J801">
        <v>4</v>
      </c>
      <c r="K801" t="s">
        <v>54</v>
      </c>
      <c r="L801">
        <v>35</v>
      </c>
      <c r="M801">
        <v>3</v>
      </c>
      <c r="N801">
        <v>4</v>
      </c>
      <c r="O801" t="s">
        <v>79</v>
      </c>
      <c r="P801">
        <v>1</v>
      </c>
      <c r="Q801" t="s">
        <v>56</v>
      </c>
      <c r="R801">
        <v>17665</v>
      </c>
      <c r="S801">
        <v>14399</v>
      </c>
      <c r="T801">
        <v>0</v>
      </c>
      <c r="U801" t="s">
        <v>51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  <c r="AG801" t="s">
        <v>45</v>
      </c>
      <c r="AH801" t="s">
        <v>46</v>
      </c>
      <c r="AI801">
        <v>0</v>
      </c>
      <c r="AJ801" t="s">
        <v>80</v>
      </c>
      <c r="AK801" t="s">
        <v>48</v>
      </c>
      <c r="AL801" t="s">
        <v>73</v>
      </c>
      <c r="AM801" t="s">
        <v>61</v>
      </c>
      <c r="AN801">
        <f t="shared" si="12"/>
        <v>19</v>
      </c>
    </row>
    <row r="802" spans="1:40">
      <c r="A802">
        <v>28</v>
      </c>
      <c r="B802" t="s">
        <v>38</v>
      </c>
      <c r="C802" t="s">
        <v>52</v>
      </c>
      <c r="D802">
        <v>1009</v>
      </c>
      <c r="E802" t="s">
        <v>53</v>
      </c>
      <c r="F802">
        <v>1</v>
      </c>
      <c r="G802">
        <v>3</v>
      </c>
      <c r="H802" t="s">
        <v>69</v>
      </c>
      <c r="I802">
        <v>1111</v>
      </c>
      <c r="J802">
        <v>1</v>
      </c>
      <c r="K802" t="s">
        <v>54</v>
      </c>
      <c r="L802">
        <v>45</v>
      </c>
      <c r="M802">
        <v>2</v>
      </c>
      <c r="N802">
        <v>1</v>
      </c>
      <c r="O802" t="s">
        <v>63</v>
      </c>
      <c r="P802">
        <v>2</v>
      </c>
      <c r="Q802" t="s">
        <v>74</v>
      </c>
      <c r="R802">
        <v>2596</v>
      </c>
      <c r="S802">
        <v>7160</v>
      </c>
      <c r="T802">
        <v>1</v>
      </c>
      <c r="U802" t="s">
        <v>51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  <c r="AG802" t="s">
        <v>67</v>
      </c>
      <c r="AH802" t="s">
        <v>71</v>
      </c>
      <c r="AI802">
        <v>1</v>
      </c>
      <c r="AJ802" t="s">
        <v>65</v>
      </c>
      <c r="AK802" t="s">
        <v>72</v>
      </c>
      <c r="AL802" t="s">
        <v>60</v>
      </c>
      <c r="AM802" t="s">
        <v>61</v>
      </c>
      <c r="AN802">
        <f t="shared" si="12"/>
        <v>3</v>
      </c>
    </row>
    <row r="803" spans="1:40">
      <c r="A803">
        <v>50</v>
      </c>
      <c r="B803" t="s">
        <v>38</v>
      </c>
      <c r="C803" t="s">
        <v>52</v>
      </c>
      <c r="D803">
        <v>959</v>
      </c>
      <c r="E803" t="s">
        <v>40</v>
      </c>
      <c r="F803">
        <v>1</v>
      </c>
      <c r="G803">
        <v>4</v>
      </c>
      <c r="H803" t="s">
        <v>62</v>
      </c>
      <c r="I803">
        <v>1113</v>
      </c>
      <c r="J803">
        <v>4</v>
      </c>
      <c r="K803" t="s">
        <v>54</v>
      </c>
      <c r="L803">
        <v>81</v>
      </c>
      <c r="M803">
        <v>3</v>
      </c>
      <c r="N803">
        <v>2</v>
      </c>
      <c r="O803" t="s">
        <v>43</v>
      </c>
      <c r="P803">
        <v>3</v>
      </c>
      <c r="Q803" t="s">
        <v>44</v>
      </c>
      <c r="R803">
        <v>4728</v>
      </c>
      <c r="S803">
        <v>17251</v>
      </c>
      <c r="T803">
        <v>3</v>
      </c>
      <c r="U803" t="s">
        <v>38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  <c r="AG803" t="s">
        <v>57</v>
      </c>
      <c r="AH803" t="s">
        <v>46</v>
      </c>
      <c r="AI803">
        <v>1</v>
      </c>
      <c r="AJ803" t="s">
        <v>65</v>
      </c>
      <c r="AK803" t="s">
        <v>68</v>
      </c>
      <c r="AL803" t="s">
        <v>66</v>
      </c>
      <c r="AM803" t="s">
        <v>61</v>
      </c>
      <c r="AN803">
        <f t="shared" si="12"/>
        <v>0</v>
      </c>
    </row>
    <row r="804" spans="1:40">
      <c r="A804">
        <v>33</v>
      </c>
      <c r="B804" t="s">
        <v>51</v>
      </c>
      <c r="C804" t="s">
        <v>52</v>
      </c>
      <c r="D804">
        <v>970</v>
      </c>
      <c r="E804" t="s">
        <v>40</v>
      </c>
      <c r="F804">
        <v>7</v>
      </c>
      <c r="G804">
        <v>3</v>
      </c>
      <c r="H804" t="s">
        <v>41</v>
      </c>
      <c r="I804">
        <v>1114</v>
      </c>
      <c r="J804">
        <v>4</v>
      </c>
      <c r="K804" t="s">
        <v>42</v>
      </c>
      <c r="L804">
        <v>30</v>
      </c>
      <c r="M804">
        <v>3</v>
      </c>
      <c r="N804">
        <v>2</v>
      </c>
      <c r="O804" t="s">
        <v>43</v>
      </c>
      <c r="P804">
        <v>2</v>
      </c>
      <c r="Q804" t="s">
        <v>56</v>
      </c>
      <c r="R804">
        <v>4302</v>
      </c>
      <c r="S804">
        <v>13401</v>
      </c>
      <c r="T804">
        <v>0</v>
      </c>
      <c r="U804" t="s">
        <v>51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  <c r="AG804" t="s">
        <v>67</v>
      </c>
      <c r="AH804" t="s">
        <v>46</v>
      </c>
      <c r="AI804">
        <v>0</v>
      </c>
      <c r="AJ804" t="s">
        <v>65</v>
      </c>
      <c r="AK804" t="s">
        <v>72</v>
      </c>
      <c r="AL804" t="s">
        <v>60</v>
      </c>
      <c r="AM804" t="s">
        <v>61</v>
      </c>
      <c r="AN804">
        <f t="shared" si="12"/>
        <v>3</v>
      </c>
    </row>
    <row r="805" spans="1:40">
      <c r="A805">
        <v>34</v>
      </c>
      <c r="B805" t="s">
        <v>51</v>
      </c>
      <c r="C805" t="s">
        <v>77</v>
      </c>
      <c r="D805">
        <v>697</v>
      </c>
      <c r="E805" t="s">
        <v>53</v>
      </c>
      <c r="F805">
        <v>3</v>
      </c>
      <c r="G805">
        <v>4</v>
      </c>
      <c r="H805" t="s">
        <v>41</v>
      </c>
      <c r="I805">
        <v>1115</v>
      </c>
      <c r="J805">
        <v>3</v>
      </c>
      <c r="K805" t="s">
        <v>54</v>
      </c>
      <c r="L805">
        <v>40</v>
      </c>
      <c r="M805">
        <v>2</v>
      </c>
      <c r="N805">
        <v>1</v>
      </c>
      <c r="O805" t="s">
        <v>55</v>
      </c>
      <c r="P805">
        <v>4</v>
      </c>
      <c r="Q805" t="s">
        <v>56</v>
      </c>
      <c r="R805">
        <v>2979</v>
      </c>
      <c r="S805">
        <v>22478</v>
      </c>
      <c r="T805">
        <v>3</v>
      </c>
      <c r="U805" t="s">
        <v>51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  <c r="AG805" t="s">
        <v>67</v>
      </c>
      <c r="AH805" t="s">
        <v>46</v>
      </c>
      <c r="AI805">
        <v>0</v>
      </c>
      <c r="AJ805" t="s">
        <v>65</v>
      </c>
      <c r="AK805" t="s">
        <v>68</v>
      </c>
      <c r="AL805" t="s">
        <v>49</v>
      </c>
      <c r="AM805" t="s">
        <v>61</v>
      </c>
      <c r="AN805">
        <f t="shared" si="12"/>
        <v>-3</v>
      </c>
    </row>
    <row r="806" spans="1:40">
      <c r="A806">
        <v>48</v>
      </c>
      <c r="B806" t="s">
        <v>51</v>
      </c>
      <c r="C806" t="s">
        <v>77</v>
      </c>
      <c r="D806">
        <v>1262</v>
      </c>
      <c r="E806" t="s">
        <v>53</v>
      </c>
      <c r="F806">
        <v>1</v>
      </c>
      <c r="G806">
        <v>4</v>
      </c>
      <c r="H806" t="s">
        <v>69</v>
      </c>
      <c r="I806">
        <v>1116</v>
      </c>
      <c r="J806">
        <v>1</v>
      </c>
      <c r="K806" t="s">
        <v>54</v>
      </c>
      <c r="L806">
        <v>35</v>
      </c>
      <c r="M806">
        <v>4</v>
      </c>
      <c r="N806">
        <v>4</v>
      </c>
      <c r="O806" t="s">
        <v>79</v>
      </c>
      <c r="P806">
        <v>4</v>
      </c>
      <c r="Q806" t="s">
        <v>44</v>
      </c>
      <c r="R806">
        <v>16885</v>
      </c>
      <c r="S806">
        <v>16154</v>
      </c>
      <c r="T806">
        <v>2</v>
      </c>
      <c r="U806" t="s">
        <v>51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  <c r="AG806" t="s">
        <v>57</v>
      </c>
      <c r="AH806" t="s">
        <v>46</v>
      </c>
      <c r="AI806">
        <v>0</v>
      </c>
      <c r="AJ806" t="s">
        <v>47</v>
      </c>
      <c r="AK806" t="s">
        <v>68</v>
      </c>
      <c r="AL806" t="s">
        <v>49</v>
      </c>
      <c r="AM806" t="s">
        <v>70</v>
      </c>
      <c r="AN806">
        <f t="shared" si="12"/>
        <v>1</v>
      </c>
    </row>
    <row r="807" spans="1:40">
      <c r="A807">
        <v>45</v>
      </c>
      <c r="B807" t="s">
        <v>51</v>
      </c>
      <c r="C807" t="s">
        <v>77</v>
      </c>
      <c r="D807">
        <v>1050</v>
      </c>
      <c r="E807" t="s">
        <v>40</v>
      </c>
      <c r="F807">
        <v>9</v>
      </c>
      <c r="G807">
        <v>4</v>
      </c>
      <c r="H807" t="s">
        <v>41</v>
      </c>
      <c r="I807">
        <v>1117</v>
      </c>
      <c r="J807">
        <v>2</v>
      </c>
      <c r="K807" t="s">
        <v>42</v>
      </c>
      <c r="L807">
        <v>65</v>
      </c>
      <c r="M807">
        <v>2</v>
      </c>
      <c r="N807">
        <v>2</v>
      </c>
      <c r="O807" t="s">
        <v>43</v>
      </c>
      <c r="P807">
        <v>3</v>
      </c>
      <c r="Q807" t="s">
        <v>56</v>
      </c>
      <c r="R807">
        <v>5593</v>
      </c>
      <c r="S807">
        <v>17970</v>
      </c>
      <c r="T807">
        <v>1</v>
      </c>
      <c r="U807" t="s">
        <v>51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  <c r="AG807" t="s">
        <v>45</v>
      </c>
      <c r="AH807" t="s">
        <v>46</v>
      </c>
      <c r="AI807">
        <v>0</v>
      </c>
      <c r="AJ807" t="s">
        <v>80</v>
      </c>
      <c r="AK807" t="s">
        <v>68</v>
      </c>
      <c r="AL807" t="s">
        <v>66</v>
      </c>
      <c r="AM807" t="s">
        <v>61</v>
      </c>
      <c r="AN807">
        <f t="shared" si="12"/>
        <v>4</v>
      </c>
    </row>
    <row r="808" spans="1:40">
      <c r="A808">
        <v>52</v>
      </c>
      <c r="B808" t="s">
        <v>51</v>
      </c>
      <c r="C808" t="s">
        <v>39</v>
      </c>
      <c r="D808">
        <v>994</v>
      </c>
      <c r="E808" t="s">
        <v>53</v>
      </c>
      <c r="F808">
        <v>7</v>
      </c>
      <c r="G808">
        <v>4</v>
      </c>
      <c r="H808" t="s">
        <v>41</v>
      </c>
      <c r="I808">
        <v>1118</v>
      </c>
      <c r="J808">
        <v>2</v>
      </c>
      <c r="K808" t="s">
        <v>54</v>
      </c>
      <c r="L808">
        <v>87</v>
      </c>
      <c r="M808">
        <v>3</v>
      </c>
      <c r="N808">
        <v>3</v>
      </c>
      <c r="O808" t="s">
        <v>76</v>
      </c>
      <c r="P808">
        <v>2</v>
      </c>
      <c r="Q808" t="s">
        <v>44</v>
      </c>
      <c r="R808">
        <v>10445</v>
      </c>
      <c r="S808">
        <v>15322</v>
      </c>
      <c r="T808">
        <v>7</v>
      </c>
      <c r="U808" t="s">
        <v>51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  <c r="AG808" t="s">
        <v>57</v>
      </c>
      <c r="AH808" t="s">
        <v>46</v>
      </c>
      <c r="AI808">
        <v>0</v>
      </c>
      <c r="AJ808" t="s">
        <v>58</v>
      </c>
      <c r="AK808" t="s">
        <v>68</v>
      </c>
      <c r="AL808" t="s">
        <v>60</v>
      </c>
      <c r="AM808" t="s">
        <v>61</v>
      </c>
      <c r="AN808">
        <f t="shared" si="12"/>
        <v>7</v>
      </c>
    </row>
    <row r="809" spans="1:40">
      <c r="A809">
        <v>38</v>
      </c>
      <c r="B809" t="s">
        <v>51</v>
      </c>
      <c r="C809" t="s">
        <v>39</v>
      </c>
      <c r="D809">
        <v>770</v>
      </c>
      <c r="E809" t="s">
        <v>40</v>
      </c>
      <c r="F809">
        <v>10</v>
      </c>
      <c r="G809">
        <v>4</v>
      </c>
      <c r="H809" t="s">
        <v>84</v>
      </c>
      <c r="I809">
        <v>1119</v>
      </c>
      <c r="J809">
        <v>3</v>
      </c>
      <c r="K809" t="s">
        <v>54</v>
      </c>
      <c r="L809">
        <v>73</v>
      </c>
      <c r="M809">
        <v>2</v>
      </c>
      <c r="N809">
        <v>3</v>
      </c>
      <c r="O809" t="s">
        <v>43</v>
      </c>
      <c r="P809">
        <v>3</v>
      </c>
      <c r="Q809" t="s">
        <v>74</v>
      </c>
      <c r="R809">
        <v>8740</v>
      </c>
      <c r="S809">
        <v>5569</v>
      </c>
      <c r="T809">
        <v>0</v>
      </c>
      <c r="U809" t="s">
        <v>38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  <c r="AG809" t="s">
        <v>45</v>
      </c>
      <c r="AH809" t="s">
        <v>81</v>
      </c>
      <c r="AI809">
        <v>0</v>
      </c>
      <c r="AJ809" t="s">
        <v>58</v>
      </c>
      <c r="AK809" t="s">
        <v>68</v>
      </c>
      <c r="AL809" t="s">
        <v>66</v>
      </c>
      <c r="AM809" t="s">
        <v>61</v>
      </c>
      <c r="AN809">
        <f t="shared" si="12"/>
        <v>2</v>
      </c>
    </row>
    <row r="810" spans="1:40">
      <c r="A810">
        <v>29</v>
      </c>
      <c r="B810" t="s">
        <v>51</v>
      </c>
      <c r="C810" t="s">
        <v>39</v>
      </c>
      <c r="D810">
        <v>1107</v>
      </c>
      <c r="E810" t="s">
        <v>53</v>
      </c>
      <c r="F810">
        <v>28</v>
      </c>
      <c r="G810">
        <v>4</v>
      </c>
      <c r="H810" t="s">
        <v>41</v>
      </c>
      <c r="I810">
        <v>1120</v>
      </c>
      <c r="J810">
        <v>3</v>
      </c>
      <c r="K810" t="s">
        <v>42</v>
      </c>
      <c r="L810">
        <v>93</v>
      </c>
      <c r="M810">
        <v>3</v>
      </c>
      <c r="N810">
        <v>1</v>
      </c>
      <c r="O810" t="s">
        <v>55</v>
      </c>
      <c r="P810">
        <v>4</v>
      </c>
      <c r="Q810" t="s">
        <v>74</v>
      </c>
      <c r="R810">
        <v>2514</v>
      </c>
      <c r="S810">
        <v>26968</v>
      </c>
      <c r="T810">
        <v>4</v>
      </c>
      <c r="U810" t="s">
        <v>51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  <c r="AG810" t="s">
        <v>67</v>
      </c>
      <c r="AH810" t="s">
        <v>46</v>
      </c>
      <c r="AI810">
        <v>0</v>
      </c>
      <c r="AJ810" t="s">
        <v>58</v>
      </c>
      <c r="AK810" t="s">
        <v>68</v>
      </c>
      <c r="AL810" t="s">
        <v>49</v>
      </c>
      <c r="AM810" t="s">
        <v>61</v>
      </c>
      <c r="AN810">
        <f t="shared" si="12"/>
        <v>-2</v>
      </c>
    </row>
    <row r="811" spans="1:40">
      <c r="A811">
        <v>28</v>
      </c>
      <c r="B811" t="s">
        <v>51</v>
      </c>
      <c r="C811" t="s">
        <v>39</v>
      </c>
      <c r="D811">
        <v>950</v>
      </c>
      <c r="E811" t="s">
        <v>53</v>
      </c>
      <c r="F811">
        <v>3</v>
      </c>
      <c r="G811">
        <v>3</v>
      </c>
      <c r="H811" t="s">
        <v>69</v>
      </c>
      <c r="I811">
        <v>1121</v>
      </c>
      <c r="J811">
        <v>4</v>
      </c>
      <c r="K811" t="s">
        <v>42</v>
      </c>
      <c r="L811">
        <v>93</v>
      </c>
      <c r="M811">
        <v>3</v>
      </c>
      <c r="N811">
        <v>3</v>
      </c>
      <c r="O811" t="s">
        <v>75</v>
      </c>
      <c r="P811">
        <v>2</v>
      </c>
      <c r="Q811" t="s">
        <v>74</v>
      </c>
      <c r="R811">
        <v>7655</v>
      </c>
      <c r="S811">
        <v>8039</v>
      </c>
      <c r="T811">
        <v>0</v>
      </c>
      <c r="U811" t="s">
        <v>51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  <c r="AG811" t="s">
        <v>67</v>
      </c>
      <c r="AH811" t="s">
        <v>71</v>
      </c>
      <c r="AI811">
        <v>0</v>
      </c>
      <c r="AJ811" t="s">
        <v>47</v>
      </c>
      <c r="AK811" t="s">
        <v>72</v>
      </c>
      <c r="AL811" t="s">
        <v>60</v>
      </c>
      <c r="AM811" t="s">
        <v>70</v>
      </c>
      <c r="AN811">
        <f t="shared" si="12"/>
        <v>6</v>
      </c>
    </row>
    <row r="812" spans="1:40">
      <c r="A812">
        <v>46</v>
      </c>
      <c r="B812" t="s">
        <v>51</v>
      </c>
      <c r="C812" t="s">
        <v>39</v>
      </c>
      <c r="D812">
        <v>406</v>
      </c>
      <c r="E812" t="s">
        <v>40</v>
      </c>
      <c r="F812">
        <v>3</v>
      </c>
      <c r="G812">
        <v>1</v>
      </c>
      <c r="H812" t="s">
        <v>84</v>
      </c>
      <c r="I812">
        <v>1124</v>
      </c>
      <c r="J812">
        <v>1</v>
      </c>
      <c r="K812" t="s">
        <v>54</v>
      </c>
      <c r="L812">
        <v>52</v>
      </c>
      <c r="M812">
        <v>3</v>
      </c>
      <c r="N812">
        <v>4</v>
      </c>
      <c r="O812" t="s">
        <v>79</v>
      </c>
      <c r="P812">
        <v>3</v>
      </c>
      <c r="Q812" t="s">
        <v>56</v>
      </c>
      <c r="R812">
        <v>17465</v>
      </c>
      <c r="S812">
        <v>15596</v>
      </c>
      <c r="T812">
        <v>3</v>
      </c>
      <c r="U812" t="s">
        <v>51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  <c r="AG812" t="s">
        <v>57</v>
      </c>
      <c r="AH812" t="s">
        <v>46</v>
      </c>
      <c r="AI812">
        <v>0</v>
      </c>
      <c r="AJ812" t="s">
        <v>80</v>
      </c>
      <c r="AK812" t="s">
        <v>59</v>
      </c>
      <c r="AL812" t="s">
        <v>66</v>
      </c>
      <c r="AM812" t="s">
        <v>61</v>
      </c>
      <c r="AN812">
        <f t="shared" si="12"/>
        <v>4</v>
      </c>
    </row>
    <row r="813" spans="1:40">
      <c r="A813">
        <v>38</v>
      </c>
      <c r="B813" t="s">
        <v>51</v>
      </c>
      <c r="C813" t="s">
        <v>39</v>
      </c>
      <c r="D813">
        <v>130</v>
      </c>
      <c r="E813" t="s">
        <v>40</v>
      </c>
      <c r="F813">
        <v>2</v>
      </c>
      <c r="G813">
        <v>2</v>
      </c>
      <c r="H813" t="s">
        <v>84</v>
      </c>
      <c r="I813">
        <v>1125</v>
      </c>
      <c r="J813">
        <v>4</v>
      </c>
      <c r="K813" t="s">
        <v>54</v>
      </c>
      <c r="L813">
        <v>32</v>
      </c>
      <c r="M813">
        <v>3</v>
      </c>
      <c r="N813">
        <v>3</v>
      </c>
      <c r="O813" t="s">
        <v>43</v>
      </c>
      <c r="P813">
        <v>2</v>
      </c>
      <c r="Q813" t="s">
        <v>44</v>
      </c>
      <c r="R813">
        <v>7351</v>
      </c>
      <c r="S813">
        <v>20619</v>
      </c>
      <c r="T813">
        <v>7</v>
      </c>
      <c r="U813" t="s">
        <v>51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  <c r="AG813" t="s">
        <v>45</v>
      </c>
      <c r="AH813" t="s">
        <v>46</v>
      </c>
      <c r="AI813">
        <v>0</v>
      </c>
      <c r="AJ813" t="s">
        <v>65</v>
      </c>
      <c r="AK813" t="s">
        <v>48</v>
      </c>
      <c r="AL813" t="s">
        <v>60</v>
      </c>
      <c r="AM813" t="s">
        <v>61</v>
      </c>
      <c r="AN813">
        <f t="shared" si="12"/>
        <v>3</v>
      </c>
    </row>
    <row r="814" spans="1:40">
      <c r="A814">
        <v>43</v>
      </c>
      <c r="B814" t="s">
        <v>51</v>
      </c>
      <c r="C814" t="s">
        <v>52</v>
      </c>
      <c r="D814">
        <v>1082</v>
      </c>
      <c r="E814" t="s">
        <v>53</v>
      </c>
      <c r="F814">
        <v>27</v>
      </c>
      <c r="G814">
        <v>3</v>
      </c>
      <c r="H814" t="s">
        <v>41</v>
      </c>
      <c r="I814">
        <v>1126</v>
      </c>
      <c r="J814">
        <v>3</v>
      </c>
      <c r="K814" t="s">
        <v>42</v>
      </c>
      <c r="L814">
        <v>83</v>
      </c>
      <c r="M814">
        <v>3</v>
      </c>
      <c r="N814">
        <v>3</v>
      </c>
      <c r="O814" t="s">
        <v>75</v>
      </c>
      <c r="P814">
        <v>1</v>
      </c>
      <c r="Q814" t="s">
        <v>56</v>
      </c>
      <c r="R814">
        <v>10820</v>
      </c>
      <c r="S814">
        <v>11535</v>
      </c>
      <c r="T814">
        <v>8</v>
      </c>
      <c r="U814" t="s">
        <v>51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  <c r="AG814" t="s">
        <v>45</v>
      </c>
      <c r="AH814" t="s">
        <v>46</v>
      </c>
      <c r="AI814">
        <v>0</v>
      </c>
      <c r="AJ814" t="s">
        <v>58</v>
      </c>
      <c r="AK814" t="s">
        <v>72</v>
      </c>
      <c r="AL814" t="s">
        <v>73</v>
      </c>
      <c r="AM814" t="s">
        <v>61</v>
      </c>
      <c r="AN814">
        <f t="shared" si="12"/>
        <v>6</v>
      </c>
    </row>
    <row r="815" spans="1:40">
      <c r="A815">
        <v>39</v>
      </c>
      <c r="B815" t="s">
        <v>38</v>
      </c>
      <c r="C815" t="s">
        <v>52</v>
      </c>
      <c r="D815">
        <v>203</v>
      </c>
      <c r="E815" t="s">
        <v>53</v>
      </c>
      <c r="F815">
        <v>2</v>
      </c>
      <c r="G815">
        <v>3</v>
      </c>
      <c r="H815" t="s">
        <v>41</v>
      </c>
      <c r="I815">
        <v>1127</v>
      </c>
      <c r="J815">
        <v>1</v>
      </c>
      <c r="K815" t="s">
        <v>54</v>
      </c>
      <c r="L815">
        <v>84</v>
      </c>
      <c r="M815">
        <v>3</v>
      </c>
      <c r="N815">
        <v>4</v>
      </c>
      <c r="O815" t="s">
        <v>76</v>
      </c>
      <c r="P815">
        <v>4</v>
      </c>
      <c r="Q815" t="s">
        <v>74</v>
      </c>
      <c r="R815">
        <v>12169</v>
      </c>
      <c r="S815">
        <v>13547</v>
      </c>
      <c r="T815">
        <v>7</v>
      </c>
      <c r="U815" t="s">
        <v>51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  <c r="AG815" t="s">
        <v>45</v>
      </c>
      <c r="AH815" t="s">
        <v>46</v>
      </c>
      <c r="AI815">
        <v>1</v>
      </c>
      <c r="AJ815" t="s">
        <v>80</v>
      </c>
      <c r="AK815" t="s">
        <v>72</v>
      </c>
      <c r="AL815" t="s">
        <v>49</v>
      </c>
      <c r="AM815" t="s">
        <v>61</v>
      </c>
      <c r="AN815">
        <f t="shared" si="12"/>
        <v>8</v>
      </c>
    </row>
    <row r="816" spans="1:40">
      <c r="A816">
        <v>40</v>
      </c>
      <c r="B816" t="s">
        <v>51</v>
      </c>
      <c r="C816" t="s">
        <v>39</v>
      </c>
      <c r="D816">
        <v>1308</v>
      </c>
      <c r="E816" t="s">
        <v>53</v>
      </c>
      <c r="F816">
        <v>14</v>
      </c>
      <c r="G816">
        <v>3</v>
      </c>
      <c r="H816" t="s">
        <v>69</v>
      </c>
      <c r="I816">
        <v>1128</v>
      </c>
      <c r="J816">
        <v>3</v>
      </c>
      <c r="K816" t="s">
        <v>54</v>
      </c>
      <c r="L816">
        <v>44</v>
      </c>
      <c r="M816">
        <v>2</v>
      </c>
      <c r="N816">
        <v>5</v>
      </c>
      <c r="O816" t="s">
        <v>83</v>
      </c>
      <c r="P816">
        <v>3</v>
      </c>
      <c r="Q816" t="s">
        <v>44</v>
      </c>
      <c r="R816">
        <v>19626</v>
      </c>
      <c r="S816">
        <v>17544</v>
      </c>
      <c r="T816">
        <v>1</v>
      </c>
      <c r="U816" t="s">
        <v>51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  <c r="AG816" t="s">
        <v>45</v>
      </c>
      <c r="AH816" t="s">
        <v>46</v>
      </c>
      <c r="AI816">
        <v>0</v>
      </c>
      <c r="AJ816" t="s">
        <v>80</v>
      </c>
      <c r="AK816" t="s">
        <v>72</v>
      </c>
      <c r="AL816" t="s">
        <v>66</v>
      </c>
      <c r="AM816" t="s">
        <v>85</v>
      </c>
      <c r="AN816">
        <f t="shared" si="12"/>
        <v>2</v>
      </c>
    </row>
    <row r="817" spans="1:40">
      <c r="A817">
        <v>21</v>
      </c>
      <c r="B817" t="s">
        <v>51</v>
      </c>
      <c r="C817" t="s">
        <v>39</v>
      </c>
      <c r="D817">
        <v>984</v>
      </c>
      <c r="E817" t="s">
        <v>53</v>
      </c>
      <c r="F817">
        <v>1</v>
      </c>
      <c r="G817">
        <v>1</v>
      </c>
      <c r="H817" t="s">
        <v>86</v>
      </c>
      <c r="I817">
        <v>1131</v>
      </c>
      <c r="J817">
        <v>4</v>
      </c>
      <c r="K817" t="s">
        <v>42</v>
      </c>
      <c r="L817">
        <v>70</v>
      </c>
      <c r="M817">
        <v>2</v>
      </c>
      <c r="N817">
        <v>1</v>
      </c>
      <c r="O817" t="s">
        <v>55</v>
      </c>
      <c r="P817">
        <v>2</v>
      </c>
      <c r="Q817" t="s">
        <v>44</v>
      </c>
      <c r="R817">
        <v>2070</v>
      </c>
      <c r="S817">
        <v>25326</v>
      </c>
      <c r="T817">
        <v>1</v>
      </c>
      <c r="U817" t="s">
        <v>38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  <c r="AG817" t="s">
        <v>78</v>
      </c>
      <c r="AH817" t="s">
        <v>46</v>
      </c>
      <c r="AI817">
        <v>0</v>
      </c>
      <c r="AJ817" t="s">
        <v>65</v>
      </c>
      <c r="AK817" t="s">
        <v>59</v>
      </c>
      <c r="AL817" t="s">
        <v>60</v>
      </c>
      <c r="AM817" t="s">
        <v>85</v>
      </c>
      <c r="AN817">
        <f t="shared" si="12"/>
        <v>3</v>
      </c>
    </row>
    <row r="818" spans="1:40">
      <c r="A818">
        <v>39</v>
      </c>
      <c r="B818" t="s">
        <v>51</v>
      </c>
      <c r="C818" t="s">
        <v>77</v>
      </c>
      <c r="D818">
        <v>439</v>
      </c>
      <c r="E818" t="s">
        <v>53</v>
      </c>
      <c r="F818">
        <v>9</v>
      </c>
      <c r="G818">
        <v>3</v>
      </c>
      <c r="H818" t="s">
        <v>41</v>
      </c>
      <c r="I818">
        <v>1132</v>
      </c>
      <c r="J818">
        <v>3</v>
      </c>
      <c r="K818" t="s">
        <v>54</v>
      </c>
      <c r="L818">
        <v>70</v>
      </c>
      <c r="M818">
        <v>3</v>
      </c>
      <c r="N818">
        <v>2</v>
      </c>
      <c r="O818" t="s">
        <v>63</v>
      </c>
      <c r="P818">
        <v>2</v>
      </c>
      <c r="Q818" t="s">
        <v>44</v>
      </c>
      <c r="R818">
        <v>6782</v>
      </c>
      <c r="S818">
        <v>8770</v>
      </c>
      <c r="T818">
        <v>9</v>
      </c>
      <c r="U818" t="s">
        <v>51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  <c r="AG818" t="s">
        <v>45</v>
      </c>
      <c r="AH818" t="s">
        <v>71</v>
      </c>
      <c r="AI818">
        <v>0</v>
      </c>
      <c r="AJ818" t="s">
        <v>47</v>
      </c>
      <c r="AK818" t="s">
        <v>72</v>
      </c>
      <c r="AL818" t="s">
        <v>60</v>
      </c>
      <c r="AM818" t="s">
        <v>70</v>
      </c>
      <c r="AN818">
        <f t="shared" si="12"/>
        <v>5</v>
      </c>
    </row>
    <row r="819" spans="1:40">
      <c r="A819">
        <v>36</v>
      </c>
      <c r="B819" t="s">
        <v>51</v>
      </c>
      <c r="C819" t="s">
        <v>77</v>
      </c>
      <c r="D819">
        <v>217</v>
      </c>
      <c r="E819" t="s">
        <v>53</v>
      </c>
      <c r="F819">
        <v>18</v>
      </c>
      <c r="G819">
        <v>4</v>
      </c>
      <c r="H819" t="s">
        <v>41</v>
      </c>
      <c r="I819">
        <v>1133</v>
      </c>
      <c r="J819">
        <v>1</v>
      </c>
      <c r="K819" t="s">
        <v>54</v>
      </c>
      <c r="L819">
        <v>78</v>
      </c>
      <c r="M819">
        <v>3</v>
      </c>
      <c r="N819">
        <v>2</v>
      </c>
      <c r="O819" t="s">
        <v>75</v>
      </c>
      <c r="P819">
        <v>4</v>
      </c>
      <c r="Q819" t="s">
        <v>44</v>
      </c>
      <c r="R819">
        <v>7779</v>
      </c>
      <c r="S819">
        <v>23238</v>
      </c>
      <c r="T819">
        <v>2</v>
      </c>
      <c r="U819" t="s">
        <v>51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  <c r="AG819" t="s">
        <v>45</v>
      </c>
      <c r="AH819" t="s">
        <v>46</v>
      </c>
      <c r="AI819">
        <v>0</v>
      </c>
      <c r="AJ819" t="s">
        <v>80</v>
      </c>
      <c r="AK819" t="s">
        <v>68</v>
      </c>
      <c r="AL819" t="s">
        <v>49</v>
      </c>
      <c r="AM819" t="s">
        <v>61</v>
      </c>
      <c r="AN819">
        <f t="shared" si="12"/>
        <v>-3</v>
      </c>
    </row>
    <row r="820" spans="1:40">
      <c r="A820">
        <v>31</v>
      </c>
      <c r="B820" t="s">
        <v>51</v>
      </c>
      <c r="C820" t="s">
        <v>52</v>
      </c>
      <c r="D820">
        <v>793</v>
      </c>
      <c r="E820" t="s">
        <v>40</v>
      </c>
      <c r="F820">
        <v>20</v>
      </c>
      <c r="G820">
        <v>3</v>
      </c>
      <c r="H820" t="s">
        <v>41</v>
      </c>
      <c r="I820">
        <v>1135</v>
      </c>
      <c r="J820">
        <v>3</v>
      </c>
      <c r="K820" t="s">
        <v>54</v>
      </c>
      <c r="L820">
        <v>67</v>
      </c>
      <c r="M820">
        <v>4</v>
      </c>
      <c r="N820">
        <v>1</v>
      </c>
      <c r="O820" t="s">
        <v>82</v>
      </c>
      <c r="P820">
        <v>4</v>
      </c>
      <c r="Q820" t="s">
        <v>56</v>
      </c>
      <c r="R820">
        <v>2791</v>
      </c>
      <c r="S820">
        <v>21981</v>
      </c>
      <c r="T820">
        <v>0</v>
      </c>
      <c r="U820" t="s">
        <v>51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  <c r="AG820" t="s">
        <v>67</v>
      </c>
      <c r="AH820" t="s">
        <v>46</v>
      </c>
      <c r="AI820">
        <v>0</v>
      </c>
      <c r="AJ820" t="s">
        <v>65</v>
      </c>
      <c r="AK820" t="s">
        <v>72</v>
      </c>
      <c r="AL820" t="s">
        <v>49</v>
      </c>
      <c r="AM820" t="s">
        <v>61</v>
      </c>
      <c r="AN820">
        <f t="shared" si="12"/>
        <v>-1</v>
      </c>
    </row>
    <row r="821" spans="1:40">
      <c r="A821">
        <v>28</v>
      </c>
      <c r="B821" t="s">
        <v>51</v>
      </c>
      <c r="C821" t="s">
        <v>39</v>
      </c>
      <c r="D821">
        <v>1451</v>
      </c>
      <c r="E821" t="s">
        <v>53</v>
      </c>
      <c r="F821">
        <v>2</v>
      </c>
      <c r="G821">
        <v>1</v>
      </c>
      <c r="H821" t="s">
        <v>41</v>
      </c>
      <c r="I821">
        <v>1136</v>
      </c>
      <c r="J821">
        <v>1</v>
      </c>
      <c r="K821" t="s">
        <v>54</v>
      </c>
      <c r="L821">
        <v>67</v>
      </c>
      <c r="M821">
        <v>2</v>
      </c>
      <c r="N821">
        <v>1</v>
      </c>
      <c r="O821" t="s">
        <v>55</v>
      </c>
      <c r="P821">
        <v>2</v>
      </c>
      <c r="Q821" t="s">
        <v>56</v>
      </c>
      <c r="R821">
        <v>3201</v>
      </c>
      <c r="S821">
        <v>19911</v>
      </c>
      <c r="T821">
        <v>0</v>
      </c>
      <c r="U821" t="s">
        <v>51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  <c r="AG821" t="s">
        <v>67</v>
      </c>
      <c r="AH821" t="s">
        <v>46</v>
      </c>
      <c r="AI821">
        <v>0</v>
      </c>
      <c r="AJ821" t="s">
        <v>47</v>
      </c>
      <c r="AK821" t="s">
        <v>59</v>
      </c>
      <c r="AL821" t="s">
        <v>60</v>
      </c>
      <c r="AM821" t="s">
        <v>50</v>
      </c>
      <c r="AN821">
        <f t="shared" si="12"/>
        <v>7</v>
      </c>
    </row>
    <row r="822" spans="1:40">
      <c r="A822">
        <v>35</v>
      </c>
      <c r="B822" t="s">
        <v>51</v>
      </c>
      <c r="C822" t="s">
        <v>52</v>
      </c>
      <c r="D822">
        <v>1182</v>
      </c>
      <c r="E822" t="s">
        <v>40</v>
      </c>
      <c r="F822">
        <v>11</v>
      </c>
      <c r="G822">
        <v>2</v>
      </c>
      <c r="H822" t="s">
        <v>84</v>
      </c>
      <c r="I822">
        <v>1137</v>
      </c>
      <c r="J822">
        <v>4</v>
      </c>
      <c r="K822" t="s">
        <v>54</v>
      </c>
      <c r="L822">
        <v>54</v>
      </c>
      <c r="M822">
        <v>3</v>
      </c>
      <c r="N822">
        <v>2</v>
      </c>
      <c r="O822" t="s">
        <v>43</v>
      </c>
      <c r="P822">
        <v>4</v>
      </c>
      <c r="Q822" t="s">
        <v>74</v>
      </c>
      <c r="R822">
        <v>4968</v>
      </c>
      <c r="S822">
        <v>18500</v>
      </c>
      <c r="T822">
        <v>1</v>
      </c>
      <c r="U822" t="s">
        <v>51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  <c r="AG822" t="s">
        <v>67</v>
      </c>
      <c r="AH822" t="s">
        <v>46</v>
      </c>
      <c r="AI822">
        <v>0</v>
      </c>
      <c r="AJ822" t="s">
        <v>65</v>
      </c>
      <c r="AK822" t="s">
        <v>48</v>
      </c>
      <c r="AL822" t="s">
        <v>49</v>
      </c>
      <c r="AM822" t="s">
        <v>61</v>
      </c>
      <c r="AN822">
        <f t="shared" si="12"/>
        <v>-3</v>
      </c>
    </row>
    <row r="823" spans="1:40">
      <c r="A823">
        <v>49</v>
      </c>
      <c r="B823" t="s">
        <v>51</v>
      </c>
      <c r="C823" t="s">
        <v>39</v>
      </c>
      <c r="D823">
        <v>174</v>
      </c>
      <c r="E823" t="s">
        <v>40</v>
      </c>
      <c r="F823">
        <v>8</v>
      </c>
      <c r="G823">
        <v>4</v>
      </c>
      <c r="H823" t="s">
        <v>86</v>
      </c>
      <c r="I823">
        <v>1138</v>
      </c>
      <c r="J823">
        <v>4</v>
      </c>
      <c r="K823" t="s">
        <v>54</v>
      </c>
      <c r="L823">
        <v>56</v>
      </c>
      <c r="M823">
        <v>2</v>
      </c>
      <c r="N823">
        <v>4</v>
      </c>
      <c r="O823" t="s">
        <v>43</v>
      </c>
      <c r="P823">
        <v>2</v>
      </c>
      <c r="Q823" t="s">
        <v>56</v>
      </c>
      <c r="R823">
        <v>13120</v>
      </c>
      <c r="S823">
        <v>11879</v>
      </c>
      <c r="T823">
        <v>6</v>
      </c>
      <c r="U823" t="s">
        <v>51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  <c r="AG823" t="s">
        <v>57</v>
      </c>
      <c r="AH823" t="s">
        <v>46</v>
      </c>
      <c r="AI823">
        <v>0</v>
      </c>
      <c r="AJ823" t="s">
        <v>58</v>
      </c>
      <c r="AK823" t="s">
        <v>68</v>
      </c>
      <c r="AL823" t="s">
        <v>60</v>
      </c>
      <c r="AM823" t="s">
        <v>61</v>
      </c>
      <c r="AN823">
        <f t="shared" si="12"/>
        <v>5</v>
      </c>
    </row>
    <row r="824" spans="1:40">
      <c r="A824">
        <v>34</v>
      </c>
      <c r="B824" t="s">
        <v>51</v>
      </c>
      <c r="C824" t="s">
        <v>52</v>
      </c>
      <c r="D824">
        <v>1003</v>
      </c>
      <c r="E824" t="s">
        <v>53</v>
      </c>
      <c r="F824">
        <v>2</v>
      </c>
      <c r="G824">
        <v>2</v>
      </c>
      <c r="H824" t="s">
        <v>41</v>
      </c>
      <c r="I824">
        <v>1140</v>
      </c>
      <c r="J824">
        <v>4</v>
      </c>
      <c r="K824" t="s">
        <v>54</v>
      </c>
      <c r="L824">
        <v>95</v>
      </c>
      <c r="M824">
        <v>3</v>
      </c>
      <c r="N824">
        <v>2</v>
      </c>
      <c r="O824" t="s">
        <v>75</v>
      </c>
      <c r="P824">
        <v>3</v>
      </c>
      <c r="Q824" t="s">
        <v>44</v>
      </c>
      <c r="R824">
        <v>4033</v>
      </c>
      <c r="S824">
        <v>15834</v>
      </c>
      <c r="T824">
        <v>2</v>
      </c>
      <c r="U824" t="s">
        <v>51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  <c r="AG824" t="s">
        <v>67</v>
      </c>
      <c r="AH824" t="s">
        <v>46</v>
      </c>
      <c r="AI824">
        <v>0</v>
      </c>
      <c r="AJ824" t="s">
        <v>47</v>
      </c>
      <c r="AK824" t="s">
        <v>48</v>
      </c>
      <c r="AL824" t="s">
        <v>66</v>
      </c>
      <c r="AM824" t="s">
        <v>70</v>
      </c>
      <c r="AN824">
        <f t="shared" si="12"/>
        <v>2</v>
      </c>
    </row>
    <row r="825" spans="1:40">
      <c r="A825">
        <v>29</v>
      </c>
      <c r="B825" t="s">
        <v>51</v>
      </c>
      <c r="C825" t="s">
        <v>52</v>
      </c>
      <c r="D825">
        <v>490</v>
      </c>
      <c r="E825" t="s">
        <v>53</v>
      </c>
      <c r="F825">
        <v>10</v>
      </c>
      <c r="G825">
        <v>3</v>
      </c>
      <c r="H825" t="s">
        <v>41</v>
      </c>
      <c r="I825">
        <v>1143</v>
      </c>
      <c r="J825">
        <v>4</v>
      </c>
      <c r="K825" t="s">
        <v>42</v>
      </c>
      <c r="L825">
        <v>61</v>
      </c>
      <c r="M825">
        <v>3</v>
      </c>
      <c r="N825">
        <v>1</v>
      </c>
      <c r="O825" t="s">
        <v>55</v>
      </c>
      <c r="P825">
        <v>2</v>
      </c>
      <c r="Q825" t="s">
        <v>74</v>
      </c>
      <c r="R825">
        <v>3291</v>
      </c>
      <c r="S825">
        <v>17940</v>
      </c>
      <c r="T825">
        <v>0</v>
      </c>
      <c r="U825" t="s">
        <v>51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  <c r="AG825" t="s">
        <v>67</v>
      </c>
      <c r="AH825" t="s">
        <v>46</v>
      </c>
      <c r="AI825">
        <v>0</v>
      </c>
      <c r="AJ825" t="s">
        <v>47</v>
      </c>
      <c r="AK825" t="s">
        <v>72</v>
      </c>
      <c r="AL825" t="s">
        <v>60</v>
      </c>
      <c r="AM825" t="s">
        <v>70</v>
      </c>
      <c r="AN825">
        <f t="shared" si="12"/>
        <v>6</v>
      </c>
    </row>
    <row r="826" spans="1:40">
      <c r="A826">
        <v>42</v>
      </c>
      <c r="B826" t="s">
        <v>51</v>
      </c>
      <c r="C826" t="s">
        <v>39</v>
      </c>
      <c r="D826">
        <v>188</v>
      </c>
      <c r="E826" t="s">
        <v>53</v>
      </c>
      <c r="F826">
        <v>29</v>
      </c>
      <c r="G826">
        <v>3</v>
      </c>
      <c r="H826" t="s">
        <v>69</v>
      </c>
      <c r="I826">
        <v>1148</v>
      </c>
      <c r="J826">
        <v>2</v>
      </c>
      <c r="K826" t="s">
        <v>54</v>
      </c>
      <c r="L826">
        <v>56</v>
      </c>
      <c r="M826">
        <v>1</v>
      </c>
      <c r="N826">
        <v>2</v>
      </c>
      <c r="O826" t="s">
        <v>63</v>
      </c>
      <c r="P826">
        <v>4</v>
      </c>
      <c r="Q826" t="s">
        <v>44</v>
      </c>
      <c r="R826">
        <v>4272</v>
      </c>
      <c r="S826">
        <v>9558</v>
      </c>
      <c r="T826">
        <v>4</v>
      </c>
      <c r="U826" t="s">
        <v>51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  <c r="AG826" t="s">
        <v>45</v>
      </c>
      <c r="AH826" t="s">
        <v>71</v>
      </c>
      <c r="AI826">
        <v>0</v>
      </c>
      <c r="AJ826" t="s">
        <v>65</v>
      </c>
      <c r="AK826" t="s">
        <v>72</v>
      </c>
      <c r="AL826" t="s">
        <v>49</v>
      </c>
      <c r="AM826" t="s">
        <v>61</v>
      </c>
      <c r="AN826">
        <f t="shared" si="12"/>
        <v>-3</v>
      </c>
    </row>
    <row r="827" spans="1:40">
      <c r="A827">
        <v>29</v>
      </c>
      <c r="B827" t="s">
        <v>51</v>
      </c>
      <c r="C827" t="s">
        <v>39</v>
      </c>
      <c r="D827">
        <v>718</v>
      </c>
      <c r="E827" t="s">
        <v>53</v>
      </c>
      <c r="F827">
        <v>8</v>
      </c>
      <c r="G827">
        <v>1</v>
      </c>
      <c r="H827" t="s">
        <v>69</v>
      </c>
      <c r="I827">
        <v>1150</v>
      </c>
      <c r="J827">
        <v>2</v>
      </c>
      <c r="K827" t="s">
        <v>54</v>
      </c>
      <c r="L827">
        <v>79</v>
      </c>
      <c r="M827">
        <v>2</v>
      </c>
      <c r="N827">
        <v>2</v>
      </c>
      <c r="O827" t="s">
        <v>75</v>
      </c>
      <c r="P827">
        <v>4</v>
      </c>
      <c r="Q827" t="s">
        <v>56</v>
      </c>
      <c r="R827">
        <v>5056</v>
      </c>
      <c r="S827">
        <v>17689</v>
      </c>
      <c r="T827">
        <v>1</v>
      </c>
      <c r="U827" t="s">
        <v>38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  <c r="AG827" t="s">
        <v>67</v>
      </c>
      <c r="AH827" t="s">
        <v>46</v>
      </c>
      <c r="AI827">
        <v>0</v>
      </c>
      <c r="AJ827" t="s">
        <v>47</v>
      </c>
      <c r="AK827" t="s">
        <v>59</v>
      </c>
      <c r="AL827" t="s">
        <v>49</v>
      </c>
      <c r="AM827" t="s">
        <v>70</v>
      </c>
      <c r="AN827">
        <f t="shared" si="12"/>
        <v>0</v>
      </c>
    </row>
    <row r="828" spans="1:40">
      <c r="A828">
        <v>38</v>
      </c>
      <c r="B828" t="s">
        <v>51</v>
      </c>
      <c r="C828" t="s">
        <v>39</v>
      </c>
      <c r="D828">
        <v>433</v>
      </c>
      <c r="E828" t="s">
        <v>88</v>
      </c>
      <c r="F828">
        <v>1</v>
      </c>
      <c r="G828">
        <v>3</v>
      </c>
      <c r="H828" t="s">
        <v>88</v>
      </c>
      <c r="I828">
        <v>1152</v>
      </c>
      <c r="J828">
        <v>3</v>
      </c>
      <c r="K828" t="s">
        <v>54</v>
      </c>
      <c r="L828">
        <v>37</v>
      </c>
      <c r="M828">
        <v>4</v>
      </c>
      <c r="N828">
        <v>1</v>
      </c>
      <c r="O828" t="s">
        <v>88</v>
      </c>
      <c r="P828">
        <v>3</v>
      </c>
      <c r="Q828" t="s">
        <v>56</v>
      </c>
      <c r="R828">
        <v>2844</v>
      </c>
      <c r="S828">
        <v>6004</v>
      </c>
      <c r="T828">
        <v>1</v>
      </c>
      <c r="U828" t="s">
        <v>51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  <c r="AG828" t="s">
        <v>45</v>
      </c>
      <c r="AH828" t="s">
        <v>71</v>
      </c>
      <c r="AI828">
        <v>0</v>
      </c>
      <c r="AJ828" t="s">
        <v>58</v>
      </c>
      <c r="AK828" t="s">
        <v>72</v>
      </c>
      <c r="AL828" t="s">
        <v>66</v>
      </c>
      <c r="AM828" t="s">
        <v>85</v>
      </c>
      <c r="AN828">
        <f t="shared" si="12"/>
        <v>3</v>
      </c>
    </row>
    <row r="829" spans="1:40">
      <c r="A829">
        <v>28</v>
      </c>
      <c r="B829" t="s">
        <v>51</v>
      </c>
      <c r="C829" t="s">
        <v>52</v>
      </c>
      <c r="D829">
        <v>773</v>
      </c>
      <c r="E829" t="s">
        <v>53</v>
      </c>
      <c r="F829">
        <v>6</v>
      </c>
      <c r="G829">
        <v>3</v>
      </c>
      <c r="H829" t="s">
        <v>41</v>
      </c>
      <c r="I829">
        <v>1154</v>
      </c>
      <c r="J829">
        <v>3</v>
      </c>
      <c r="K829" t="s">
        <v>54</v>
      </c>
      <c r="L829">
        <v>39</v>
      </c>
      <c r="M829">
        <v>2</v>
      </c>
      <c r="N829">
        <v>1</v>
      </c>
      <c r="O829" t="s">
        <v>55</v>
      </c>
      <c r="P829">
        <v>3</v>
      </c>
      <c r="Q829" t="s">
        <v>74</v>
      </c>
      <c r="R829">
        <v>2703</v>
      </c>
      <c r="S829">
        <v>22088</v>
      </c>
      <c r="T829">
        <v>1</v>
      </c>
      <c r="U829" t="s">
        <v>38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  <c r="AG829" t="s">
        <v>67</v>
      </c>
      <c r="AH829" t="s">
        <v>46</v>
      </c>
      <c r="AI829">
        <v>0</v>
      </c>
      <c r="AJ829" t="s">
        <v>65</v>
      </c>
      <c r="AK829" t="s">
        <v>72</v>
      </c>
      <c r="AL829" t="s">
        <v>66</v>
      </c>
      <c r="AM829" t="s">
        <v>61</v>
      </c>
      <c r="AN829">
        <f t="shared" si="12"/>
        <v>0</v>
      </c>
    </row>
    <row r="830" spans="1:40">
      <c r="A830">
        <v>18</v>
      </c>
      <c r="B830" t="s">
        <v>38</v>
      </c>
      <c r="C830" t="s">
        <v>77</v>
      </c>
      <c r="D830">
        <v>247</v>
      </c>
      <c r="E830" t="s">
        <v>53</v>
      </c>
      <c r="F830">
        <v>8</v>
      </c>
      <c r="G830">
        <v>1</v>
      </c>
      <c r="H830" t="s">
        <v>69</v>
      </c>
      <c r="I830">
        <v>1156</v>
      </c>
      <c r="J830">
        <v>3</v>
      </c>
      <c r="K830" t="s">
        <v>54</v>
      </c>
      <c r="L830">
        <v>80</v>
      </c>
      <c r="M830">
        <v>3</v>
      </c>
      <c r="N830">
        <v>1</v>
      </c>
      <c r="O830" t="s">
        <v>63</v>
      </c>
      <c r="P830">
        <v>3</v>
      </c>
      <c r="Q830" t="s">
        <v>44</v>
      </c>
      <c r="R830">
        <v>1904</v>
      </c>
      <c r="S830">
        <v>13556</v>
      </c>
      <c r="T830">
        <v>1</v>
      </c>
      <c r="U830" t="s">
        <v>51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 t="s">
        <v>78</v>
      </c>
      <c r="AH830" t="s">
        <v>46</v>
      </c>
      <c r="AI830">
        <v>1</v>
      </c>
      <c r="AJ830" t="s">
        <v>65</v>
      </c>
      <c r="AK830" t="s">
        <v>59</v>
      </c>
      <c r="AL830" t="s">
        <v>66</v>
      </c>
      <c r="AM830" t="s">
        <v>61</v>
      </c>
      <c r="AN830">
        <f t="shared" si="12"/>
        <v>0</v>
      </c>
    </row>
    <row r="831" spans="1:40">
      <c r="A831">
        <v>33</v>
      </c>
      <c r="B831" t="s">
        <v>38</v>
      </c>
      <c r="C831" t="s">
        <v>39</v>
      </c>
      <c r="D831">
        <v>603</v>
      </c>
      <c r="E831" t="s">
        <v>40</v>
      </c>
      <c r="F831">
        <v>9</v>
      </c>
      <c r="G831">
        <v>4</v>
      </c>
      <c r="H831" t="s">
        <v>84</v>
      </c>
      <c r="I831">
        <v>1157</v>
      </c>
      <c r="J831">
        <v>1</v>
      </c>
      <c r="K831" t="s">
        <v>42</v>
      </c>
      <c r="L831">
        <v>77</v>
      </c>
      <c r="M831">
        <v>3</v>
      </c>
      <c r="N831">
        <v>2</v>
      </c>
      <c r="O831" t="s">
        <v>43</v>
      </c>
      <c r="P831">
        <v>1</v>
      </c>
      <c r="Q831" t="s">
        <v>44</v>
      </c>
      <c r="R831">
        <v>8224</v>
      </c>
      <c r="S831">
        <v>18385</v>
      </c>
      <c r="T831">
        <v>0</v>
      </c>
      <c r="U831" t="s">
        <v>38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  <c r="AG831" t="s">
        <v>67</v>
      </c>
      <c r="AH831" t="s">
        <v>46</v>
      </c>
      <c r="AI831">
        <v>1</v>
      </c>
      <c r="AJ831" t="s">
        <v>65</v>
      </c>
      <c r="AK831" t="s">
        <v>68</v>
      </c>
      <c r="AL831" t="s">
        <v>73</v>
      </c>
      <c r="AM831" t="s">
        <v>61</v>
      </c>
      <c r="AN831">
        <f t="shared" si="12"/>
        <v>6</v>
      </c>
    </row>
    <row r="832" spans="1:40">
      <c r="A832">
        <v>41</v>
      </c>
      <c r="B832" t="s">
        <v>51</v>
      </c>
      <c r="C832" t="s">
        <v>39</v>
      </c>
      <c r="D832">
        <v>167</v>
      </c>
      <c r="E832" t="s">
        <v>53</v>
      </c>
      <c r="F832">
        <v>12</v>
      </c>
      <c r="G832">
        <v>4</v>
      </c>
      <c r="H832" t="s">
        <v>41</v>
      </c>
      <c r="I832">
        <v>1158</v>
      </c>
      <c r="J832">
        <v>2</v>
      </c>
      <c r="K832" t="s">
        <v>54</v>
      </c>
      <c r="L832">
        <v>46</v>
      </c>
      <c r="M832">
        <v>3</v>
      </c>
      <c r="N832">
        <v>1</v>
      </c>
      <c r="O832" t="s">
        <v>63</v>
      </c>
      <c r="P832">
        <v>4</v>
      </c>
      <c r="Q832" t="s">
        <v>56</v>
      </c>
      <c r="R832">
        <v>4766</v>
      </c>
      <c r="S832">
        <v>9051</v>
      </c>
      <c r="T832">
        <v>3</v>
      </c>
      <c r="U832" t="s">
        <v>38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  <c r="AG832" t="s">
        <v>45</v>
      </c>
      <c r="AH832" t="s">
        <v>71</v>
      </c>
      <c r="AI832">
        <v>0</v>
      </c>
      <c r="AJ832" t="s">
        <v>65</v>
      </c>
      <c r="AK832" t="s">
        <v>68</v>
      </c>
      <c r="AL832" t="s">
        <v>49</v>
      </c>
      <c r="AM832" t="s">
        <v>61</v>
      </c>
      <c r="AN832">
        <f t="shared" si="12"/>
        <v>-3</v>
      </c>
    </row>
    <row r="833" spans="1:40">
      <c r="A833">
        <v>31</v>
      </c>
      <c r="B833" t="s">
        <v>38</v>
      </c>
      <c r="C833" t="s">
        <v>52</v>
      </c>
      <c r="D833">
        <v>874</v>
      </c>
      <c r="E833" t="s">
        <v>53</v>
      </c>
      <c r="F833">
        <v>15</v>
      </c>
      <c r="G833">
        <v>3</v>
      </c>
      <c r="H833" t="s">
        <v>69</v>
      </c>
      <c r="I833">
        <v>1160</v>
      </c>
      <c r="J833">
        <v>3</v>
      </c>
      <c r="K833" t="s">
        <v>54</v>
      </c>
      <c r="L833">
        <v>72</v>
      </c>
      <c r="M833">
        <v>3</v>
      </c>
      <c r="N833">
        <v>1</v>
      </c>
      <c r="O833" t="s">
        <v>63</v>
      </c>
      <c r="P833">
        <v>3</v>
      </c>
      <c r="Q833" t="s">
        <v>56</v>
      </c>
      <c r="R833">
        <v>2610</v>
      </c>
      <c r="S833">
        <v>6233</v>
      </c>
      <c r="T833">
        <v>1</v>
      </c>
      <c r="U833" t="s">
        <v>51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  <c r="AG833" t="s">
        <v>67</v>
      </c>
      <c r="AH833" t="s">
        <v>71</v>
      </c>
      <c r="AI833">
        <v>1</v>
      </c>
      <c r="AJ833" t="s">
        <v>47</v>
      </c>
      <c r="AK833" t="s">
        <v>72</v>
      </c>
      <c r="AL833" t="s">
        <v>66</v>
      </c>
      <c r="AM833" t="s">
        <v>70</v>
      </c>
      <c r="AN833">
        <f t="shared" si="12"/>
        <v>4</v>
      </c>
    </row>
    <row r="834" spans="1:40">
      <c r="A834">
        <v>37</v>
      </c>
      <c r="B834" t="s">
        <v>51</v>
      </c>
      <c r="C834" t="s">
        <v>39</v>
      </c>
      <c r="D834">
        <v>367</v>
      </c>
      <c r="E834" t="s">
        <v>53</v>
      </c>
      <c r="F834">
        <v>25</v>
      </c>
      <c r="G834">
        <v>2</v>
      </c>
      <c r="H834" t="s">
        <v>69</v>
      </c>
      <c r="I834">
        <v>1161</v>
      </c>
      <c r="J834">
        <v>3</v>
      </c>
      <c r="K834" t="s">
        <v>42</v>
      </c>
      <c r="L834">
        <v>52</v>
      </c>
      <c r="M834">
        <v>2</v>
      </c>
      <c r="N834">
        <v>2</v>
      </c>
      <c r="O834" t="s">
        <v>76</v>
      </c>
      <c r="P834">
        <v>4</v>
      </c>
      <c r="Q834" t="s">
        <v>74</v>
      </c>
      <c r="R834">
        <v>5731</v>
      </c>
      <c r="S834">
        <v>17171</v>
      </c>
      <c r="T834">
        <v>7</v>
      </c>
      <c r="U834" t="s">
        <v>51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  <c r="AG834" t="s">
        <v>45</v>
      </c>
      <c r="AH834" t="s">
        <v>46</v>
      </c>
      <c r="AI834">
        <v>0</v>
      </c>
      <c r="AJ834" t="s">
        <v>58</v>
      </c>
      <c r="AK834" t="s">
        <v>48</v>
      </c>
      <c r="AL834" t="s">
        <v>49</v>
      </c>
      <c r="AM834" t="s">
        <v>61</v>
      </c>
      <c r="AN834">
        <f t="shared" si="12"/>
        <v>-2</v>
      </c>
    </row>
    <row r="835" spans="1:40">
      <c r="A835">
        <v>27</v>
      </c>
      <c r="B835" t="s">
        <v>51</v>
      </c>
      <c r="C835" t="s">
        <v>39</v>
      </c>
      <c r="D835">
        <v>199</v>
      </c>
      <c r="E835" t="s">
        <v>53</v>
      </c>
      <c r="F835">
        <v>6</v>
      </c>
      <c r="G835">
        <v>3</v>
      </c>
      <c r="H835" t="s">
        <v>41</v>
      </c>
      <c r="I835">
        <v>1162</v>
      </c>
      <c r="J835">
        <v>4</v>
      </c>
      <c r="K835" t="s">
        <v>54</v>
      </c>
      <c r="L835">
        <v>55</v>
      </c>
      <c r="M835">
        <v>2</v>
      </c>
      <c r="N835">
        <v>1</v>
      </c>
      <c r="O835" t="s">
        <v>55</v>
      </c>
      <c r="P835">
        <v>3</v>
      </c>
      <c r="Q835" t="s">
        <v>56</v>
      </c>
      <c r="R835">
        <v>2539</v>
      </c>
      <c r="S835">
        <v>7950</v>
      </c>
      <c r="T835">
        <v>1</v>
      </c>
      <c r="U835" t="s">
        <v>51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  <c r="AG835" t="s">
        <v>67</v>
      </c>
      <c r="AH835" t="s">
        <v>71</v>
      </c>
      <c r="AI835">
        <v>0</v>
      </c>
      <c r="AJ835" t="s">
        <v>65</v>
      </c>
      <c r="AK835" t="s">
        <v>72</v>
      </c>
      <c r="AL835" t="s">
        <v>66</v>
      </c>
      <c r="AM835" t="s">
        <v>61</v>
      </c>
      <c r="AN835">
        <f t="shared" ref="AN835:AN898" si="13">((3-P835)*3+((3-AB835)*2+AE835))</f>
        <v>2</v>
      </c>
    </row>
    <row r="836" spans="1:40">
      <c r="A836">
        <v>34</v>
      </c>
      <c r="B836" t="s">
        <v>51</v>
      </c>
      <c r="C836" t="s">
        <v>39</v>
      </c>
      <c r="D836">
        <v>1400</v>
      </c>
      <c r="E836" t="s">
        <v>40</v>
      </c>
      <c r="F836">
        <v>9</v>
      </c>
      <c r="G836">
        <v>1</v>
      </c>
      <c r="H836" t="s">
        <v>41</v>
      </c>
      <c r="I836">
        <v>1163</v>
      </c>
      <c r="J836">
        <v>2</v>
      </c>
      <c r="K836" t="s">
        <v>42</v>
      </c>
      <c r="L836">
        <v>70</v>
      </c>
      <c r="M836">
        <v>3</v>
      </c>
      <c r="N836">
        <v>2</v>
      </c>
      <c r="O836" t="s">
        <v>43</v>
      </c>
      <c r="P836">
        <v>3</v>
      </c>
      <c r="Q836" t="s">
        <v>56</v>
      </c>
      <c r="R836">
        <v>5714</v>
      </c>
      <c r="S836">
        <v>5829</v>
      </c>
      <c r="T836">
        <v>1</v>
      </c>
      <c r="U836" t="s">
        <v>51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  <c r="AG836" t="s">
        <v>67</v>
      </c>
      <c r="AH836" t="s">
        <v>81</v>
      </c>
      <c r="AI836">
        <v>0</v>
      </c>
      <c r="AJ836" t="s">
        <v>47</v>
      </c>
      <c r="AK836" t="s">
        <v>59</v>
      </c>
      <c r="AL836" t="s">
        <v>66</v>
      </c>
      <c r="AM836" t="s">
        <v>70</v>
      </c>
      <c r="AN836">
        <f t="shared" si="13"/>
        <v>3</v>
      </c>
    </row>
    <row r="837" spans="1:40">
      <c r="A837">
        <v>35</v>
      </c>
      <c r="B837" t="s">
        <v>51</v>
      </c>
      <c r="C837" t="s">
        <v>39</v>
      </c>
      <c r="D837">
        <v>528</v>
      </c>
      <c r="E837" t="s">
        <v>88</v>
      </c>
      <c r="F837">
        <v>8</v>
      </c>
      <c r="G837">
        <v>4</v>
      </c>
      <c r="H837" t="s">
        <v>86</v>
      </c>
      <c r="I837">
        <v>1164</v>
      </c>
      <c r="J837">
        <v>3</v>
      </c>
      <c r="K837" t="s">
        <v>54</v>
      </c>
      <c r="L837">
        <v>100</v>
      </c>
      <c r="M837">
        <v>3</v>
      </c>
      <c r="N837">
        <v>1</v>
      </c>
      <c r="O837" t="s">
        <v>88</v>
      </c>
      <c r="P837">
        <v>3</v>
      </c>
      <c r="Q837" t="s">
        <v>44</v>
      </c>
      <c r="R837">
        <v>4323</v>
      </c>
      <c r="S837">
        <v>7108</v>
      </c>
      <c r="T837">
        <v>1</v>
      </c>
      <c r="U837" t="s">
        <v>51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  <c r="AG837" t="s">
        <v>67</v>
      </c>
      <c r="AH837" t="s">
        <v>71</v>
      </c>
      <c r="AI837">
        <v>0</v>
      </c>
      <c r="AJ837" t="s">
        <v>47</v>
      </c>
      <c r="AK837" t="s">
        <v>68</v>
      </c>
      <c r="AL837" t="s">
        <v>66</v>
      </c>
      <c r="AM837" t="s">
        <v>50</v>
      </c>
      <c r="AN837">
        <f t="shared" si="13"/>
        <v>5</v>
      </c>
    </row>
    <row r="838" spans="1:40">
      <c r="A838">
        <v>29</v>
      </c>
      <c r="B838" t="s">
        <v>38</v>
      </c>
      <c r="C838" t="s">
        <v>39</v>
      </c>
      <c r="D838">
        <v>408</v>
      </c>
      <c r="E838" t="s">
        <v>40</v>
      </c>
      <c r="F838">
        <v>23</v>
      </c>
      <c r="G838">
        <v>1</v>
      </c>
      <c r="H838" t="s">
        <v>41</v>
      </c>
      <c r="I838">
        <v>1165</v>
      </c>
      <c r="J838">
        <v>4</v>
      </c>
      <c r="K838" t="s">
        <v>42</v>
      </c>
      <c r="L838">
        <v>45</v>
      </c>
      <c r="M838">
        <v>2</v>
      </c>
      <c r="N838">
        <v>3</v>
      </c>
      <c r="O838" t="s">
        <v>43</v>
      </c>
      <c r="P838">
        <v>1</v>
      </c>
      <c r="Q838" t="s">
        <v>56</v>
      </c>
      <c r="R838">
        <v>7336</v>
      </c>
      <c r="S838">
        <v>11162</v>
      </c>
      <c r="T838">
        <v>1</v>
      </c>
      <c r="U838" t="s">
        <v>51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  <c r="AG838" t="s">
        <v>67</v>
      </c>
      <c r="AH838" t="s">
        <v>46</v>
      </c>
      <c r="AI838">
        <v>1</v>
      </c>
      <c r="AJ838" t="s">
        <v>47</v>
      </c>
      <c r="AK838" t="s">
        <v>59</v>
      </c>
      <c r="AL838" t="s">
        <v>73</v>
      </c>
      <c r="AM838" t="s">
        <v>50</v>
      </c>
      <c r="AN838">
        <f t="shared" si="13"/>
        <v>13</v>
      </c>
    </row>
    <row r="839" spans="1:40">
      <c r="A839">
        <v>40</v>
      </c>
      <c r="B839" t="s">
        <v>51</v>
      </c>
      <c r="C839" t="s">
        <v>52</v>
      </c>
      <c r="D839">
        <v>593</v>
      </c>
      <c r="E839" t="s">
        <v>53</v>
      </c>
      <c r="F839">
        <v>9</v>
      </c>
      <c r="G839">
        <v>4</v>
      </c>
      <c r="H839" t="s">
        <v>69</v>
      </c>
      <c r="I839">
        <v>1166</v>
      </c>
      <c r="J839">
        <v>2</v>
      </c>
      <c r="K839" t="s">
        <v>42</v>
      </c>
      <c r="L839">
        <v>88</v>
      </c>
      <c r="M839">
        <v>3</v>
      </c>
      <c r="N839">
        <v>3</v>
      </c>
      <c r="O839" t="s">
        <v>83</v>
      </c>
      <c r="P839">
        <v>3</v>
      </c>
      <c r="Q839" t="s">
        <v>44</v>
      </c>
      <c r="R839">
        <v>13499</v>
      </c>
      <c r="S839">
        <v>13782</v>
      </c>
      <c r="T839">
        <v>9</v>
      </c>
      <c r="U839" t="s">
        <v>51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  <c r="AG839" t="s">
        <v>45</v>
      </c>
      <c r="AH839" t="s">
        <v>46</v>
      </c>
      <c r="AI839">
        <v>0</v>
      </c>
      <c r="AJ839" t="s">
        <v>47</v>
      </c>
      <c r="AK839" t="s">
        <v>68</v>
      </c>
      <c r="AL839" t="s">
        <v>66</v>
      </c>
      <c r="AM839" t="s">
        <v>70</v>
      </c>
      <c r="AN839">
        <f t="shared" si="13"/>
        <v>4</v>
      </c>
    </row>
    <row r="840" spans="1:40">
      <c r="A840">
        <v>42</v>
      </c>
      <c r="B840" t="s">
        <v>38</v>
      </c>
      <c r="C840" t="s">
        <v>52</v>
      </c>
      <c r="D840">
        <v>481</v>
      </c>
      <c r="E840" t="s">
        <v>40</v>
      </c>
      <c r="F840">
        <v>12</v>
      </c>
      <c r="G840">
        <v>3</v>
      </c>
      <c r="H840" t="s">
        <v>41</v>
      </c>
      <c r="I840">
        <v>1167</v>
      </c>
      <c r="J840">
        <v>3</v>
      </c>
      <c r="K840" t="s">
        <v>54</v>
      </c>
      <c r="L840">
        <v>44</v>
      </c>
      <c r="M840">
        <v>3</v>
      </c>
      <c r="N840">
        <v>4</v>
      </c>
      <c r="O840" t="s">
        <v>43</v>
      </c>
      <c r="P840">
        <v>1</v>
      </c>
      <c r="Q840" t="s">
        <v>44</v>
      </c>
      <c r="R840">
        <v>13758</v>
      </c>
      <c r="S840">
        <v>2447</v>
      </c>
      <c r="T840">
        <v>0</v>
      </c>
      <c r="U840" t="s">
        <v>38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  <c r="AG840" t="s">
        <v>45</v>
      </c>
      <c r="AH840" t="s">
        <v>64</v>
      </c>
      <c r="AI840">
        <v>1</v>
      </c>
      <c r="AJ840" t="s">
        <v>47</v>
      </c>
      <c r="AK840" t="s">
        <v>72</v>
      </c>
      <c r="AL840" t="s">
        <v>73</v>
      </c>
      <c r="AM840" t="s">
        <v>70</v>
      </c>
      <c r="AN840">
        <f t="shared" si="13"/>
        <v>21</v>
      </c>
    </row>
    <row r="841" spans="1:40">
      <c r="A841">
        <v>42</v>
      </c>
      <c r="B841" t="s">
        <v>51</v>
      </c>
      <c r="C841" t="s">
        <v>39</v>
      </c>
      <c r="D841">
        <v>647</v>
      </c>
      <c r="E841" t="s">
        <v>40</v>
      </c>
      <c r="F841">
        <v>4</v>
      </c>
      <c r="G841">
        <v>4</v>
      </c>
      <c r="H841" t="s">
        <v>84</v>
      </c>
      <c r="I841">
        <v>1171</v>
      </c>
      <c r="J841">
        <v>2</v>
      </c>
      <c r="K841" t="s">
        <v>54</v>
      </c>
      <c r="L841">
        <v>45</v>
      </c>
      <c r="M841">
        <v>3</v>
      </c>
      <c r="N841">
        <v>2</v>
      </c>
      <c r="O841" t="s">
        <v>43</v>
      </c>
      <c r="P841">
        <v>1</v>
      </c>
      <c r="Q841" t="s">
        <v>44</v>
      </c>
      <c r="R841">
        <v>5155</v>
      </c>
      <c r="S841">
        <v>2253</v>
      </c>
      <c r="T841">
        <v>7</v>
      </c>
      <c r="U841" t="s">
        <v>51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  <c r="AG841" t="s">
        <v>45</v>
      </c>
      <c r="AH841" t="s">
        <v>64</v>
      </c>
      <c r="AI841">
        <v>0</v>
      </c>
      <c r="AJ841" t="s">
        <v>58</v>
      </c>
      <c r="AK841" t="s">
        <v>68</v>
      </c>
      <c r="AL841" t="s">
        <v>73</v>
      </c>
      <c r="AM841" t="s">
        <v>85</v>
      </c>
      <c r="AN841">
        <f t="shared" si="13"/>
        <v>5</v>
      </c>
    </row>
    <row r="842" spans="1:40">
      <c r="A842">
        <v>35</v>
      </c>
      <c r="B842" t="s">
        <v>51</v>
      </c>
      <c r="C842" t="s">
        <v>39</v>
      </c>
      <c r="D842">
        <v>982</v>
      </c>
      <c r="E842" t="s">
        <v>53</v>
      </c>
      <c r="F842">
        <v>1</v>
      </c>
      <c r="G842">
        <v>4</v>
      </c>
      <c r="H842" t="s">
        <v>69</v>
      </c>
      <c r="I842">
        <v>1172</v>
      </c>
      <c r="J842">
        <v>4</v>
      </c>
      <c r="K842" t="s">
        <v>54</v>
      </c>
      <c r="L842">
        <v>58</v>
      </c>
      <c r="M842">
        <v>2</v>
      </c>
      <c r="N842">
        <v>1</v>
      </c>
      <c r="O842" t="s">
        <v>63</v>
      </c>
      <c r="P842">
        <v>3</v>
      </c>
      <c r="Q842" t="s">
        <v>56</v>
      </c>
      <c r="R842">
        <v>2258</v>
      </c>
      <c r="S842">
        <v>16340</v>
      </c>
      <c r="T842">
        <v>6</v>
      </c>
      <c r="U842" t="s">
        <v>51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  <c r="AG842" t="s">
        <v>67</v>
      </c>
      <c r="AH842" t="s">
        <v>46</v>
      </c>
      <c r="AI842">
        <v>0</v>
      </c>
      <c r="AJ842" t="s">
        <v>58</v>
      </c>
      <c r="AK842" t="s">
        <v>68</v>
      </c>
      <c r="AL842" t="s">
        <v>66</v>
      </c>
      <c r="AM842" t="s">
        <v>61</v>
      </c>
      <c r="AN842">
        <f t="shared" si="13"/>
        <v>1</v>
      </c>
    </row>
    <row r="843" spans="1:40">
      <c r="A843">
        <v>24</v>
      </c>
      <c r="B843" t="s">
        <v>51</v>
      </c>
      <c r="C843" t="s">
        <v>39</v>
      </c>
      <c r="D843">
        <v>477</v>
      </c>
      <c r="E843" t="s">
        <v>53</v>
      </c>
      <c r="F843">
        <v>24</v>
      </c>
      <c r="G843">
        <v>3</v>
      </c>
      <c r="H843" t="s">
        <v>69</v>
      </c>
      <c r="I843">
        <v>1173</v>
      </c>
      <c r="J843">
        <v>4</v>
      </c>
      <c r="K843" t="s">
        <v>54</v>
      </c>
      <c r="L843">
        <v>49</v>
      </c>
      <c r="M843">
        <v>3</v>
      </c>
      <c r="N843">
        <v>1</v>
      </c>
      <c r="O843" t="s">
        <v>63</v>
      </c>
      <c r="P843">
        <v>2</v>
      </c>
      <c r="Q843" t="s">
        <v>44</v>
      </c>
      <c r="R843">
        <v>3597</v>
      </c>
      <c r="S843">
        <v>6409</v>
      </c>
      <c r="T843">
        <v>8</v>
      </c>
      <c r="U843" t="s">
        <v>51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  <c r="AG843" t="s">
        <v>78</v>
      </c>
      <c r="AH843" t="s">
        <v>71</v>
      </c>
      <c r="AI843">
        <v>0</v>
      </c>
      <c r="AJ843" t="s">
        <v>65</v>
      </c>
      <c r="AK843" t="s">
        <v>72</v>
      </c>
      <c r="AL843" t="s">
        <v>60</v>
      </c>
      <c r="AM843" t="s">
        <v>61</v>
      </c>
      <c r="AN843">
        <f t="shared" si="13"/>
        <v>4</v>
      </c>
    </row>
    <row r="844" spans="1:40">
      <c r="A844">
        <v>28</v>
      </c>
      <c r="B844" t="s">
        <v>38</v>
      </c>
      <c r="C844" t="s">
        <v>39</v>
      </c>
      <c r="D844">
        <v>1485</v>
      </c>
      <c r="E844" t="s">
        <v>53</v>
      </c>
      <c r="F844">
        <v>12</v>
      </c>
      <c r="G844">
        <v>1</v>
      </c>
      <c r="H844" t="s">
        <v>41</v>
      </c>
      <c r="I844">
        <v>1175</v>
      </c>
      <c r="J844">
        <v>3</v>
      </c>
      <c r="K844" t="s">
        <v>42</v>
      </c>
      <c r="L844">
        <v>79</v>
      </c>
      <c r="M844">
        <v>3</v>
      </c>
      <c r="N844">
        <v>1</v>
      </c>
      <c r="O844" t="s">
        <v>63</v>
      </c>
      <c r="P844">
        <v>4</v>
      </c>
      <c r="Q844" t="s">
        <v>56</v>
      </c>
      <c r="R844">
        <v>2515</v>
      </c>
      <c r="S844">
        <v>22955</v>
      </c>
      <c r="T844">
        <v>1</v>
      </c>
      <c r="U844" t="s">
        <v>38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  <c r="AG844" t="s">
        <v>67</v>
      </c>
      <c r="AH844" t="s">
        <v>46</v>
      </c>
      <c r="AI844">
        <v>1</v>
      </c>
      <c r="AJ844" t="s">
        <v>47</v>
      </c>
      <c r="AK844" t="s">
        <v>59</v>
      </c>
      <c r="AL844" t="s">
        <v>49</v>
      </c>
      <c r="AM844" t="s">
        <v>70</v>
      </c>
      <c r="AN844">
        <f t="shared" si="13"/>
        <v>-1</v>
      </c>
    </row>
    <row r="845" spans="1:40">
      <c r="A845">
        <v>26</v>
      </c>
      <c r="B845" t="s">
        <v>51</v>
      </c>
      <c r="C845" t="s">
        <v>39</v>
      </c>
      <c r="D845">
        <v>1384</v>
      </c>
      <c r="E845" t="s">
        <v>53</v>
      </c>
      <c r="F845">
        <v>3</v>
      </c>
      <c r="G845">
        <v>4</v>
      </c>
      <c r="H845" t="s">
        <v>69</v>
      </c>
      <c r="I845">
        <v>1177</v>
      </c>
      <c r="J845">
        <v>1</v>
      </c>
      <c r="K845" t="s">
        <v>54</v>
      </c>
      <c r="L845">
        <v>82</v>
      </c>
      <c r="M845">
        <v>4</v>
      </c>
      <c r="N845">
        <v>1</v>
      </c>
      <c r="O845" t="s">
        <v>63</v>
      </c>
      <c r="P845">
        <v>4</v>
      </c>
      <c r="Q845" t="s">
        <v>56</v>
      </c>
      <c r="R845">
        <v>4420</v>
      </c>
      <c r="S845">
        <v>13421</v>
      </c>
      <c r="T845">
        <v>1</v>
      </c>
      <c r="U845" t="s">
        <v>51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  <c r="AG845" t="s">
        <v>67</v>
      </c>
      <c r="AH845" t="s">
        <v>46</v>
      </c>
      <c r="AI845">
        <v>0</v>
      </c>
      <c r="AJ845" t="s">
        <v>58</v>
      </c>
      <c r="AK845" t="s">
        <v>68</v>
      </c>
      <c r="AL845" t="s">
        <v>49</v>
      </c>
      <c r="AM845" t="s">
        <v>61</v>
      </c>
      <c r="AN845">
        <f t="shared" si="13"/>
        <v>-3</v>
      </c>
    </row>
    <row r="846" spans="1:40">
      <c r="A846">
        <v>30</v>
      </c>
      <c r="B846" t="s">
        <v>51</v>
      </c>
      <c r="C846" t="s">
        <v>39</v>
      </c>
      <c r="D846">
        <v>852</v>
      </c>
      <c r="E846" t="s">
        <v>40</v>
      </c>
      <c r="F846">
        <v>10</v>
      </c>
      <c r="G846">
        <v>3</v>
      </c>
      <c r="H846" t="s">
        <v>84</v>
      </c>
      <c r="I846">
        <v>1179</v>
      </c>
      <c r="J846">
        <v>3</v>
      </c>
      <c r="K846" t="s">
        <v>54</v>
      </c>
      <c r="L846">
        <v>72</v>
      </c>
      <c r="M846">
        <v>2</v>
      </c>
      <c r="N846">
        <v>2</v>
      </c>
      <c r="O846" t="s">
        <v>43</v>
      </c>
      <c r="P846">
        <v>3</v>
      </c>
      <c r="Q846" t="s">
        <v>56</v>
      </c>
      <c r="R846">
        <v>6578</v>
      </c>
      <c r="S846">
        <v>2706</v>
      </c>
      <c r="T846">
        <v>1</v>
      </c>
      <c r="U846" t="s">
        <v>51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  <c r="AG846" t="s">
        <v>67</v>
      </c>
      <c r="AH846" t="s">
        <v>64</v>
      </c>
      <c r="AI846">
        <v>0</v>
      </c>
      <c r="AJ846" t="s">
        <v>58</v>
      </c>
      <c r="AK846" t="s">
        <v>72</v>
      </c>
      <c r="AL846" t="s">
        <v>66</v>
      </c>
      <c r="AM846" t="s">
        <v>61</v>
      </c>
      <c r="AN846">
        <f t="shared" si="13"/>
        <v>1</v>
      </c>
    </row>
    <row r="847" spans="1:40">
      <c r="A847">
        <v>40</v>
      </c>
      <c r="B847" t="s">
        <v>51</v>
      </c>
      <c r="C847" t="s">
        <v>52</v>
      </c>
      <c r="D847">
        <v>902</v>
      </c>
      <c r="E847" t="s">
        <v>53</v>
      </c>
      <c r="F847">
        <v>26</v>
      </c>
      <c r="G847">
        <v>2</v>
      </c>
      <c r="H847" t="s">
        <v>69</v>
      </c>
      <c r="I847">
        <v>1180</v>
      </c>
      <c r="J847">
        <v>3</v>
      </c>
      <c r="K847" t="s">
        <v>42</v>
      </c>
      <c r="L847">
        <v>92</v>
      </c>
      <c r="M847">
        <v>2</v>
      </c>
      <c r="N847">
        <v>2</v>
      </c>
      <c r="O847" t="s">
        <v>55</v>
      </c>
      <c r="P847">
        <v>4</v>
      </c>
      <c r="Q847" t="s">
        <v>56</v>
      </c>
      <c r="R847">
        <v>4422</v>
      </c>
      <c r="S847">
        <v>21203</v>
      </c>
      <c r="T847">
        <v>3</v>
      </c>
      <c r="U847" t="s">
        <v>38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  <c r="AG847" t="s">
        <v>45</v>
      </c>
      <c r="AH847" t="s">
        <v>46</v>
      </c>
      <c r="AI847">
        <v>0</v>
      </c>
      <c r="AJ847" t="s">
        <v>47</v>
      </c>
      <c r="AK847" t="s">
        <v>48</v>
      </c>
      <c r="AL847" t="s">
        <v>49</v>
      </c>
      <c r="AM847" t="s">
        <v>50</v>
      </c>
      <c r="AN847">
        <f t="shared" si="13"/>
        <v>1</v>
      </c>
    </row>
    <row r="848" spans="1:40">
      <c r="A848">
        <v>35</v>
      </c>
      <c r="B848" t="s">
        <v>51</v>
      </c>
      <c r="C848" t="s">
        <v>39</v>
      </c>
      <c r="D848">
        <v>819</v>
      </c>
      <c r="E848" t="s">
        <v>53</v>
      </c>
      <c r="F848">
        <v>2</v>
      </c>
      <c r="G848">
        <v>3</v>
      </c>
      <c r="H848" t="s">
        <v>41</v>
      </c>
      <c r="I848">
        <v>1182</v>
      </c>
      <c r="J848">
        <v>3</v>
      </c>
      <c r="K848" t="s">
        <v>54</v>
      </c>
      <c r="L848">
        <v>44</v>
      </c>
      <c r="M848">
        <v>2</v>
      </c>
      <c r="N848">
        <v>3</v>
      </c>
      <c r="O848" t="s">
        <v>75</v>
      </c>
      <c r="P848">
        <v>2</v>
      </c>
      <c r="Q848" t="s">
        <v>74</v>
      </c>
      <c r="R848">
        <v>10274</v>
      </c>
      <c r="S848">
        <v>19588</v>
      </c>
      <c r="T848">
        <v>2</v>
      </c>
      <c r="U848" t="s">
        <v>51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  <c r="AG848" t="s">
        <v>67</v>
      </c>
      <c r="AH848" t="s">
        <v>46</v>
      </c>
      <c r="AI848">
        <v>0</v>
      </c>
      <c r="AJ848" t="s">
        <v>58</v>
      </c>
      <c r="AK848" t="s">
        <v>72</v>
      </c>
      <c r="AL848" t="s">
        <v>60</v>
      </c>
      <c r="AM848" t="s">
        <v>85</v>
      </c>
      <c r="AN848">
        <f t="shared" si="13"/>
        <v>7</v>
      </c>
    </row>
    <row r="849" spans="1:40">
      <c r="A849">
        <v>34</v>
      </c>
      <c r="B849" t="s">
        <v>51</v>
      </c>
      <c r="C849" t="s">
        <v>52</v>
      </c>
      <c r="D849">
        <v>669</v>
      </c>
      <c r="E849" t="s">
        <v>53</v>
      </c>
      <c r="F849">
        <v>1</v>
      </c>
      <c r="G849">
        <v>3</v>
      </c>
      <c r="H849" t="s">
        <v>69</v>
      </c>
      <c r="I849">
        <v>1184</v>
      </c>
      <c r="J849">
        <v>4</v>
      </c>
      <c r="K849" t="s">
        <v>54</v>
      </c>
      <c r="L849">
        <v>97</v>
      </c>
      <c r="M849">
        <v>2</v>
      </c>
      <c r="N849">
        <v>2</v>
      </c>
      <c r="O849" t="s">
        <v>76</v>
      </c>
      <c r="P849">
        <v>1</v>
      </c>
      <c r="Q849" t="s">
        <v>44</v>
      </c>
      <c r="R849">
        <v>5343</v>
      </c>
      <c r="S849">
        <v>25755</v>
      </c>
      <c r="T849">
        <v>0</v>
      </c>
      <c r="U849" t="s">
        <v>51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  <c r="AG849" t="s">
        <v>67</v>
      </c>
      <c r="AH849" t="s">
        <v>46</v>
      </c>
      <c r="AI849">
        <v>0</v>
      </c>
      <c r="AJ849" t="s">
        <v>80</v>
      </c>
      <c r="AK849" t="s">
        <v>72</v>
      </c>
      <c r="AL849" t="s">
        <v>73</v>
      </c>
      <c r="AM849" t="s">
        <v>61</v>
      </c>
      <c r="AN849">
        <f t="shared" si="13"/>
        <v>10</v>
      </c>
    </row>
    <row r="850" spans="1:40">
      <c r="A850">
        <v>35</v>
      </c>
      <c r="B850" t="s">
        <v>51</v>
      </c>
      <c r="C850" t="s">
        <v>52</v>
      </c>
      <c r="D850">
        <v>636</v>
      </c>
      <c r="E850" t="s">
        <v>53</v>
      </c>
      <c r="F850">
        <v>4</v>
      </c>
      <c r="G850">
        <v>4</v>
      </c>
      <c r="H850" t="s">
        <v>62</v>
      </c>
      <c r="I850">
        <v>1185</v>
      </c>
      <c r="J850">
        <v>4</v>
      </c>
      <c r="K850" t="s">
        <v>54</v>
      </c>
      <c r="L850">
        <v>47</v>
      </c>
      <c r="M850">
        <v>2</v>
      </c>
      <c r="N850">
        <v>1</v>
      </c>
      <c r="O850" t="s">
        <v>63</v>
      </c>
      <c r="P850">
        <v>4</v>
      </c>
      <c r="Q850" t="s">
        <v>56</v>
      </c>
      <c r="R850">
        <v>2376</v>
      </c>
      <c r="S850">
        <v>26537</v>
      </c>
      <c r="T850">
        <v>1</v>
      </c>
      <c r="U850" t="s">
        <v>51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  <c r="AG850" t="s">
        <v>67</v>
      </c>
      <c r="AH850" t="s">
        <v>46</v>
      </c>
      <c r="AI850">
        <v>0</v>
      </c>
      <c r="AJ850" t="s">
        <v>65</v>
      </c>
      <c r="AK850" t="s">
        <v>68</v>
      </c>
      <c r="AL850" t="s">
        <v>49</v>
      </c>
      <c r="AM850" t="s">
        <v>85</v>
      </c>
      <c r="AN850">
        <f t="shared" si="13"/>
        <v>-3</v>
      </c>
    </row>
    <row r="851" spans="1:40">
      <c r="A851">
        <v>43</v>
      </c>
      <c r="B851" t="s">
        <v>38</v>
      </c>
      <c r="C851" t="s">
        <v>39</v>
      </c>
      <c r="D851">
        <v>1372</v>
      </c>
      <c r="E851" t="s">
        <v>40</v>
      </c>
      <c r="F851">
        <v>9</v>
      </c>
      <c r="G851">
        <v>3</v>
      </c>
      <c r="H851" t="s">
        <v>84</v>
      </c>
      <c r="I851">
        <v>1188</v>
      </c>
      <c r="J851">
        <v>1</v>
      </c>
      <c r="K851" t="s">
        <v>42</v>
      </c>
      <c r="L851">
        <v>85</v>
      </c>
      <c r="M851">
        <v>1</v>
      </c>
      <c r="N851">
        <v>2</v>
      </c>
      <c r="O851" t="s">
        <v>43</v>
      </c>
      <c r="P851">
        <v>3</v>
      </c>
      <c r="Q851" t="s">
        <v>44</v>
      </c>
      <c r="R851">
        <v>5346</v>
      </c>
      <c r="S851">
        <v>9489</v>
      </c>
      <c r="T851">
        <v>8</v>
      </c>
      <c r="U851" t="s">
        <v>51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  <c r="AG851" t="s">
        <v>45</v>
      </c>
      <c r="AH851" t="s">
        <v>71</v>
      </c>
      <c r="AI851">
        <v>1</v>
      </c>
      <c r="AJ851" t="s">
        <v>47</v>
      </c>
      <c r="AK851" t="s">
        <v>72</v>
      </c>
      <c r="AL851" t="s">
        <v>66</v>
      </c>
      <c r="AM851" t="s">
        <v>70</v>
      </c>
      <c r="AN851">
        <f t="shared" si="13"/>
        <v>3</v>
      </c>
    </row>
    <row r="852" spans="1:40">
      <c r="A852">
        <v>32</v>
      </c>
      <c r="B852" t="s">
        <v>51</v>
      </c>
      <c r="C852" t="s">
        <v>77</v>
      </c>
      <c r="D852">
        <v>862</v>
      </c>
      <c r="E852" t="s">
        <v>40</v>
      </c>
      <c r="F852">
        <v>2</v>
      </c>
      <c r="G852">
        <v>1</v>
      </c>
      <c r="H852" t="s">
        <v>41</v>
      </c>
      <c r="I852">
        <v>1190</v>
      </c>
      <c r="J852">
        <v>3</v>
      </c>
      <c r="K852" t="s">
        <v>42</v>
      </c>
      <c r="L852">
        <v>76</v>
      </c>
      <c r="M852">
        <v>3</v>
      </c>
      <c r="N852">
        <v>1</v>
      </c>
      <c r="O852" t="s">
        <v>82</v>
      </c>
      <c r="P852">
        <v>1</v>
      </c>
      <c r="Q852" t="s">
        <v>74</v>
      </c>
      <c r="R852">
        <v>2827</v>
      </c>
      <c r="S852">
        <v>14947</v>
      </c>
      <c r="T852">
        <v>1</v>
      </c>
      <c r="U852" t="s">
        <v>51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  <c r="AG852" t="s">
        <v>67</v>
      </c>
      <c r="AH852" t="s">
        <v>46</v>
      </c>
      <c r="AI852">
        <v>0</v>
      </c>
      <c r="AJ852" t="s">
        <v>65</v>
      </c>
      <c r="AK852" t="s">
        <v>59</v>
      </c>
      <c r="AL852" t="s">
        <v>73</v>
      </c>
      <c r="AM852" t="s">
        <v>61</v>
      </c>
      <c r="AN852">
        <f t="shared" si="13"/>
        <v>6</v>
      </c>
    </row>
    <row r="853" spans="1:40">
      <c r="A853">
        <v>56</v>
      </c>
      <c r="B853" t="s">
        <v>51</v>
      </c>
      <c r="C853" t="s">
        <v>39</v>
      </c>
      <c r="D853">
        <v>718</v>
      </c>
      <c r="E853" t="s">
        <v>53</v>
      </c>
      <c r="F853">
        <v>4</v>
      </c>
      <c r="G853">
        <v>4</v>
      </c>
      <c r="H853" t="s">
        <v>86</v>
      </c>
      <c r="I853">
        <v>1191</v>
      </c>
      <c r="J853">
        <v>4</v>
      </c>
      <c r="K853" t="s">
        <v>42</v>
      </c>
      <c r="L853">
        <v>92</v>
      </c>
      <c r="M853">
        <v>3</v>
      </c>
      <c r="N853">
        <v>5</v>
      </c>
      <c r="O853" t="s">
        <v>79</v>
      </c>
      <c r="P853">
        <v>1</v>
      </c>
      <c r="Q853" t="s">
        <v>74</v>
      </c>
      <c r="R853">
        <v>19943</v>
      </c>
      <c r="S853">
        <v>18575</v>
      </c>
      <c r="T853">
        <v>4</v>
      </c>
      <c r="U853" t="s">
        <v>51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  <c r="AG853" t="s">
        <v>57</v>
      </c>
      <c r="AH853" t="s">
        <v>46</v>
      </c>
      <c r="AI853">
        <v>0</v>
      </c>
      <c r="AJ853" t="s">
        <v>65</v>
      </c>
      <c r="AK853" t="s">
        <v>68</v>
      </c>
      <c r="AL853" t="s">
        <v>73</v>
      </c>
      <c r="AM853" t="s">
        <v>61</v>
      </c>
      <c r="AN853">
        <f t="shared" si="13"/>
        <v>10</v>
      </c>
    </row>
    <row r="854" spans="1:40">
      <c r="A854">
        <v>29</v>
      </c>
      <c r="B854" t="s">
        <v>51</v>
      </c>
      <c r="C854" t="s">
        <v>39</v>
      </c>
      <c r="D854">
        <v>1401</v>
      </c>
      <c r="E854" t="s">
        <v>53</v>
      </c>
      <c r="F854">
        <v>6</v>
      </c>
      <c r="G854">
        <v>1</v>
      </c>
      <c r="H854" t="s">
        <v>69</v>
      </c>
      <c r="I854">
        <v>1192</v>
      </c>
      <c r="J854">
        <v>2</v>
      </c>
      <c r="K854" t="s">
        <v>42</v>
      </c>
      <c r="L854">
        <v>54</v>
      </c>
      <c r="M854">
        <v>3</v>
      </c>
      <c r="N854">
        <v>1</v>
      </c>
      <c r="O854" t="s">
        <v>63</v>
      </c>
      <c r="P854">
        <v>4</v>
      </c>
      <c r="Q854" t="s">
        <v>56</v>
      </c>
      <c r="R854">
        <v>3131</v>
      </c>
      <c r="S854">
        <v>26342</v>
      </c>
      <c r="T854">
        <v>1</v>
      </c>
      <c r="U854" t="s">
        <v>51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  <c r="AG854" t="s">
        <v>67</v>
      </c>
      <c r="AH854" t="s">
        <v>46</v>
      </c>
      <c r="AI854">
        <v>0</v>
      </c>
      <c r="AJ854" t="s">
        <v>58</v>
      </c>
      <c r="AK854" t="s">
        <v>59</v>
      </c>
      <c r="AL854" t="s">
        <v>49</v>
      </c>
      <c r="AM854" t="s">
        <v>61</v>
      </c>
      <c r="AN854">
        <f t="shared" si="13"/>
        <v>-3</v>
      </c>
    </row>
    <row r="855" spans="1:40">
      <c r="A855">
        <v>19</v>
      </c>
      <c r="B855" t="s">
        <v>51</v>
      </c>
      <c r="C855" t="s">
        <v>39</v>
      </c>
      <c r="D855">
        <v>645</v>
      </c>
      <c r="E855" t="s">
        <v>53</v>
      </c>
      <c r="F855">
        <v>9</v>
      </c>
      <c r="G855">
        <v>2</v>
      </c>
      <c r="H855" t="s">
        <v>41</v>
      </c>
      <c r="I855">
        <v>1193</v>
      </c>
      <c r="J855">
        <v>3</v>
      </c>
      <c r="K855" t="s">
        <v>54</v>
      </c>
      <c r="L855">
        <v>54</v>
      </c>
      <c r="M855">
        <v>3</v>
      </c>
      <c r="N855">
        <v>1</v>
      </c>
      <c r="O855" t="s">
        <v>55</v>
      </c>
      <c r="P855">
        <v>1</v>
      </c>
      <c r="Q855" t="s">
        <v>44</v>
      </c>
      <c r="R855">
        <v>2552</v>
      </c>
      <c r="S855">
        <v>7172</v>
      </c>
      <c r="T855">
        <v>1</v>
      </c>
      <c r="U855" t="s">
        <v>51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  <c r="AG855" t="s">
        <v>78</v>
      </c>
      <c r="AH855" t="s">
        <v>71</v>
      </c>
      <c r="AI855">
        <v>0</v>
      </c>
      <c r="AJ855" t="s">
        <v>65</v>
      </c>
      <c r="AK855" t="s">
        <v>48</v>
      </c>
      <c r="AL855" t="s">
        <v>73</v>
      </c>
      <c r="AM855" t="s">
        <v>61</v>
      </c>
      <c r="AN855">
        <f t="shared" si="13"/>
        <v>6</v>
      </c>
    </row>
    <row r="856" spans="1:40">
      <c r="A856">
        <v>45</v>
      </c>
      <c r="B856" t="s">
        <v>51</v>
      </c>
      <c r="C856" t="s">
        <v>39</v>
      </c>
      <c r="D856">
        <v>1457</v>
      </c>
      <c r="E856" t="s">
        <v>53</v>
      </c>
      <c r="F856">
        <v>7</v>
      </c>
      <c r="G856">
        <v>3</v>
      </c>
      <c r="H856" t="s">
        <v>69</v>
      </c>
      <c r="I856">
        <v>1195</v>
      </c>
      <c r="J856">
        <v>1</v>
      </c>
      <c r="K856" t="s">
        <v>42</v>
      </c>
      <c r="L856">
        <v>83</v>
      </c>
      <c r="M856">
        <v>3</v>
      </c>
      <c r="N856">
        <v>1</v>
      </c>
      <c r="O856" t="s">
        <v>55</v>
      </c>
      <c r="P856">
        <v>3</v>
      </c>
      <c r="Q856" t="s">
        <v>56</v>
      </c>
      <c r="R856">
        <v>4477</v>
      </c>
      <c r="S856">
        <v>20100</v>
      </c>
      <c r="T856">
        <v>4</v>
      </c>
      <c r="U856" t="s">
        <v>38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  <c r="AG856" t="s">
        <v>45</v>
      </c>
      <c r="AH856" t="s">
        <v>46</v>
      </c>
      <c r="AI856">
        <v>0</v>
      </c>
      <c r="AJ856" t="s">
        <v>47</v>
      </c>
      <c r="AK856" t="s">
        <v>72</v>
      </c>
      <c r="AL856" t="s">
        <v>66</v>
      </c>
      <c r="AM856" t="s">
        <v>70</v>
      </c>
      <c r="AN856">
        <f t="shared" si="13"/>
        <v>2</v>
      </c>
    </row>
    <row r="857" spans="1:40">
      <c r="A857">
        <v>37</v>
      </c>
      <c r="B857" t="s">
        <v>51</v>
      </c>
      <c r="C857" t="s">
        <v>39</v>
      </c>
      <c r="D857">
        <v>977</v>
      </c>
      <c r="E857" t="s">
        <v>53</v>
      </c>
      <c r="F857">
        <v>1</v>
      </c>
      <c r="G857">
        <v>3</v>
      </c>
      <c r="H857" t="s">
        <v>41</v>
      </c>
      <c r="I857">
        <v>1196</v>
      </c>
      <c r="J857">
        <v>4</v>
      </c>
      <c r="K857" t="s">
        <v>42</v>
      </c>
      <c r="L857">
        <v>56</v>
      </c>
      <c r="M857">
        <v>2</v>
      </c>
      <c r="N857">
        <v>2</v>
      </c>
      <c r="O857" t="s">
        <v>75</v>
      </c>
      <c r="P857">
        <v>4</v>
      </c>
      <c r="Q857" t="s">
        <v>56</v>
      </c>
      <c r="R857">
        <v>6474</v>
      </c>
      <c r="S857">
        <v>9961</v>
      </c>
      <c r="T857">
        <v>1</v>
      </c>
      <c r="U857" t="s">
        <v>51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  <c r="AG857" t="s">
        <v>45</v>
      </c>
      <c r="AH857" t="s">
        <v>71</v>
      </c>
      <c r="AI857">
        <v>0</v>
      </c>
      <c r="AJ857" t="s">
        <v>47</v>
      </c>
      <c r="AK857" t="s">
        <v>72</v>
      </c>
      <c r="AL857" t="s">
        <v>49</v>
      </c>
      <c r="AM857" t="s">
        <v>70</v>
      </c>
      <c r="AN857">
        <f t="shared" si="13"/>
        <v>2</v>
      </c>
    </row>
    <row r="858" spans="1:40">
      <c r="A858">
        <v>20</v>
      </c>
      <c r="B858" t="s">
        <v>51</v>
      </c>
      <c r="C858" t="s">
        <v>39</v>
      </c>
      <c r="D858">
        <v>805</v>
      </c>
      <c r="E858" t="s">
        <v>53</v>
      </c>
      <c r="F858">
        <v>3</v>
      </c>
      <c r="G858">
        <v>3</v>
      </c>
      <c r="H858" t="s">
        <v>41</v>
      </c>
      <c r="I858">
        <v>1198</v>
      </c>
      <c r="J858">
        <v>1</v>
      </c>
      <c r="K858" t="s">
        <v>54</v>
      </c>
      <c r="L858">
        <v>87</v>
      </c>
      <c r="M858">
        <v>2</v>
      </c>
      <c r="N858">
        <v>1</v>
      </c>
      <c r="O858" t="s">
        <v>63</v>
      </c>
      <c r="P858">
        <v>3</v>
      </c>
      <c r="Q858" t="s">
        <v>44</v>
      </c>
      <c r="R858">
        <v>3033</v>
      </c>
      <c r="S858">
        <v>12828</v>
      </c>
      <c r="T858">
        <v>1</v>
      </c>
      <c r="U858" t="s">
        <v>51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  <c r="AG858" t="s">
        <v>78</v>
      </c>
      <c r="AH858" t="s">
        <v>46</v>
      </c>
      <c r="AI858">
        <v>0</v>
      </c>
      <c r="AJ858" t="s">
        <v>47</v>
      </c>
      <c r="AK858" t="s">
        <v>72</v>
      </c>
      <c r="AL858" t="s">
        <v>66</v>
      </c>
      <c r="AM858" t="s">
        <v>70</v>
      </c>
      <c r="AN858">
        <f t="shared" si="13"/>
        <v>3</v>
      </c>
    </row>
    <row r="859" spans="1:40">
      <c r="A859">
        <v>44</v>
      </c>
      <c r="B859" t="s">
        <v>38</v>
      </c>
      <c r="C859" t="s">
        <v>39</v>
      </c>
      <c r="D859">
        <v>1097</v>
      </c>
      <c r="E859" t="s">
        <v>53</v>
      </c>
      <c r="F859">
        <v>10</v>
      </c>
      <c r="G859">
        <v>4</v>
      </c>
      <c r="H859" t="s">
        <v>41</v>
      </c>
      <c r="I859">
        <v>1200</v>
      </c>
      <c r="J859">
        <v>3</v>
      </c>
      <c r="K859" t="s">
        <v>54</v>
      </c>
      <c r="L859">
        <v>96</v>
      </c>
      <c r="M859">
        <v>3</v>
      </c>
      <c r="N859">
        <v>1</v>
      </c>
      <c r="O859" t="s">
        <v>55</v>
      </c>
      <c r="P859">
        <v>3</v>
      </c>
      <c r="Q859" t="s">
        <v>44</v>
      </c>
      <c r="R859">
        <v>2936</v>
      </c>
      <c r="S859">
        <v>10826</v>
      </c>
      <c r="T859">
        <v>1</v>
      </c>
      <c r="U859" t="s">
        <v>38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  <c r="AG859" t="s">
        <v>45</v>
      </c>
      <c r="AH859" t="s">
        <v>46</v>
      </c>
      <c r="AI859">
        <v>1</v>
      </c>
      <c r="AJ859" t="s">
        <v>58</v>
      </c>
      <c r="AK859" t="s">
        <v>68</v>
      </c>
      <c r="AL859" t="s">
        <v>66</v>
      </c>
      <c r="AM859" t="s">
        <v>61</v>
      </c>
      <c r="AN859">
        <f t="shared" si="13"/>
        <v>0</v>
      </c>
    </row>
    <row r="860" spans="1:40">
      <c r="A860">
        <v>53</v>
      </c>
      <c r="B860" t="s">
        <v>51</v>
      </c>
      <c r="C860" t="s">
        <v>39</v>
      </c>
      <c r="D860">
        <v>1223</v>
      </c>
      <c r="E860" t="s">
        <v>53</v>
      </c>
      <c r="F860">
        <v>7</v>
      </c>
      <c r="G860">
        <v>2</v>
      </c>
      <c r="H860" t="s">
        <v>69</v>
      </c>
      <c r="I860">
        <v>1201</v>
      </c>
      <c r="J860">
        <v>4</v>
      </c>
      <c r="K860" t="s">
        <v>42</v>
      </c>
      <c r="L860">
        <v>50</v>
      </c>
      <c r="M860">
        <v>3</v>
      </c>
      <c r="N860">
        <v>5</v>
      </c>
      <c r="O860" t="s">
        <v>79</v>
      </c>
      <c r="P860">
        <v>3</v>
      </c>
      <c r="Q860" t="s">
        <v>74</v>
      </c>
      <c r="R860">
        <v>18606</v>
      </c>
      <c r="S860">
        <v>18640</v>
      </c>
      <c r="T860">
        <v>3</v>
      </c>
      <c r="U860" t="s">
        <v>51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  <c r="AG860" t="s">
        <v>57</v>
      </c>
      <c r="AH860" t="s">
        <v>46</v>
      </c>
      <c r="AI860">
        <v>0</v>
      </c>
      <c r="AJ860" t="s">
        <v>58</v>
      </c>
      <c r="AK860" t="s">
        <v>48</v>
      </c>
      <c r="AL860" t="s">
        <v>66</v>
      </c>
      <c r="AM860" t="s">
        <v>61</v>
      </c>
      <c r="AN860">
        <f t="shared" si="13"/>
        <v>4</v>
      </c>
    </row>
    <row r="861" spans="1:40">
      <c r="A861">
        <v>29</v>
      </c>
      <c r="B861" t="s">
        <v>51</v>
      </c>
      <c r="C861" t="s">
        <v>39</v>
      </c>
      <c r="D861">
        <v>942</v>
      </c>
      <c r="E861" t="s">
        <v>53</v>
      </c>
      <c r="F861">
        <v>15</v>
      </c>
      <c r="G861">
        <v>1</v>
      </c>
      <c r="H861" t="s">
        <v>41</v>
      </c>
      <c r="I861">
        <v>1202</v>
      </c>
      <c r="J861">
        <v>2</v>
      </c>
      <c r="K861" t="s">
        <v>42</v>
      </c>
      <c r="L861">
        <v>69</v>
      </c>
      <c r="M861">
        <v>1</v>
      </c>
      <c r="N861">
        <v>1</v>
      </c>
      <c r="O861" t="s">
        <v>55</v>
      </c>
      <c r="P861">
        <v>4</v>
      </c>
      <c r="Q861" t="s">
        <v>56</v>
      </c>
      <c r="R861">
        <v>2168</v>
      </c>
      <c r="S861">
        <v>26933</v>
      </c>
      <c r="T861">
        <v>0</v>
      </c>
      <c r="U861" t="s">
        <v>38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  <c r="AG861" t="s">
        <v>67</v>
      </c>
      <c r="AH861" t="s">
        <v>46</v>
      </c>
      <c r="AI861">
        <v>0</v>
      </c>
      <c r="AJ861" t="s">
        <v>47</v>
      </c>
      <c r="AK861" t="s">
        <v>59</v>
      </c>
      <c r="AL861" t="s">
        <v>49</v>
      </c>
      <c r="AM861" t="s">
        <v>70</v>
      </c>
      <c r="AN861">
        <f t="shared" si="13"/>
        <v>0</v>
      </c>
    </row>
    <row r="862" spans="1:40">
      <c r="A862">
        <v>22</v>
      </c>
      <c r="B862" t="s">
        <v>38</v>
      </c>
      <c r="C862" t="s">
        <v>52</v>
      </c>
      <c r="D862">
        <v>1256</v>
      </c>
      <c r="E862" t="s">
        <v>53</v>
      </c>
      <c r="F862">
        <v>3</v>
      </c>
      <c r="G862">
        <v>4</v>
      </c>
      <c r="H862" t="s">
        <v>41</v>
      </c>
      <c r="I862">
        <v>1203</v>
      </c>
      <c r="J862">
        <v>3</v>
      </c>
      <c r="K862" t="s">
        <v>54</v>
      </c>
      <c r="L862">
        <v>48</v>
      </c>
      <c r="M862">
        <v>2</v>
      </c>
      <c r="N862">
        <v>1</v>
      </c>
      <c r="O862" t="s">
        <v>55</v>
      </c>
      <c r="P862">
        <v>4</v>
      </c>
      <c r="Q862" t="s">
        <v>56</v>
      </c>
      <c r="R862">
        <v>2853</v>
      </c>
      <c r="S862">
        <v>4223</v>
      </c>
      <c r="T862">
        <v>0</v>
      </c>
      <c r="U862" t="s">
        <v>38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  <c r="AG862" t="s">
        <v>78</v>
      </c>
      <c r="AH862" t="s">
        <v>81</v>
      </c>
      <c r="AI862">
        <v>1</v>
      </c>
      <c r="AJ862" t="s">
        <v>65</v>
      </c>
      <c r="AK862" t="s">
        <v>68</v>
      </c>
      <c r="AL862" t="s">
        <v>49</v>
      </c>
      <c r="AM862" t="s">
        <v>61</v>
      </c>
      <c r="AN862">
        <f t="shared" si="13"/>
        <v>-3</v>
      </c>
    </row>
    <row r="863" spans="1:40">
      <c r="A863">
        <v>46</v>
      </c>
      <c r="B863" t="s">
        <v>51</v>
      </c>
      <c r="C863" t="s">
        <v>39</v>
      </c>
      <c r="D863">
        <v>1402</v>
      </c>
      <c r="E863" t="s">
        <v>40</v>
      </c>
      <c r="F863">
        <v>2</v>
      </c>
      <c r="G863">
        <v>3</v>
      </c>
      <c r="H863" t="s">
        <v>84</v>
      </c>
      <c r="I863">
        <v>1204</v>
      </c>
      <c r="J863">
        <v>3</v>
      </c>
      <c r="K863" t="s">
        <v>42</v>
      </c>
      <c r="L863">
        <v>69</v>
      </c>
      <c r="M863">
        <v>3</v>
      </c>
      <c r="N863">
        <v>4</v>
      </c>
      <c r="O863" t="s">
        <v>79</v>
      </c>
      <c r="P863">
        <v>1</v>
      </c>
      <c r="Q863" t="s">
        <v>56</v>
      </c>
      <c r="R863">
        <v>17048</v>
      </c>
      <c r="S863">
        <v>24097</v>
      </c>
      <c r="T863">
        <v>8</v>
      </c>
      <c r="U863" t="s">
        <v>51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  <c r="AG863" t="s">
        <v>57</v>
      </c>
      <c r="AH863" t="s">
        <v>46</v>
      </c>
      <c r="AI863">
        <v>0</v>
      </c>
      <c r="AJ863" t="s">
        <v>80</v>
      </c>
      <c r="AK863" t="s">
        <v>72</v>
      </c>
      <c r="AL863" t="s">
        <v>73</v>
      </c>
      <c r="AM863" t="s">
        <v>61</v>
      </c>
      <c r="AN863">
        <f t="shared" si="13"/>
        <v>21</v>
      </c>
    </row>
    <row r="864" spans="1:40">
      <c r="A864">
        <v>44</v>
      </c>
      <c r="B864" t="s">
        <v>51</v>
      </c>
      <c r="C864" t="s">
        <v>77</v>
      </c>
      <c r="D864">
        <v>111</v>
      </c>
      <c r="E864" t="s">
        <v>53</v>
      </c>
      <c r="F864">
        <v>17</v>
      </c>
      <c r="G864">
        <v>3</v>
      </c>
      <c r="H864" t="s">
        <v>41</v>
      </c>
      <c r="I864">
        <v>1206</v>
      </c>
      <c r="J864">
        <v>4</v>
      </c>
      <c r="K864" t="s">
        <v>54</v>
      </c>
      <c r="L864">
        <v>74</v>
      </c>
      <c r="M864">
        <v>1</v>
      </c>
      <c r="N864">
        <v>1</v>
      </c>
      <c r="O864" t="s">
        <v>55</v>
      </c>
      <c r="P864">
        <v>3</v>
      </c>
      <c r="Q864" t="s">
        <v>44</v>
      </c>
      <c r="R864">
        <v>2290</v>
      </c>
      <c r="S864">
        <v>4279</v>
      </c>
      <c r="T864">
        <v>2</v>
      </c>
      <c r="U864" t="s">
        <v>51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  <c r="AG864" t="s">
        <v>45</v>
      </c>
      <c r="AH864" t="s">
        <v>81</v>
      </c>
      <c r="AI864">
        <v>0</v>
      </c>
      <c r="AJ864" t="s">
        <v>65</v>
      </c>
      <c r="AK864" t="s">
        <v>72</v>
      </c>
      <c r="AL864" t="s">
        <v>66</v>
      </c>
      <c r="AM864" t="s">
        <v>61</v>
      </c>
      <c r="AN864">
        <f t="shared" si="13"/>
        <v>0</v>
      </c>
    </row>
    <row r="865" spans="1:40">
      <c r="A865">
        <v>33</v>
      </c>
      <c r="B865" t="s">
        <v>51</v>
      </c>
      <c r="C865" t="s">
        <v>39</v>
      </c>
      <c r="D865">
        <v>147</v>
      </c>
      <c r="E865" t="s">
        <v>88</v>
      </c>
      <c r="F865">
        <v>2</v>
      </c>
      <c r="G865">
        <v>3</v>
      </c>
      <c r="H865" t="s">
        <v>88</v>
      </c>
      <c r="I865">
        <v>1207</v>
      </c>
      <c r="J865">
        <v>2</v>
      </c>
      <c r="K865" t="s">
        <v>54</v>
      </c>
      <c r="L865">
        <v>99</v>
      </c>
      <c r="M865">
        <v>3</v>
      </c>
      <c r="N865">
        <v>1</v>
      </c>
      <c r="O865" t="s">
        <v>88</v>
      </c>
      <c r="P865">
        <v>3</v>
      </c>
      <c r="Q865" t="s">
        <v>56</v>
      </c>
      <c r="R865">
        <v>3600</v>
      </c>
      <c r="S865">
        <v>8429</v>
      </c>
      <c r="T865">
        <v>1</v>
      </c>
      <c r="U865" t="s">
        <v>51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  <c r="AG865" t="s">
        <v>67</v>
      </c>
      <c r="AH865" t="s">
        <v>71</v>
      </c>
      <c r="AI865">
        <v>0</v>
      </c>
      <c r="AJ865" t="s">
        <v>65</v>
      </c>
      <c r="AK865" t="s">
        <v>72</v>
      </c>
      <c r="AL865" t="s">
        <v>66</v>
      </c>
      <c r="AM865" t="s">
        <v>61</v>
      </c>
      <c r="AN865">
        <f t="shared" si="13"/>
        <v>1</v>
      </c>
    </row>
    <row r="866" spans="1:40">
      <c r="A866">
        <v>41</v>
      </c>
      <c r="B866" t="s">
        <v>38</v>
      </c>
      <c r="C866" t="s">
        <v>77</v>
      </c>
      <c r="D866">
        <v>906</v>
      </c>
      <c r="E866" t="s">
        <v>53</v>
      </c>
      <c r="F866">
        <v>5</v>
      </c>
      <c r="G866">
        <v>2</v>
      </c>
      <c r="H866" t="s">
        <v>41</v>
      </c>
      <c r="I866">
        <v>1210</v>
      </c>
      <c r="J866">
        <v>1</v>
      </c>
      <c r="K866" t="s">
        <v>54</v>
      </c>
      <c r="L866">
        <v>95</v>
      </c>
      <c r="M866">
        <v>2</v>
      </c>
      <c r="N866">
        <v>1</v>
      </c>
      <c r="O866" t="s">
        <v>55</v>
      </c>
      <c r="P866">
        <v>1</v>
      </c>
      <c r="Q866" t="s">
        <v>74</v>
      </c>
      <c r="R866">
        <v>2107</v>
      </c>
      <c r="S866">
        <v>20293</v>
      </c>
      <c r="T866">
        <v>6</v>
      </c>
      <c r="U866" t="s">
        <v>51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  <c r="AG866" t="s">
        <v>45</v>
      </c>
      <c r="AH866" t="s">
        <v>46</v>
      </c>
      <c r="AI866">
        <v>1</v>
      </c>
      <c r="AJ866" t="s">
        <v>47</v>
      </c>
      <c r="AK866" t="s">
        <v>48</v>
      </c>
      <c r="AL866" t="s">
        <v>73</v>
      </c>
      <c r="AM866" t="s">
        <v>50</v>
      </c>
      <c r="AN866">
        <f t="shared" si="13"/>
        <v>10</v>
      </c>
    </row>
    <row r="867" spans="1:40">
      <c r="A867">
        <v>30</v>
      </c>
      <c r="B867" t="s">
        <v>51</v>
      </c>
      <c r="C867" t="s">
        <v>39</v>
      </c>
      <c r="D867">
        <v>1329</v>
      </c>
      <c r="E867" t="s">
        <v>40</v>
      </c>
      <c r="F867">
        <v>29</v>
      </c>
      <c r="G867">
        <v>4</v>
      </c>
      <c r="H867" t="s">
        <v>41</v>
      </c>
      <c r="I867">
        <v>1211</v>
      </c>
      <c r="J867">
        <v>3</v>
      </c>
      <c r="K867" t="s">
        <v>54</v>
      </c>
      <c r="L867">
        <v>61</v>
      </c>
      <c r="M867">
        <v>3</v>
      </c>
      <c r="N867">
        <v>2</v>
      </c>
      <c r="O867" t="s">
        <v>43</v>
      </c>
      <c r="P867">
        <v>1</v>
      </c>
      <c r="Q867" t="s">
        <v>74</v>
      </c>
      <c r="R867">
        <v>4115</v>
      </c>
      <c r="S867">
        <v>13192</v>
      </c>
      <c r="T867">
        <v>8</v>
      </c>
      <c r="U867" t="s">
        <v>51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  <c r="AG867" t="s">
        <v>67</v>
      </c>
      <c r="AH867" t="s">
        <v>46</v>
      </c>
      <c r="AI867">
        <v>0</v>
      </c>
      <c r="AJ867" t="s">
        <v>65</v>
      </c>
      <c r="AK867" t="s">
        <v>68</v>
      </c>
      <c r="AL867" t="s">
        <v>73</v>
      </c>
      <c r="AM867" t="s">
        <v>61</v>
      </c>
      <c r="AN867">
        <f t="shared" si="13"/>
        <v>6</v>
      </c>
    </row>
    <row r="868" spans="1:40">
      <c r="A868">
        <v>40</v>
      </c>
      <c r="B868" t="s">
        <v>51</v>
      </c>
      <c r="C868" t="s">
        <v>52</v>
      </c>
      <c r="D868">
        <v>1184</v>
      </c>
      <c r="E868" t="s">
        <v>40</v>
      </c>
      <c r="F868">
        <v>2</v>
      </c>
      <c r="G868">
        <v>4</v>
      </c>
      <c r="H868" t="s">
        <v>69</v>
      </c>
      <c r="I868">
        <v>1212</v>
      </c>
      <c r="J868">
        <v>2</v>
      </c>
      <c r="K868" t="s">
        <v>54</v>
      </c>
      <c r="L868">
        <v>62</v>
      </c>
      <c r="M868">
        <v>3</v>
      </c>
      <c r="N868">
        <v>2</v>
      </c>
      <c r="O868" t="s">
        <v>43</v>
      </c>
      <c r="P868">
        <v>2</v>
      </c>
      <c r="Q868" t="s">
        <v>56</v>
      </c>
      <c r="R868">
        <v>4327</v>
      </c>
      <c r="S868">
        <v>25440</v>
      </c>
      <c r="T868">
        <v>5</v>
      </c>
      <c r="U868" t="s">
        <v>51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  <c r="AG868" t="s">
        <v>45</v>
      </c>
      <c r="AH868" t="s">
        <v>46</v>
      </c>
      <c r="AI868">
        <v>0</v>
      </c>
      <c r="AJ868" t="s">
        <v>65</v>
      </c>
      <c r="AK868" t="s">
        <v>68</v>
      </c>
      <c r="AL868" t="s">
        <v>60</v>
      </c>
      <c r="AM868" t="s">
        <v>61</v>
      </c>
      <c r="AN868">
        <f t="shared" si="13"/>
        <v>3</v>
      </c>
    </row>
    <row r="869" spans="1:40">
      <c r="A869">
        <v>50</v>
      </c>
      <c r="B869" t="s">
        <v>51</v>
      </c>
      <c r="C869" t="s">
        <v>52</v>
      </c>
      <c r="D869">
        <v>1421</v>
      </c>
      <c r="E869" t="s">
        <v>53</v>
      </c>
      <c r="F869">
        <v>2</v>
      </c>
      <c r="G869">
        <v>3</v>
      </c>
      <c r="H869" t="s">
        <v>69</v>
      </c>
      <c r="I869">
        <v>1215</v>
      </c>
      <c r="J869">
        <v>4</v>
      </c>
      <c r="K869" t="s">
        <v>42</v>
      </c>
      <c r="L869">
        <v>30</v>
      </c>
      <c r="M869">
        <v>3</v>
      </c>
      <c r="N869">
        <v>4</v>
      </c>
      <c r="O869" t="s">
        <v>79</v>
      </c>
      <c r="P869">
        <v>1</v>
      </c>
      <c r="Q869" t="s">
        <v>56</v>
      </c>
      <c r="R869">
        <v>17856</v>
      </c>
      <c r="S869">
        <v>9490</v>
      </c>
      <c r="T869">
        <v>2</v>
      </c>
      <c r="U869" t="s">
        <v>51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  <c r="AG869" t="s">
        <v>57</v>
      </c>
      <c r="AH869" t="s">
        <v>71</v>
      </c>
      <c r="AI869">
        <v>0</v>
      </c>
      <c r="AJ869" t="s">
        <v>65</v>
      </c>
      <c r="AK869" t="s">
        <v>72</v>
      </c>
      <c r="AL869" t="s">
        <v>73</v>
      </c>
      <c r="AM869" t="s">
        <v>61</v>
      </c>
      <c r="AN869">
        <f t="shared" si="13"/>
        <v>8</v>
      </c>
    </row>
    <row r="870" spans="1:40">
      <c r="A870">
        <v>28</v>
      </c>
      <c r="B870" t="s">
        <v>51</v>
      </c>
      <c r="C870" t="s">
        <v>39</v>
      </c>
      <c r="D870">
        <v>1179</v>
      </c>
      <c r="E870" t="s">
        <v>53</v>
      </c>
      <c r="F870">
        <v>19</v>
      </c>
      <c r="G870">
        <v>4</v>
      </c>
      <c r="H870" t="s">
        <v>69</v>
      </c>
      <c r="I870">
        <v>1216</v>
      </c>
      <c r="J870">
        <v>4</v>
      </c>
      <c r="K870" t="s">
        <v>54</v>
      </c>
      <c r="L870">
        <v>78</v>
      </c>
      <c r="M870">
        <v>2</v>
      </c>
      <c r="N870">
        <v>1</v>
      </c>
      <c r="O870" t="s">
        <v>63</v>
      </c>
      <c r="P870">
        <v>1</v>
      </c>
      <c r="Q870" t="s">
        <v>56</v>
      </c>
      <c r="R870">
        <v>3196</v>
      </c>
      <c r="S870">
        <v>12449</v>
      </c>
      <c r="T870">
        <v>1</v>
      </c>
      <c r="U870" t="s">
        <v>51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  <c r="AG870" t="s">
        <v>67</v>
      </c>
      <c r="AH870" t="s">
        <v>46</v>
      </c>
      <c r="AI870">
        <v>0</v>
      </c>
      <c r="AJ870" t="s">
        <v>58</v>
      </c>
      <c r="AK870" t="s">
        <v>68</v>
      </c>
      <c r="AL870" t="s">
        <v>73</v>
      </c>
      <c r="AM870" t="s">
        <v>61</v>
      </c>
      <c r="AN870">
        <f t="shared" si="13"/>
        <v>9</v>
      </c>
    </row>
    <row r="871" spans="1:40">
      <c r="A871">
        <v>46</v>
      </c>
      <c r="B871" t="s">
        <v>51</v>
      </c>
      <c r="C871" t="s">
        <v>39</v>
      </c>
      <c r="D871">
        <v>1450</v>
      </c>
      <c r="E871" t="s">
        <v>53</v>
      </c>
      <c r="F871">
        <v>15</v>
      </c>
      <c r="G871">
        <v>2</v>
      </c>
      <c r="H871" t="s">
        <v>41</v>
      </c>
      <c r="I871">
        <v>1217</v>
      </c>
      <c r="J871">
        <v>4</v>
      </c>
      <c r="K871" t="s">
        <v>54</v>
      </c>
      <c r="L871">
        <v>52</v>
      </c>
      <c r="M871">
        <v>3</v>
      </c>
      <c r="N871">
        <v>5</v>
      </c>
      <c r="O871" t="s">
        <v>83</v>
      </c>
      <c r="P871">
        <v>2</v>
      </c>
      <c r="Q871" t="s">
        <v>56</v>
      </c>
      <c r="R871">
        <v>19081</v>
      </c>
      <c r="S871">
        <v>10849</v>
      </c>
      <c r="T871">
        <v>5</v>
      </c>
      <c r="U871" t="s">
        <v>51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  <c r="AG871" t="s">
        <v>57</v>
      </c>
      <c r="AH871" t="s">
        <v>46</v>
      </c>
      <c r="AI871">
        <v>0</v>
      </c>
      <c r="AJ871" t="s">
        <v>65</v>
      </c>
      <c r="AK871" t="s">
        <v>48</v>
      </c>
      <c r="AL871" t="s">
        <v>60</v>
      </c>
      <c r="AM871" t="s">
        <v>61</v>
      </c>
      <c r="AN871">
        <f t="shared" si="13"/>
        <v>3</v>
      </c>
    </row>
    <row r="872" spans="1:40">
      <c r="A872">
        <v>35</v>
      </c>
      <c r="B872" t="s">
        <v>51</v>
      </c>
      <c r="C872" t="s">
        <v>39</v>
      </c>
      <c r="D872">
        <v>1361</v>
      </c>
      <c r="E872" t="s">
        <v>40</v>
      </c>
      <c r="F872">
        <v>17</v>
      </c>
      <c r="G872">
        <v>4</v>
      </c>
      <c r="H872" t="s">
        <v>41</v>
      </c>
      <c r="I872">
        <v>1218</v>
      </c>
      <c r="J872">
        <v>3</v>
      </c>
      <c r="K872" t="s">
        <v>54</v>
      </c>
      <c r="L872">
        <v>94</v>
      </c>
      <c r="M872">
        <v>3</v>
      </c>
      <c r="N872">
        <v>2</v>
      </c>
      <c r="O872" t="s">
        <v>43</v>
      </c>
      <c r="P872">
        <v>1</v>
      </c>
      <c r="Q872" t="s">
        <v>56</v>
      </c>
      <c r="R872">
        <v>8966</v>
      </c>
      <c r="S872">
        <v>21026</v>
      </c>
      <c r="T872">
        <v>3</v>
      </c>
      <c r="U872" t="s">
        <v>38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  <c r="AG872" t="s">
        <v>67</v>
      </c>
      <c r="AH872" t="s">
        <v>46</v>
      </c>
      <c r="AI872">
        <v>0</v>
      </c>
      <c r="AJ872" t="s">
        <v>58</v>
      </c>
      <c r="AK872" t="s">
        <v>68</v>
      </c>
      <c r="AL872" t="s">
        <v>73</v>
      </c>
      <c r="AM872" t="s">
        <v>61</v>
      </c>
      <c r="AN872">
        <f t="shared" si="13"/>
        <v>7</v>
      </c>
    </row>
    <row r="873" spans="1:40">
      <c r="A873">
        <v>24</v>
      </c>
      <c r="B873" t="s">
        <v>38</v>
      </c>
      <c r="C873" t="s">
        <v>39</v>
      </c>
      <c r="D873">
        <v>984</v>
      </c>
      <c r="E873" t="s">
        <v>53</v>
      </c>
      <c r="F873">
        <v>17</v>
      </c>
      <c r="G873">
        <v>2</v>
      </c>
      <c r="H873" t="s">
        <v>41</v>
      </c>
      <c r="I873">
        <v>1219</v>
      </c>
      <c r="J873">
        <v>4</v>
      </c>
      <c r="K873" t="s">
        <v>42</v>
      </c>
      <c r="L873">
        <v>97</v>
      </c>
      <c r="M873">
        <v>3</v>
      </c>
      <c r="N873">
        <v>1</v>
      </c>
      <c r="O873" t="s">
        <v>63</v>
      </c>
      <c r="P873">
        <v>2</v>
      </c>
      <c r="Q873" t="s">
        <v>56</v>
      </c>
      <c r="R873">
        <v>2210</v>
      </c>
      <c r="S873">
        <v>3372</v>
      </c>
      <c r="T873">
        <v>1</v>
      </c>
      <c r="U873" t="s">
        <v>51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  <c r="AG873" t="s">
        <v>78</v>
      </c>
      <c r="AH873" t="s">
        <v>81</v>
      </c>
      <c r="AI873">
        <v>1</v>
      </c>
      <c r="AJ873" t="s">
        <v>47</v>
      </c>
      <c r="AK873" t="s">
        <v>48</v>
      </c>
      <c r="AL873" t="s">
        <v>60</v>
      </c>
      <c r="AM873" t="s">
        <v>50</v>
      </c>
      <c r="AN873">
        <f t="shared" si="13"/>
        <v>7</v>
      </c>
    </row>
    <row r="874" spans="1:40">
      <c r="A874">
        <v>33</v>
      </c>
      <c r="B874" t="s">
        <v>51</v>
      </c>
      <c r="C874" t="s">
        <v>52</v>
      </c>
      <c r="D874">
        <v>1146</v>
      </c>
      <c r="E874" t="s">
        <v>40</v>
      </c>
      <c r="F874">
        <v>25</v>
      </c>
      <c r="G874">
        <v>3</v>
      </c>
      <c r="H874" t="s">
        <v>69</v>
      </c>
      <c r="I874">
        <v>1220</v>
      </c>
      <c r="J874">
        <v>2</v>
      </c>
      <c r="K874" t="s">
        <v>42</v>
      </c>
      <c r="L874">
        <v>82</v>
      </c>
      <c r="M874">
        <v>3</v>
      </c>
      <c r="N874">
        <v>2</v>
      </c>
      <c r="O874" t="s">
        <v>43</v>
      </c>
      <c r="P874">
        <v>3</v>
      </c>
      <c r="Q874" t="s">
        <v>56</v>
      </c>
      <c r="R874">
        <v>4539</v>
      </c>
      <c r="S874">
        <v>4905</v>
      </c>
      <c r="T874">
        <v>1</v>
      </c>
      <c r="U874" t="s">
        <v>51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  <c r="AG874" t="s">
        <v>67</v>
      </c>
      <c r="AH874" t="s">
        <v>81</v>
      </c>
      <c r="AI874">
        <v>0</v>
      </c>
      <c r="AJ874" t="s">
        <v>47</v>
      </c>
      <c r="AK874" t="s">
        <v>72</v>
      </c>
      <c r="AL874" t="s">
        <v>66</v>
      </c>
      <c r="AM874" t="s">
        <v>70</v>
      </c>
      <c r="AN874">
        <f t="shared" si="13"/>
        <v>2</v>
      </c>
    </row>
    <row r="875" spans="1:40">
      <c r="A875">
        <v>36</v>
      </c>
      <c r="B875" t="s">
        <v>51</v>
      </c>
      <c r="C875" t="s">
        <v>39</v>
      </c>
      <c r="D875">
        <v>917</v>
      </c>
      <c r="E875" t="s">
        <v>53</v>
      </c>
      <c r="F875">
        <v>6</v>
      </c>
      <c r="G875">
        <v>4</v>
      </c>
      <c r="H875" t="s">
        <v>41</v>
      </c>
      <c r="I875">
        <v>1221</v>
      </c>
      <c r="J875">
        <v>3</v>
      </c>
      <c r="K875" t="s">
        <v>54</v>
      </c>
      <c r="L875">
        <v>60</v>
      </c>
      <c r="M875">
        <v>1</v>
      </c>
      <c r="N875">
        <v>1</v>
      </c>
      <c r="O875" t="s">
        <v>63</v>
      </c>
      <c r="P875">
        <v>3</v>
      </c>
      <c r="Q875" t="s">
        <v>74</v>
      </c>
      <c r="R875">
        <v>2741</v>
      </c>
      <c r="S875">
        <v>6865</v>
      </c>
      <c r="T875">
        <v>1</v>
      </c>
      <c r="U875" t="s">
        <v>51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  <c r="AG875" t="s">
        <v>45</v>
      </c>
      <c r="AH875" t="s">
        <v>71</v>
      </c>
      <c r="AI875">
        <v>0</v>
      </c>
      <c r="AJ875" t="s">
        <v>58</v>
      </c>
      <c r="AK875" t="s">
        <v>68</v>
      </c>
      <c r="AL875" t="s">
        <v>66</v>
      </c>
      <c r="AM875" t="s">
        <v>61</v>
      </c>
      <c r="AN875">
        <f t="shared" si="13"/>
        <v>1</v>
      </c>
    </row>
    <row r="876" spans="1:40">
      <c r="A876">
        <v>30</v>
      </c>
      <c r="B876" t="s">
        <v>51</v>
      </c>
      <c r="C876" t="s">
        <v>39</v>
      </c>
      <c r="D876">
        <v>853</v>
      </c>
      <c r="E876" t="s">
        <v>53</v>
      </c>
      <c r="F876">
        <v>7</v>
      </c>
      <c r="G876">
        <v>4</v>
      </c>
      <c r="H876" t="s">
        <v>41</v>
      </c>
      <c r="I876">
        <v>1224</v>
      </c>
      <c r="J876">
        <v>3</v>
      </c>
      <c r="K876" t="s">
        <v>54</v>
      </c>
      <c r="L876">
        <v>49</v>
      </c>
      <c r="M876">
        <v>3</v>
      </c>
      <c r="N876">
        <v>2</v>
      </c>
      <c r="O876" t="s">
        <v>63</v>
      </c>
      <c r="P876">
        <v>3</v>
      </c>
      <c r="Q876" t="s">
        <v>74</v>
      </c>
      <c r="R876">
        <v>3491</v>
      </c>
      <c r="S876">
        <v>11309</v>
      </c>
      <c r="T876">
        <v>1</v>
      </c>
      <c r="U876" t="s">
        <v>51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  <c r="AG876" t="s">
        <v>67</v>
      </c>
      <c r="AH876" t="s">
        <v>46</v>
      </c>
      <c r="AI876">
        <v>0</v>
      </c>
      <c r="AJ876" t="s">
        <v>47</v>
      </c>
      <c r="AK876" t="s">
        <v>68</v>
      </c>
      <c r="AL876" t="s">
        <v>66</v>
      </c>
      <c r="AM876" t="s">
        <v>70</v>
      </c>
      <c r="AN876">
        <f t="shared" si="13"/>
        <v>10</v>
      </c>
    </row>
    <row r="877" spans="1:40">
      <c r="A877">
        <v>44</v>
      </c>
      <c r="B877" t="s">
        <v>51</v>
      </c>
      <c r="C877" t="s">
        <v>39</v>
      </c>
      <c r="D877">
        <v>200</v>
      </c>
      <c r="E877" t="s">
        <v>53</v>
      </c>
      <c r="F877">
        <v>29</v>
      </c>
      <c r="G877">
        <v>4</v>
      </c>
      <c r="H877" t="s">
        <v>62</v>
      </c>
      <c r="I877">
        <v>1225</v>
      </c>
      <c r="J877">
        <v>4</v>
      </c>
      <c r="K877" t="s">
        <v>54</v>
      </c>
      <c r="L877">
        <v>32</v>
      </c>
      <c r="M877">
        <v>3</v>
      </c>
      <c r="N877">
        <v>2</v>
      </c>
      <c r="O877" t="s">
        <v>55</v>
      </c>
      <c r="P877">
        <v>4</v>
      </c>
      <c r="Q877" t="s">
        <v>44</v>
      </c>
      <c r="R877">
        <v>4541</v>
      </c>
      <c r="S877">
        <v>7744</v>
      </c>
      <c r="T877">
        <v>1</v>
      </c>
      <c r="U877" t="s">
        <v>51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  <c r="AG877" t="s">
        <v>45</v>
      </c>
      <c r="AH877" t="s">
        <v>71</v>
      </c>
      <c r="AI877">
        <v>0</v>
      </c>
      <c r="AJ877" t="s">
        <v>80</v>
      </c>
      <c r="AK877" t="s">
        <v>68</v>
      </c>
      <c r="AL877" t="s">
        <v>49</v>
      </c>
      <c r="AM877" t="s">
        <v>61</v>
      </c>
      <c r="AN877">
        <f t="shared" si="13"/>
        <v>10</v>
      </c>
    </row>
    <row r="878" spans="1:40">
      <c r="A878">
        <v>20</v>
      </c>
      <c r="B878" t="s">
        <v>51</v>
      </c>
      <c r="C878" t="s">
        <v>39</v>
      </c>
      <c r="D878">
        <v>654</v>
      </c>
      <c r="E878" t="s">
        <v>40</v>
      </c>
      <c r="F878">
        <v>21</v>
      </c>
      <c r="G878">
        <v>3</v>
      </c>
      <c r="H878" t="s">
        <v>84</v>
      </c>
      <c r="I878">
        <v>1226</v>
      </c>
      <c r="J878">
        <v>3</v>
      </c>
      <c r="K878" t="s">
        <v>54</v>
      </c>
      <c r="L878">
        <v>43</v>
      </c>
      <c r="M878">
        <v>4</v>
      </c>
      <c r="N878">
        <v>1</v>
      </c>
      <c r="O878" t="s">
        <v>82</v>
      </c>
      <c r="P878">
        <v>4</v>
      </c>
      <c r="Q878" t="s">
        <v>44</v>
      </c>
      <c r="R878">
        <v>2678</v>
      </c>
      <c r="S878">
        <v>5050</v>
      </c>
      <c r="T878">
        <v>1</v>
      </c>
      <c r="U878" t="s">
        <v>51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  <c r="AG878" t="s">
        <v>78</v>
      </c>
      <c r="AH878" t="s">
        <v>81</v>
      </c>
      <c r="AI878">
        <v>0</v>
      </c>
      <c r="AJ878" t="s">
        <v>65</v>
      </c>
      <c r="AK878" t="s">
        <v>72</v>
      </c>
      <c r="AL878" t="s">
        <v>49</v>
      </c>
      <c r="AM878" t="s">
        <v>61</v>
      </c>
      <c r="AN878">
        <f t="shared" si="13"/>
        <v>-1</v>
      </c>
    </row>
    <row r="879" spans="1:40">
      <c r="A879">
        <v>46</v>
      </c>
      <c r="B879" t="s">
        <v>51</v>
      </c>
      <c r="C879" t="s">
        <v>39</v>
      </c>
      <c r="D879">
        <v>150</v>
      </c>
      <c r="E879" t="s">
        <v>53</v>
      </c>
      <c r="F879">
        <v>2</v>
      </c>
      <c r="G879">
        <v>4</v>
      </c>
      <c r="H879" t="s">
        <v>86</v>
      </c>
      <c r="I879">
        <v>1228</v>
      </c>
      <c r="J879">
        <v>4</v>
      </c>
      <c r="K879" t="s">
        <v>54</v>
      </c>
      <c r="L879">
        <v>60</v>
      </c>
      <c r="M879">
        <v>3</v>
      </c>
      <c r="N879">
        <v>2</v>
      </c>
      <c r="O879" t="s">
        <v>75</v>
      </c>
      <c r="P879">
        <v>4</v>
      </c>
      <c r="Q879" t="s">
        <v>74</v>
      </c>
      <c r="R879">
        <v>7379</v>
      </c>
      <c r="S879">
        <v>17433</v>
      </c>
      <c r="T879">
        <v>2</v>
      </c>
      <c r="U879" t="s">
        <v>51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  <c r="AG879" t="s">
        <v>57</v>
      </c>
      <c r="AH879" t="s">
        <v>46</v>
      </c>
      <c r="AI879">
        <v>0</v>
      </c>
      <c r="AJ879" t="s">
        <v>47</v>
      </c>
      <c r="AK879" t="s">
        <v>68</v>
      </c>
      <c r="AL879" t="s">
        <v>49</v>
      </c>
      <c r="AM879" t="s">
        <v>70</v>
      </c>
      <c r="AN879">
        <f t="shared" si="13"/>
        <v>0</v>
      </c>
    </row>
    <row r="880" spans="1:40">
      <c r="A880">
        <v>42</v>
      </c>
      <c r="B880" t="s">
        <v>51</v>
      </c>
      <c r="C880" t="s">
        <v>77</v>
      </c>
      <c r="D880">
        <v>179</v>
      </c>
      <c r="E880" t="s">
        <v>88</v>
      </c>
      <c r="F880">
        <v>2</v>
      </c>
      <c r="G880">
        <v>5</v>
      </c>
      <c r="H880" t="s">
        <v>69</v>
      </c>
      <c r="I880">
        <v>1231</v>
      </c>
      <c r="J880">
        <v>4</v>
      </c>
      <c r="K880" t="s">
        <v>54</v>
      </c>
      <c r="L880">
        <v>79</v>
      </c>
      <c r="M880">
        <v>4</v>
      </c>
      <c r="N880">
        <v>2</v>
      </c>
      <c r="O880" t="s">
        <v>88</v>
      </c>
      <c r="P880">
        <v>1</v>
      </c>
      <c r="Q880" t="s">
        <v>56</v>
      </c>
      <c r="R880">
        <v>6272</v>
      </c>
      <c r="S880">
        <v>12858</v>
      </c>
      <c r="T880">
        <v>7</v>
      </c>
      <c r="U880" t="s">
        <v>51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  <c r="AG880" t="s">
        <v>45</v>
      </c>
      <c r="AH880" t="s">
        <v>46</v>
      </c>
      <c r="AI880">
        <v>0</v>
      </c>
      <c r="AJ880" t="s">
        <v>65</v>
      </c>
      <c r="AK880" t="s">
        <v>87</v>
      </c>
      <c r="AL880" t="s">
        <v>73</v>
      </c>
      <c r="AM880" t="s">
        <v>85</v>
      </c>
      <c r="AN880">
        <f t="shared" si="13"/>
        <v>4</v>
      </c>
    </row>
    <row r="881" spans="1:40">
      <c r="A881">
        <v>60</v>
      </c>
      <c r="B881" t="s">
        <v>51</v>
      </c>
      <c r="C881" t="s">
        <v>39</v>
      </c>
      <c r="D881">
        <v>696</v>
      </c>
      <c r="E881" t="s">
        <v>40</v>
      </c>
      <c r="F881">
        <v>7</v>
      </c>
      <c r="G881">
        <v>4</v>
      </c>
      <c r="H881" t="s">
        <v>84</v>
      </c>
      <c r="I881">
        <v>1233</v>
      </c>
      <c r="J881">
        <v>2</v>
      </c>
      <c r="K881" t="s">
        <v>54</v>
      </c>
      <c r="L881">
        <v>52</v>
      </c>
      <c r="M881">
        <v>4</v>
      </c>
      <c r="N881">
        <v>2</v>
      </c>
      <c r="O881" t="s">
        <v>43</v>
      </c>
      <c r="P881">
        <v>4</v>
      </c>
      <c r="Q881" t="s">
        <v>74</v>
      </c>
      <c r="R881">
        <v>5220</v>
      </c>
      <c r="S881">
        <v>10893</v>
      </c>
      <c r="T881">
        <v>0</v>
      </c>
      <c r="U881" t="s">
        <v>38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  <c r="AG881" t="s">
        <v>57</v>
      </c>
      <c r="AH881" t="s">
        <v>46</v>
      </c>
      <c r="AI881">
        <v>0</v>
      </c>
      <c r="AJ881" t="s">
        <v>80</v>
      </c>
      <c r="AK881" t="s">
        <v>68</v>
      </c>
      <c r="AL881" t="s">
        <v>49</v>
      </c>
      <c r="AM881" t="s">
        <v>61</v>
      </c>
      <c r="AN881">
        <f t="shared" si="13"/>
        <v>-2</v>
      </c>
    </row>
    <row r="882" spans="1:40">
      <c r="A882">
        <v>32</v>
      </c>
      <c r="B882" t="s">
        <v>51</v>
      </c>
      <c r="C882" t="s">
        <v>52</v>
      </c>
      <c r="D882">
        <v>116</v>
      </c>
      <c r="E882" t="s">
        <v>53</v>
      </c>
      <c r="F882">
        <v>13</v>
      </c>
      <c r="G882">
        <v>3</v>
      </c>
      <c r="H882" t="s">
        <v>62</v>
      </c>
      <c r="I882">
        <v>1234</v>
      </c>
      <c r="J882">
        <v>3</v>
      </c>
      <c r="K882" t="s">
        <v>42</v>
      </c>
      <c r="L882">
        <v>77</v>
      </c>
      <c r="M882">
        <v>2</v>
      </c>
      <c r="N882">
        <v>1</v>
      </c>
      <c r="O882" t="s">
        <v>63</v>
      </c>
      <c r="P882">
        <v>2</v>
      </c>
      <c r="Q882" t="s">
        <v>56</v>
      </c>
      <c r="R882">
        <v>2743</v>
      </c>
      <c r="S882">
        <v>7331</v>
      </c>
      <c r="T882">
        <v>1</v>
      </c>
      <c r="U882" t="s">
        <v>51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  <c r="AG882" t="s">
        <v>67</v>
      </c>
      <c r="AH882" t="s">
        <v>71</v>
      </c>
      <c r="AI882">
        <v>0</v>
      </c>
      <c r="AJ882" t="s">
        <v>65</v>
      </c>
      <c r="AK882" t="s">
        <v>72</v>
      </c>
      <c r="AL882" t="s">
        <v>60</v>
      </c>
      <c r="AM882" t="s">
        <v>61</v>
      </c>
      <c r="AN882">
        <f t="shared" si="13"/>
        <v>5</v>
      </c>
    </row>
    <row r="883" spans="1:40">
      <c r="A883">
        <v>32</v>
      </c>
      <c r="B883" t="s">
        <v>51</v>
      </c>
      <c r="C883" t="s">
        <v>52</v>
      </c>
      <c r="D883">
        <v>1316</v>
      </c>
      <c r="E883" t="s">
        <v>53</v>
      </c>
      <c r="F883">
        <v>2</v>
      </c>
      <c r="G883">
        <v>2</v>
      </c>
      <c r="H883" t="s">
        <v>41</v>
      </c>
      <c r="I883">
        <v>1235</v>
      </c>
      <c r="J883">
        <v>4</v>
      </c>
      <c r="K883" t="s">
        <v>42</v>
      </c>
      <c r="L883">
        <v>38</v>
      </c>
      <c r="M883">
        <v>3</v>
      </c>
      <c r="N883">
        <v>2</v>
      </c>
      <c r="O883" t="s">
        <v>55</v>
      </c>
      <c r="P883">
        <v>3</v>
      </c>
      <c r="Q883" t="s">
        <v>44</v>
      </c>
      <c r="R883">
        <v>4998</v>
      </c>
      <c r="S883">
        <v>2338</v>
      </c>
      <c r="T883">
        <v>4</v>
      </c>
      <c r="U883" t="s">
        <v>38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  <c r="AG883" t="s">
        <v>67</v>
      </c>
      <c r="AH883" t="s">
        <v>64</v>
      </c>
      <c r="AI883">
        <v>0</v>
      </c>
      <c r="AJ883" t="s">
        <v>58</v>
      </c>
      <c r="AK883" t="s">
        <v>48</v>
      </c>
      <c r="AL883" t="s">
        <v>66</v>
      </c>
      <c r="AM883" t="s">
        <v>61</v>
      </c>
      <c r="AN883">
        <f t="shared" si="13"/>
        <v>0</v>
      </c>
    </row>
    <row r="884" spans="1:40">
      <c r="A884">
        <v>36</v>
      </c>
      <c r="B884" t="s">
        <v>51</v>
      </c>
      <c r="C884" t="s">
        <v>39</v>
      </c>
      <c r="D884">
        <v>363</v>
      </c>
      <c r="E884" t="s">
        <v>53</v>
      </c>
      <c r="F884">
        <v>1</v>
      </c>
      <c r="G884">
        <v>3</v>
      </c>
      <c r="H884" t="s">
        <v>86</v>
      </c>
      <c r="I884">
        <v>1237</v>
      </c>
      <c r="J884">
        <v>3</v>
      </c>
      <c r="K884" t="s">
        <v>42</v>
      </c>
      <c r="L884">
        <v>77</v>
      </c>
      <c r="M884">
        <v>1</v>
      </c>
      <c r="N884">
        <v>3</v>
      </c>
      <c r="O884" t="s">
        <v>75</v>
      </c>
      <c r="P884">
        <v>1</v>
      </c>
      <c r="Q884" t="s">
        <v>74</v>
      </c>
      <c r="R884">
        <v>10252</v>
      </c>
      <c r="S884">
        <v>4235</v>
      </c>
      <c r="T884">
        <v>2</v>
      </c>
      <c r="U884" t="s">
        <v>38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  <c r="AG884" t="s">
        <v>45</v>
      </c>
      <c r="AH884" t="s">
        <v>81</v>
      </c>
      <c r="AI884">
        <v>0</v>
      </c>
      <c r="AJ884" t="s">
        <v>58</v>
      </c>
      <c r="AK884" t="s">
        <v>72</v>
      </c>
      <c r="AL884" t="s">
        <v>73</v>
      </c>
      <c r="AM884" t="s">
        <v>61</v>
      </c>
      <c r="AN884">
        <f t="shared" si="13"/>
        <v>13</v>
      </c>
    </row>
    <row r="885" spans="1:40">
      <c r="A885">
        <v>33</v>
      </c>
      <c r="B885" t="s">
        <v>51</v>
      </c>
      <c r="C885" t="s">
        <v>39</v>
      </c>
      <c r="D885">
        <v>117</v>
      </c>
      <c r="E885" t="s">
        <v>53</v>
      </c>
      <c r="F885">
        <v>9</v>
      </c>
      <c r="G885">
        <v>3</v>
      </c>
      <c r="H885" t="s">
        <v>69</v>
      </c>
      <c r="I885">
        <v>1238</v>
      </c>
      <c r="J885">
        <v>1</v>
      </c>
      <c r="K885" t="s">
        <v>54</v>
      </c>
      <c r="L885">
        <v>60</v>
      </c>
      <c r="M885">
        <v>3</v>
      </c>
      <c r="N885">
        <v>1</v>
      </c>
      <c r="O885" t="s">
        <v>55</v>
      </c>
      <c r="P885">
        <v>4</v>
      </c>
      <c r="Q885" t="s">
        <v>56</v>
      </c>
      <c r="R885">
        <v>2781</v>
      </c>
      <c r="S885">
        <v>6311</v>
      </c>
      <c r="T885">
        <v>0</v>
      </c>
      <c r="U885" t="s">
        <v>51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  <c r="AG885" t="s">
        <v>67</v>
      </c>
      <c r="AH885" t="s">
        <v>71</v>
      </c>
      <c r="AI885">
        <v>0</v>
      </c>
      <c r="AJ885" t="s">
        <v>80</v>
      </c>
      <c r="AK885" t="s">
        <v>72</v>
      </c>
      <c r="AL885" t="s">
        <v>49</v>
      </c>
      <c r="AM885" t="s">
        <v>61</v>
      </c>
      <c r="AN885">
        <f t="shared" si="13"/>
        <v>1</v>
      </c>
    </row>
    <row r="886" spans="1:40">
      <c r="A886">
        <v>40</v>
      </c>
      <c r="B886" t="s">
        <v>51</v>
      </c>
      <c r="C886" t="s">
        <v>39</v>
      </c>
      <c r="D886">
        <v>107</v>
      </c>
      <c r="E886" t="s">
        <v>40</v>
      </c>
      <c r="F886">
        <v>10</v>
      </c>
      <c r="G886">
        <v>3</v>
      </c>
      <c r="H886" t="s">
        <v>86</v>
      </c>
      <c r="I886">
        <v>1239</v>
      </c>
      <c r="J886">
        <v>2</v>
      </c>
      <c r="K886" t="s">
        <v>42</v>
      </c>
      <c r="L886">
        <v>84</v>
      </c>
      <c r="M886">
        <v>2</v>
      </c>
      <c r="N886">
        <v>2</v>
      </c>
      <c r="O886" t="s">
        <v>43</v>
      </c>
      <c r="P886">
        <v>2</v>
      </c>
      <c r="Q886" t="s">
        <v>74</v>
      </c>
      <c r="R886">
        <v>6852</v>
      </c>
      <c r="S886">
        <v>11591</v>
      </c>
      <c r="T886">
        <v>7</v>
      </c>
      <c r="U886" t="s">
        <v>51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  <c r="AG886" t="s">
        <v>45</v>
      </c>
      <c r="AH886" t="s">
        <v>46</v>
      </c>
      <c r="AI886">
        <v>0</v>
      </c>
      <c r="AJ886" t="s">
        <v>65</v>
      </c>
      <c r="AK886" t="s">
        <v>72</v>
      </c>
      <c r="AL886" t="s">
        <v>60</v>
      </c>
      <c r="AM886" t="s">
        <v>85</v>
      </c>
      <c r="AN886">
        <f t="shared" si="13"/>
        <v>2</v>
      </c>
    </row>
    <row r="887" spans="1:40">
      <c r="A887">
        <v>25</v>
      </c>
      <c r="B887" t="s">
        <v>51</v>
      </c>
      <c r="C887" t="s">
        <v>39</v>
      </c>
      <c r="D887">
        <v>1356</v>
      </c>
      <c r="E887" t="s">
        <v>40</v>
      </c>
      <c r="F887">
        <v>10</v>
      </c>
      <c r="G887">
        <v>4</v>
      </c>
      <c r="H887" t="s">
        <v>41</v>
      </c>
      <c r="I887">
        <v>1240</v>
      </c>
      <c r="J887">
        <v>3</v>
      </c>
      <c r="K887" t="s">
        <v>54</v>
      </c>
      <c r="L887">
        <v>57</v>
      </c>
      <c r="M887">
        <v>3</v>
      </c>
      <c r="N887">
        <v>2</v>
      </c>
      <c r="O887" t="s">
        <v>43</v>
      </c>
      <c r="P887">
        <v>4</v>
      </c>
      <c r="Q887" t="s">
        <v>44</v>
      </c>
      <c r="R887">
        <v>4950</v>
      </c>
      <c r="S887">
        <v>20623</v>
      </c>
      <c r="T887">
        <v>0</v>
      </c>
      <c r="U887" t="s">
        <v>51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  <c r="AG887" t="s">
        <v>78</v>
      </c>
      <c r="AH887" t="s">
        <v>46</v>
      </c>
      <c r="AI887">
        <v>0</v>
      </c>
      <c r="AJ887" t="s">
        <v>65</v>
      </c>
      <c r="AK887" t="s">
        <v>68</v>
      </c>
      <c r="AL887" t="s">
        <v>49</v>
      </c>
      <c r="AM887" t="s">
        <v>61</v>
      </c>
      <c r="AN887">
        <f t="shared" si="13"/>
        <v>-2</v>
      </c>
    </row>
    <row r="888" spans="1:40">
      <c r="A888">
        <v>30</v>
      </c>
      <c r="B888" t="s">
        <v>51</v>
      </c>
      <c r="C888" t="s">
        <v>39</v>
      </c>
      <c r="D888">
        <v>1465</v>
      </c>
      <c r="E888" t="s">
        <v>53</v>
      </c>
      <c r="F888">
        <v>1</v>
      </c>
      <c r="G888">
        <v>3</v>
      </c>
      <c r="H888" t="s">
        <v>69</v>
      </c>
      <c r="I888">
        <v>1241</v>
      </c>
      <c r="J888">
        <v>4</v>
      </c>
      <c r="K888" t="s">
        <v>54</v>
      </c>
      <c r="L888">
        <v>63</v>
      </c>
      <c r="M888">
        <v>3</v>
      </c>
      <c r="N888">
        <v>1</v>
      </c>
      <c r="O888" t="s">
        <v>55</v>
      </c>
      <c r="P888">
        <v>2</v>
      </c>
      <c r="Q888" t="s">
        <v>56</v>
      </c>
      <c r="R888">
        <v>3579</v>
      </c>
      <c r="S888">
        <v>9369</v>
      </c>
      <c r="T888">
        <v>0</v>
      </c>
      <c r="U888" t="s">
        <v>38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  <c r="AG888" t="s">
        <v>67</v>
      </c>
      <c r="AH888" t="s">
        <v>71</v>
      </c>
      <c r="AI888">
        <v>0</v>
      </c>
      <c r="AJ888" t="s">
        <v>80</v>
      </c>
      <c r="AK888" t="s">
        <v>72</v>
      </c>
      <c r="AL888" t="s">
        <v>60</v>
      </c>
      <c r="AM888" t="s">
        <v>61</v>
      </c>
      <c r="AN888">
        <f t="shared" si="13"/>
        <v>8</v>
      </c>
    </row>
    <row r="889" spans="1:40">
      <c r="A889">
        <v>42</v>
      </c>
      <c r="B889" t="s">
        <v>51</v>
      </c>
      <c r="C889" t="s">
        <v>52</v>
      </c>
      <c r="D889">
        <v>458</v>
      </c>
      <c r="E889" t="s">
        <v>53</v>
      </c>
      <c r="F889">
        <v>26</v>
      </c>
      <c r="G889">
        <v>5</v>
      </c>
      <c r="H889" t="s">
        <v>69</v>
      </c>
      <c r="I889">
        <v>1242</v>
      </c>
      <c r="J889">
        <v>1</v>
      </c>
      <c r="K889" t="s">
        <v>42</v>
      </c>
      <c r="L889">
        <v>60</v>
      </c>
      <c r="M889">
        <v>3</v>
      </c>
      <c r="N889">
        <v>3</v>
      </c>
      <c r="O889" t="s">
        <v>83</v>
      </c>
      <c r="P889">
        <v>1</v>
      </c>
      <c r="Q889" t="s">
        <v>56</v>
      </c>
      <c r="R889">
        <v>13191</v>
      </c>
      <c r="S889">
        <v>23281</v>
      </c>
      <c r="T889">
        <v>3</v>
      </c>
      <c r="U889" t="s">
        <v>38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  <c r="AG889" t="s">
        <v>45</v>
      </c>
      <c r="AH889" t="s">
        <v>46</v>
      </c>
      <c r="AI889">
        <v>0</v>
      </c>
      <c r="AJ889" t="s">
        <v>65</v>
      </c>
      <c r="AK889" t="s">
        <v>87</v>
      </c>
      <c r="AL889" t="s">
        <v>73</v>
      </c>
      <c r="AM889" t="s">
        <v>61</v>
      </c>
      <c r="AN889">
        <f t="shared" si="13"/>
        <v>6</v>
      </c>
    </row>
    <row r="890" spans="1:40">
      <c r="A890">
        <v>35</v>
      </c>
      <c r="B890" t="s">
        <v>51</v>
      </c>
      <c r="C890" t="s">
        <v>77</v>
      </c>
      <c r="D890">
        <v>1212</v>
      </c>
      <c r="E890" t="s">
        <v>40</v>
      </c>
      <c r="F890">
        <v>8</v>
      </c>
      <c r="G890">
        <v>2</v>
      </c>
      <c r="H890" t="s">
        <v>84</v>
      </c>
      <c r="I890">
        <v>1243</v>
      </c>
      <c r="J890">
        <v>3</v>
      </c>
      <c r="K890" t="s">
        <v>42</v>
      </c>
      <c r="L890">
        <v>78</v>
      </c>
      <c r="M890">
        <v>2</v>
      </c>
      <c r="N890">
        <v>3</v>
      </c>
      <c r="O890" t="s">
        <v>43</v>
      </c>
      <c r="P890">
        <v>4</v>
      </c>
      <c r="Q890" t="s">
        <v>56</v>
      </c>
      <c r="R890">
        <v>10377</v>
      </c>
      <c r="S890">
        <v>13755</v>
      </c>
      <c r="T890">
        <v>4</v>
      </c>
      <c r="U890" t="s">
        <v>38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  <c r="AG890" t="s">
        <v>67</v>
      </c>
      <c r="AH890" t="s">
        <v>46</v>
      </c>
      <c r="AI890">
        <v>0</v>
      </c>
      <c r="AJ890" t="s">
        <v>47</v>
      </c>
      <c r="AK890" t="s">
        <v>48</v>
      </c>
      <c r="AL890" t="s">
        <v>49</v>
      </c>
      <c r="AM890" t="s">
        <v>70</v>
      </c>
      <c r="AN890">
        <f t="shared" si="13"/>
        <v>3</v>
      </c>
    </row>
    <row r="891" spans="1:40">
      <c r="A891">
        <v>27</v>
      </c>
      <c r="B891" t="s">
        <v>51</v>
      </c>
      <c r="C891" t="s">
        <v>39</v>
      </c>
      <c r="D891">
        <v>1103</v>
      </c>
      <c r="E891" t="s">
        <v>53</v>
      </c>
      <c r="F891">
        <v>14</v>
      </c>
      <c r="G891">
        <v>3</v>
      </c>
      <c r="H891" t="s">
        <v>41</v>
      </c>
      <c r="I891">
        <v>1244</v>
      </c>
      <c r="J891">
        <v>1</v>
      </c>
      <c r="K891" t="s">
        <v>54</v>
      </c>
      <c r="L891">
        <v>42</v>
      </c>
      <c r="M891">
        <v>3</v>
      </c>
      <c r="N891">
        <v>1</v>
      </c>
      <c r="O891" t="s">
        <v>55</v>
      </c>
      <c r="P891">
        <v>1</v>
      </c>
      <c r="Q891" t="s">
        <v>56</v>
      </c>
      <c r="R891">
        <v>2235</v>
      </c>
      <c r="S891">
        <v>14377</v>
      </c>
      <c r="T891">
        <v>1</v>
      </c>
      <c r="U891" t="s">
        <v>38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  <c r="AG891" t="s">
        <v>67</v>
      </c>
      <c r="AH891" t="s">
        <v>46</v>
      </c>
      <c r="AI891">
        <v>0</v>
      </c>
      <c r="AJ891" t="s">
        <v>47</v>
      </c>
      <c r="AK891" t="s">
        <v>72</v>
      </c>
      <c r="AL891" t="s">
        <v>73</v>
      </c>
      <c r="AM891" t="s">
        <v>70</v>
      </c>
      <c r="AN891">
        <f t="shared" si="13"/>
        <v>14</v>
      </c>
    </row>
    <row r="892" spans="1:40">
      <c r="A892">
        <v>54</v>
      </c>
      <c r="B892" t="s">
        <v>51</v>
      </c>
      <c r="C892" t="s">
        <v>52</v>
      </c>
      <c r="D892">
        <v>966</v>
      </c>
      <c r="E892" t="s">
        <v>53</v>
      </c>
      <c r="F892">
        <v>1</v>
      </c>
      <c r="G892">
        <v>4</v>
      </c>
      <c r="H892" t="s">
        <v>41</v>
      </c>
      <c r="I892">
        <v>1245</v>
      </c>
      <c r="J892">
        <v>4</v>
      </c>
      <c r="K892" t="s">
        <v>42</v>
      </c>
      <c r="L892">
        <v>53</v>
      </c>
      <c r="M892">
        <v>3</v>
      </c>
      <c r="N892">
        <v>3</v>
      </c>
      <c r="O892" t="s">
        <v>75</v>
      </c>
      <c r="P892">
        <v>3</v>
      </c>
      <c r="Q892" t="s">
        <v>74</v>
      </c>
      <c r="R892">
        <v>10502</v>
      </c>
      <c r="S892">
        <v>9659</v>
      </c>
      <c r="T892">
        <v>7</v>
      </c>
      <c r="U892" t="s">
        <v>51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  <c r="AG892" t="s">
        <v>57</v>
      </c>
      <c r="AH892" t="s">
        <v>71</v>
      </c>
      <c r="AI892">
        <v>0</v>
      </c>
      <c r="AJ892" t="s">
        <v>47</v>
      </c>
      <c r="AK892" t="s">
        <v>68</v>
      </c>
      <c r="AL892" t="s">
        <v>66</v>
      </c>
      <c r="AM892" t="s">
        <v>50</v>
      </c>
      <c r="AN892">
        <f t="shared" si="13"/>
        <v>5</v>
      </c>
    </row>
    <row r="893" spans="1:40">
      <c r="A893">
        <v>44</v>
      </c>
      <c r="B893" t="s">
        <v>51</v>
      </c>
      <c r="C893" t="s">
        <v>39</v>
      </c>
      <c r="D893">
        <v>1117</v>
      </c>
      <c r="E893" t="s">
        <v>53</v>
      </c>
      <c r="F893">
        <v>2</v>
      </c>
      <c r="G893">
        <v>1</v>
      </c>
      <c r="H893" t="s">
        <v>41</v>
      </c>
      <c r="I893">
        <v>1246</v>
      </c>
      <c r="J893">
        <v>1</v>
      </c>
      <c r="K893" t="s">
        <v>42</v>
      </c>
      <c r="L893">
        <v>72</v>
      </c>
      <c r="M893">
        <v>4</v>
      </c>
      <c r="N893">
        <v>1</v>
      </c>
      <c r="O893" t="s">
        <v>55</v>
      </c>
      <c r="P893">
        <v>4</v>
      </c>
      <c r="Q893" t="s">
        <v>56</v>
      </c>
      <c r="R893">
        <v>2011</v>
      </c>
      <c r="S893">
        <v>19982</v>
      </c>
      <c r="T893">
        <v>1</v>
      </c>
      <c r="U893" t="s">
        <v>51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  <c r="AG893" t="s">
        <v>45</v>
      </c>
      <c r="AH893" t="s">
        <v>46</v>
      </c>
      <c r="AI893">
        <v>0</v>
      </c>
      <c r="AJ893" t="s">
        <v>58</v>
      </c>
      <c r="AK893" t="s">
        <v>59</v>
      </c>
      <c r="AL893" t="s">
        <v>49</v>
      </c>
      <c r="AM893" t="s">
        <v>61</v>
      </c>
      <c r="AN893">
        <f t="shared" si="13"/>
        <v>4</v>
      </c>
    </row>
    <row r="894" spans="1:40">
      <c r="A894">
        <v>19</v>
      </c>
      <c r="B894" t="s">
        <v>38</v>
      </c>
      <c r="C894" t="s">
        <v>77</v>
      </c>
      <c r="D894">
        <v>504</v>
      </c>
      <c r="E894" t="s">
        <v>53</v>
      </c>
      <c r="F894">
        <v>10</v>
      </c>
      <c r="G894">
        <v>3</v>
      </c>
      <c r="H894" t="s">
        <v>69</v>
      </c>
      <c r="I894">
        <v>1248</v>
      </c>
      <c r="J894">
        <v>1</v>
      </c>
      <c r="K894" t="s">
        <v>42</v>
      </c>
      <c r="L894">
        <v>96</v>
      </c>
      <c r="M894">
        <v>2</v>
      </c>
      <c r="N894">
        <v>1</v>
      </c>
      <c r="O894" t="s">
        <v>55</v>
      </c>
      <c r="P894">
        <v>2</v>
      </c>
      <c r="Q894" t="s">
        <v>44</v>
      </c>
      <c r="R894">
        <v>1859</v>
      </c>
      <c r="S894">
        <v>6148</v>
      </c>
      <c r="T894">
        <v>1</v>
      </c>
      <c r="U894" t="s">
        <v>38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  <c r="AG894" t="s">
        <v>78</v>
      </c>
      <c r="AH894" t="s">
        <v>71</v>
      </c>
      <c r="AI894">
        <v>1</v>
      </c>
      <c r="AJ894" t="s">
        <v>65</v>
      </c>
      <c r="AK894" t="s">
        <v>72</v>
      </c>
      <c r="AL894" t="s">
        <v>60</v>
      </c>
      <c r="AM894" t="s">
        <v>85</v>
      </c>
      <c r="AN894">
        <f t="shared" si="13"/>
        <v>1</v>
      </c>
    </row>
    <row r="895" spans="1:40">
      <c r="A895">
        <v>29</v>
      </c>
      <c r="B895" t="s">
        <v>51</v>
      </c>
      <c r="C895" t="s">
        <v>39</v>
      </c>
      <c r="D895">
        <v>1010</v>
      </c>
      <c r="E895" t="s">
        <v>53</v>
      </c>
      <c r="F895">
        <v>1</v>
      </c>
      <c r="G895">
        <v>3</v>
      </c>
      <c r="H895" t="s">
        <v>41</v>
      </c>
      <c r="I895">
        <v>1249</v>
      </c>
      <c r="J895">
        <v>1</v>
      </c>
      <c r="K895" t="s">
        <v>42</v>
      </c>
      <c r="L895">
        <v>97</v>
      </c>
      <c r="M895">
        <v>3</v>
      </c>
      <c r="N895">
        <v>1</v>
      </c>
      <c r="O895" t="s">
        <v>55</v>
      </c>
      <c r="P895">
        <v>4</v>
      </c>
      <c r="Q895" t="s">
        <v>74</v>
      </c>
      <c r="R895">
        <v>3760</v>
      </c>
      <c r="S895">
        <v>5598</v>
      </c>
      <c r="T895">
        <v>1</v>
      </c>
      <c r="U895" t="s">
        <v>51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  <c r="AG895" t="s">
        <v>67</v>
      </c>
      <c r="AH895" t="s">
        <v>81</v>
      </c>
      <c r="AI895">
        <v>0</v>
      </c>
      <c r="AJ895" t="s">
        <v>65</v>
      </c>
      <c r="AK895" t="s">
        <v>72</v>
      </c>
      <c r="AL895" t="s">
        <v>49</v>
      </c>
      <c r="AM895" t="s">
        <v>61</v>
      </c>
      <c r="AN895">
        <f t="shared" si="13"/>
        <v>-2</v>
      </c>
    </row>
    <row r="896" spans="1:40">
      <c r="A896">
        <v>54</v>
      </c>
      <c r="B896" t="s">
        <v>51</v>
      </c>
      <c r="C896" t="s">
        <v>39</v>
      </c>
      <c r="D896">
        <v>685</v>
      </c>
      <c r="E896" t="s">
        <v>53</v>
      </c>
      <c r="F896">
        <v>3</v>
      </c>
      <c r="G896">
        <v>3</v>
      </c>
      <c r="H896" t="s">
        <v>41</v>
      </c>
      <c r="I896">
        <v>1250</v>
      </c>
      <c r="J896">
        <v>4</v>
      </c>
      <c r="K896" t="s">
        <v>54</v>
      </c>
      <c r="L896">
        <v>85</v>
      </c>
      <c r="M896">
        <v>3</v>
      </c>
      <c r="N896">
        <v>4</v>
      </c>
      <c r="O896" t="s">
        <v>83</v>
      </c>
      <c r="P896">
        <v>4</v>
      </c>
      <c r="Q896" t="s">
        <v>56</v>
      </c>
      <c r="R896">
        <v>17779</v>
      </c>
      <c r="S896">
        <v>23474</v>
      </c>
      <c r="T896">
        <v>3</v>
      </c>
      <c r="U896" t="s">
        <v>51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  <c r="AG896" t="s">
        <v>57</v>
      </c>
      <c r="AH896" t="s">
        <v>46</v>
      </c>
      <c r="AI896">
        <v>0</v>
      </c>
      <c r="AJ896" t="s">
        <v>58</v>
      </c>
      <c r="AK896" t="s">
        <v>72</v>
      </c>
      <c r="AL896" t="s">
        <v>49</v>
      </c>
      <c r="AM896" t="s">
        <v>61</v>
      </c>
      <c r="AN896">
        <f t="shared" si="13"/>
        <v>-3</v>
      </c>
    </row>
    <row r="897" spans="1:40">
      <c r="A897">
        <v>31</v>
      </c>
      <c r="B897" t="s">
        <v>51</v>
      </c>
      <c r="C897" t="s">
        <v>39</v>
      </c>
      <c r="D897">
        <v>1332</v>
      </c>
      <c r="E897" t="s">
        <v>53</v>
      </c>
      <c r="F897">
        <v>11</v>
      </c>
      <c r="G897">
        <v>2</v>
      </c>
      <c r="H897" t="s">
        <v>69</v>
      </c>
      <c r="I897">
        <v>1251</v>
      </c>
      <c r="J897">
        <v>3</v>
      </c>
      <c r="K897" t="s">
        <v>54</v>
      </c>
      <c r="L897">
        <v>80</v>
      </c>
      <c r="M897">
        <v>3</v>
      </c>
      <c r="N897">
        <v>2</v>
      </c>
      <c r="O897" t="s">
        <v>76</v>
      </c>
      <c r="P897">
        <v>1</v>
      </c>
      <c r="Q897" t="s">
        <v>56</v>
      </c>
      <c r="R897">
        <v>6833</v>
      </c>
      <c r="S897">
        <v>17089</v>
      </c>
      <c r="T897">
        <v>1</v>
      </c>
      <c r="U897" t="s">
        <v>38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  <c r="AG897" t="s">
        <v>67</v>
      </c>
      <c r="AH897" t="s">
        <v>46</v>
      </c>
      <c r="AI897">
        <v>0</v>
      </c>
      <c r="AJ897" t="s">
        <v>47</v>
      </c>
      <c r="AK897" t="s">
        <v>48</v>
      </c>
      <c r="AL897" t="s">
        <v>73</v>
      </c>
      <c r="AM897" t="s">
        <v>70</v>
      </c>
      <c r="AN897">
        <f t="shared" si="13"/>
        <v>8</v>
      </c>
    </row>
    <row r="898" spans="1:40">
      <c r="A898">
        <v>31</v>
      </c>
      <c r="B898" t="s">
        <v>51</v>
      </c>
      <c r="C898" t="s">
        <v>39</v>
      </c>
      <c r="D898">
        <v>1062</v>
      </c>
      <c r="E898" t="s">
        <v>53</v>
      </c>
      <c r="F898">
        <v>24</v>
      </c>
      <c r="G898">
        <v>3</v>
      </c>
      <c r="H898" t="s">
        <v>69</v>
      </c>
      <c r="I898">
        <v>1252</v>
      </c>
      <c r="J898">
        <v>3</v>
      </c>
      <c r="K898" t="s">
        <v>42</v>
      </c>
      <c r="L898">
        <v>96</v>
      </c>
      <c r="M898">
        <v>2</v>
      </c>
      <c r="N898">
        <v>2</v>
      </c>
      <c r="O898" t="s">
        <v>76</v>
      </c>
      <c r="P898">
        <v>1</v>
      </c>
      <c r="Q898" t="s">
        <v>44</v>
      </c>
      <c r="R898">
        <v>6812</v>
      </c>
      <c r="S898">
        <v>17198</v>
      </c>
      <c r="T898">
        <v>1</v>
      </c>
      <c r="U898" t="s">
        <v>51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  <c r="AG898" t="s">
        <v>67</v>
      </c>
      <c r="AH898" t="s">
        <v>46</v>
      </c>
      <c r="AI898">
        <v>0</v>
      </c>
      <c r="AJ898" t="s">
        <v>58</v>
      </c>
      <c r="AK898" t="s">
        <v>72</v>
      </c>
      <c r="AL898" t="s">
        <v>73</v>
      </c>
      <c r="AM898" t="s">
        <v>61</v>
      </c>
      <c r="AN898">
        <f t="shared" si="13"/>
        <v>7</v>
      </c>
    </row>
    <row r="899" spans="1:40">
      <c r="A899">
        <v>59</v>
      </c>
      <c r="B899" t="s">
        <v>51</v>
      </c>
      <c r="C899" t="s">
        <v>39</v>
      </c>
      <c r="D899">
        <v>326</v>
      </c>
      <c r="E899" t="s">
        <v>40</v>
      </c>
      <c r="F899">
        <v>3</v>
      </c>
      <c r="G899">
        <v>3</v>
      </c>
      <c r="H899" t="s">
        <v>41</v>
      </c>
      <c r="I899">
        <v>1254</v>
      </c>
      <c r="J899">
        <v>3</v>
      </c>
      <c r="K899" t="s">
        <v>42</v>
      </c>
      <c r="L899">
        <v>48</v>
      </c>
      <c r="M899">
        <v>2</v>
      </c>
      <c r="N899">
        <v>2</v>
      </c>
      <c r="O899" t="s">
        <v>43</v>
      </c>
      <c r="P899">
        <v>4</v>
      </c>
      <c r="Q899" t="s">
        <v>44</v>
      </c>
      <c r="R899">
        <v>5171</v>
      </c>
      <c r="S899">
        <v>16490</v>
      </c>
      <c r="T899">
        <v>5</v>
      </c>
      <c r="U899" t="s">
        <v>51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  <c r="AG899" t="s">
        <v>57</v>
      </c>
      <c r="AH899" t="s">
        <v>46</v>
      </c>
      <c r="AI899">
        <v>0</v>
      </c>
      <c r="AJ899" t="s">
        <v>58</v>
      </c>
      <c r="AK899" t="s">
        <v>72</v>
      </c>
      <c r="AL899" t="s">
        <v>49</v>
      </c>
      <c r="AM899" t="s">
        <v>61</v>
      </c>
      <c r="AN899">
        <f t="shared" ref="AN899:AN962" si="14">((3-P899)*3+((3-AB899)*2+AE899))</f>
        <v>-3</v>
      </c>
    </row>
    <row r="900" spans="1:40">
      <c r="A900">
        <v>43</v>
      </c>
      <c r="B900" t="s">
        <v>51</v>
      </c>
      <c r="C900" t="s">
        <v>39</v>
      </c>
      <c r="D900">
        <v>920</v>
      </c>
      <c r="E900" t="s">
        <v>53</v>
      </c>
      <c r="F900">
        <v>3</v>
      </c>
      <c r="G900">
        <v>3</v>
      </c>
      <c r="H900" t="s">
        <v>41</v>
      </c>
      <c r="I900">
        <v>1255</v>
      </c>
      <c r="J900">
        <v>3</v>
      </c>
      <c r="K900" t="s">
        <v>54</v>
      </c>
      <c r="L900">
        <v>96</v>
      </c>
      <c r="M900">
        <v>1</v>
      </c>
      <c r="N900">
        <v>5</v>
      </c>
      <c r="O900" t="s">
        <v>83</v>
      </c>
      <c r="P900">
        <v>4</v>
      </c>
      <c r="Q900" t="s">
        <v>56</v>
      </c>
      <c r="R900">
        <v>19740</v>
      </c>
      <c r="S900">
        <v>18625</v>
      </c>
      <c r="T900">
        <v>3</v>
      </c>
      <c r="U900" t="s">
        <v>51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  <c r="AG900" t="s">
        <v>45</v>
      </c>
      <c r="AH900" t="s">
        <v>46</v>
      </c>
      <c r="AI900">
        <v>0</v>
      </c>
      <c r="AJ900" t="s">
        <v>58</v>
      </c>
      <c r="AK900" t="s">
        <v>72</v>
      </c>
      <c r="AL900" t="s">
        <v>49</v>
      </c>
      <c r="AM900" t="s">
        <v>61</v>
      </c>
      <c r="AN900">
        <f t="shared" si="14"/>
        <v>-3</v>
      </c>
    </row>
    <row r="901" spans="1:40">
      <c r="A901">
        <v>49</v>
      </c>
      <c r="B901" t="s">
        <v>51</v>
      </c>
      <c r="C901" t="s">
        <v>39</v>
      </c>
      <c r="D901">
        <v>1098</v>
      </c>
      <c r="E901" t="s">
        <v>53</v>
      </c>
      <c r="F901">
        <v>4</v>
      </c>
      <c r="G901">
        <v>2</v>
      </c>
      <c r="H901" t="s">
        <v>69</v>
      </c>
      <c r="I901">
        <v>1256</v>
      </c>
      <c r="J901">
        <v>1</v>
      </c>
      <c r="K901" t="s">
        <v>54</v>
      </c>
      <c r="L901">
        <v>85</v>
      </c>
      <c r="M901">
        <v>2</v>
      </c>
      <c r="N901">
        <v>5</v>
      </c>
      <c r="O901" t="s">
        <v>79</v>
      </c>
      <c r="P901">
        <v>3</v>
      </c>
      <c r="Q901" t="s">
        <v>56</v>
      </c>
      <c r="R901">
        <v>18711</v>
      </c>
      <c r="S901">
        <v>12124</v>
      </c>
      <c r="T901">
        <v>2</v>
      </c>
      <c r="U901" t="s">
        <v>51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  <c r="AG901" t="s">
        <v>57</v>
      </c>
      <c r="AH901" t="s">
        <v>46</v>
      </c>
      <c r="AI901">
        <v>0</v>
      </c>
      <c r="AJ901" t="s">
        <v>65</v>
      </c>
      <c r="AK901" t="s">
        <v>48</v>
      </c>
      <c r="AL901" t="s">
        <v>66</v>
      </c>
      <c r="AM901" t="s">
        <v>85</v>
      </c>
      <c r="AN901">
        <f t="shared" si="14"/>
        <v>-2</v>
      </c>
    </row>
    <row r="902" spans="1:40">
      <c r="A902">
        <v>36</v>
      </c>
      <c r="B902" t="s">
        <v>51</v>
      </c>
      <c r="C902" t="s">
        <v>52</v>
      </c>
      <c r="D902">
        <v>469</v>
      </c>
      <c r="E902" t="s">
        <v>53</v>
      </c>
      <c r="F902">
        <v>3</v>
      </c>
      <c r="G902">
        <v>3</v>
      </c>
      <c r="H902" t="s">
        <v>86</v>
      </c>
      <c r="I902">
        <v>1257</v>
      </c>
      <c r="J902">
        <v>3</v>
      </c>
      <c r="K902" t="s">
        <v>54</v>
      </c>
      <c r="L902">
        <v>46</v>
      </c>
      <c r="M902">
        <v>3</v>
      </c>
      <c r="N902">
        <v>1</v>
      </c>
      <c r="O902" t="s">
        <v>55</v>
      </c>
      <c r="P902">
        <v>2</v>
      </c>
      <c r="Q902" t="s">
        <v>56</v>
      </c>
      <c r="R902">
        <v>3692</v>
      </c>
      <c r="S902">
        <v>9256</v>
      </c>
      <c r="T902">
        <v>1</v>
      </c>
      <c r="U902" t="s">
        <v>51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  <c r="AG902" t="s">
        <v>45</v>
      </c>
      <c r="AH902" t="s">
        <v>71</v>
      </c>
      <c r="AI902">
        <v>0</v>
      </c>
      <c r="AJ902" t="s">
        <v>47</v>
      </c>
      <c r="AK902" t="s">
        <v>72</v>
      </c>
      <c r="AL902" t="s">
        <v>60</v>
      </c>
      <c r="AM902" t="s">
        <v>70</v>
      </c>
      <c r="AN902">
        <f t="shared" si="14"/>
        <v>5</v>
      </c>
    </row>
    <row r="903" spans="1:40">
      <c r="A903">
        <v>48</v>
      </c>
      <c r="B903" t="s">
        <v>51</v>
      </c>
      <c r="C903" t="s">
        <v>39</v>
      </c>
      <c r="D903">
        <v>969</v>
      </c>
      <c r="E903" t="s">
        <v>53</v>
      </c>
      <c r="F903">
        <v>2</v>
      </c>
      <c r="G903">
        <v>2</v>
      </c>
      <c r="H903" t="s">
        <v>86</v>
      </c>
      <c r="I903">
        <v>1258</v>
      </c>
      <c r="J903">
        <v>4</v>
      </c>
      <c r="K903" t="s">
        <v>54</v>
      </c>
      <c r="L903">
        <v>76</v>
      </c>
      <c r="M903">
        <v>4</v>
      </c>
      <c r="N903">
        <v>1</v>
      </c>
      <c r="O903" t="s">
        <v>63</v>
      </c>
      <c r="P903">
        <v>2</v>
      </c>
      <c r="Q903" t="s">
        <v>44</v>
      </c>
      <c r="R903">
        <v>2559</v>
      </c>
      <c r="S903">
        <v>16620</v>
      </c>
      <c r="T903">
        <v>5</v>
      </c>
      <c r="U903" t="s">
        <v>51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  <c r="AG903" t="s">
        <v>57</v>
      </c>
      <c r="AH903" t="s">
        <v>46</v>
      </c>
      <c r="AI903">
        <v>0</v>
      </c>
      <c r="AJ903" t="s">
        <v>47</v>
      </c>
      <c r="AK903" t="s">
        <v>48</v>
      </c>
      <c r="AL903" t="s">
        <v>60</v>
      </c>
      <c r="AM903" t="s">
        <v>70</v>
      </c>
      <c r="AN903">
        <f t="shared" si="14"/>
        <v>5</v>
      </c>
    </row>
    <row r="904" spans="1:40">
      <c r="A904">
        <v>27</v>
      </c>
      <c r="B904" t="s">
        <v>51</v>
      </c>
      <c r="C904" t="s">
        <v>39</v>
      </c>
      <c r="D904">
        <v>1167</v>
      </c>
      <c r="E904" t="s">
        <v>53</v>
      </c>
      <c r="F904">
        <v>4</v>
      </c>
      <c r="G904">
        <v>2</v>
      </c>
      <c r="H904" t="s">
        <v>41</v>
      </c>
      <c r="I904">
        <v>1259</v>
      </c>
      <c r="J904">
        <v>1</v>
      </c>
      <c r="K904" t="s">
        <v>54</v>
      </c>
      <c r="L904">
        <v>76</v>
      </c>
      <c r="M904">
        <v>3</v>
      </c>
      <c r="N904">
        <v>1</v>
      </c>
      <c r="O904" t="s">
        <v>55</v>
      </c>
      <c r="P904">
        <v>3</v>
      </c>
      <c r="Q904" t="s">
        <v>74</v>
      </c>
      <c r="R904">
        <v>2517</v>
      </c>
      <c r="S904">
        <v>3208</v>
      </c>
      <c r="T904">
        <v>1</v>
      </c>
      <c r="U904" t="s">
        <v>51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  <c r="AG904" t="s">
        <v>67</v>
      </c>
      <c r="AH904" t="s">
        <v>81</v>
      </c>
      <c r="AI904">
        <v>0</v>
      </c>
      <c r="AJ904" t="s">
        <v>65</v>
      </c>
      <c r="AK904" t="s">
        <v>48</v>
      </c>
      <c r="AL904" t="s">
        <v>66</v>
      </c>
      <c r="AM904" t="s">
        <v>61</v>
      </c>
      <c r="AN904">
        <f t="shared" si="14"/>
        <v>0</v>
      </c>
    </row>
    <row r="905" spans="1:40">
      <c r="A905">
        <v>29</v>
      </c>
      <c r="B905" t="s">
        <v>51</v>
      </c>
      <c r="C905" t="s">
        <v>39</v>
      </c>
      <c r="D905">
        <v>1329</v>
      </c>
      <c r="E905" t="s">
        <v>53</v>
      </c>
      <c r="F905">
        <v>7</v>
      </c>
      <c r="G905">
        <v>3</v>
      </c>
      <c r="H905" t="s">
        <v>41</v>
      </c>
      <c r="I905">
        <v>1260</v>
      </c>
      <c r="J905">
        <v>3</v>
      </c>
      <c r="K905" t="s">
        <v>54</v>
      </c>
      <c r="L905">
        <v>82</v>
      </c>
      <c r="M905">
        <v>3</v>
      </c>
      <c r="N905">
        <v>2</v>
      </c>
      <c r="O905" t="s">
        <v>76</v>
      </c>
      <c r="P905">
        <v>4</v>
      </c>
      <c r="Q905" t="s">
        <v>74</v>
      </c>
      <c r="R905">
        <v>6623</v>
      </c>
      <c r="S905">
        <v>4204</v>
      </c>
      <c r="T905">
        <v>1</v>
      </c>
      <c r="U905" t="s">
        <v>38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  <c r="AG905" t="s">
        <v>67</v>
      </c>
      <c r="AH905" t="s">
        <v>81</v>
      </c>
      <c r="AI905">
        <v>0</v>
      </c>
      <c r="AJ905" t="s">
        <v>58</v>
      </c>
      <c r="AK905" t="s">
        <v>72</v>
      </c>
      <c r="AL905" t="s">
        <v>49</v>
      </c>
      <c r="AM905" t="s">
        <v>61</v>
      </c>
      <c r="AN905">
        <f t="shared" si="14"/>
        <v>-2</v>
      </c>
    </row>
    <row r="906" spans="1:40">
      <c r="A906">
        <v>48</v>
      </c>
      <c r="B906" t="s">
        <v>51</v>
      </c>
      <c r="C906" t="s">
        <v>39</v>
      </c>
      <c r="D906">
        <v>715</v>
      </c>
      <c r="E906" t="s">
        <v>53</v>
      </c>
      <c r="F906">
        <v>1</v>
      </c>
      <c r="G906">
        <v>3</v>
      </c>
      <c r="H906" t="s">
        <v>41</v>
      </c>
      <c r="I906">
        <v>1263</v>
      </c>
      <c r="J906">
        <v>4</v>
      </c>
      <c r="K906" t="s">
        <v>54</v>
      </c>
      <c r="L906">
        <v>76</v>
      </c>
      <c r="M906">
        <v>2</v>
      </c>
      <c r="N906">
        <v>5</v>
      </c>
      <c r="O906" t="s">
        <v>83</v>
      </c>
      <c r="P906">
        <v>4</v>
      </c>
      <c r="Q906" t="s">
        <v>44</v>
      </c>
      <c r="R906">
        <v>18265</v>
      </c>
      <c r="S906">
        <v>8733</v>
      </c>
      <c r="T906">
        <v>6</v>
      </c>
      <c r="U906" t="s">
        <v>51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  <c r="AG906" t="s">
        <v>57</v>
      </c>
      <c r="AH906" t="s">
        <v>71</v>
      </c>
      <c r="AI906">
        <v>0</v>
      </c>
      <c r="AJ906" t="s">
        <v>65</v>
      </c>
      <c r="AK906" t="s">
        <v>72</v>
      </c>
      <c r="AL906" t="s">
        <v>49</v>
      </c>
      <c r="AM906" t="s">
        <v>85</v>
      </c>
      <c r="AN906">
        <f t="shared" si="14"/>
        <v>-5</v>
      </c>
    </row>
    <row r="907" spans="1:40">
      <c r="A907">
        <v>29</v>
      </c>
      <c r="B907" t="s">
        <v>51</v>
      </c>
      <c r="C907" t="s">
        <v>39</v>
      </c>
      <c r="D907">
        <v>694</v>
      </c>
      <c r="E907" t="s">
        <v>53</v>
      </c>
      <c r="F907">
        <v>1</v>
      </c>
      <c r="G907">
        <v>3</v>
      </c>
      <c r="H907" t="s">
        <v>41</v>
      </c>
      <c r="I907">
        <v>1264</v>
      </c>
      <c r="J907">
        <v>4</v>
      </c>
      <c r="K907" t="s">
        <v>42</v>
      </c>
      <c r="L907">
        <v>87</v>
      </c>
      <c r="M907">
        <v>2</v>
      </c>
      <c r="N907">
        <v>4</v>
      </c>
      <c r="O907" t="s">
        <v>83</v>
      </c>
      <c r="P907">
        <v>4</v>
      </c>
      <c r="Q907" t="s">
        <v>74</v>
      </c>
      <c r="R907">
        <v>16124</v>
      </c>
      <c r="S907">
        <v>3423</v>
      </c>
      <c r="T907">
        <v>3</v>
      </c>
      <c r="U907" t="s">
        <v>51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  <c r="AG907" t="s">
        <v>67</v>
      </c>
      <c r="AH907" t="s">
        <v>81</v>
      </c>
      <c r="AI907">
        <v>0</v>
      </c>
      <c r="AJ907" t="s">
        <v>47</v>
      </c>
      <c r="AK907" t="s">
        <v>72</v>
      </c>
      <c r="AL907" t="s">
        <v>49</v>
      </c>
      <c r="AM907" t="s">
        <v>70</v>
      </c>
      <c r="AN907">
        <f t="shared" si="14"/>
        <v>0</v>
      </c>
    </row>
    <row r="908" spans="1:40">
      <c r="A908">
        <v>34</v>
      </c>
      <c r="B908" t="s">
        <v>51</v>
      </c>
      <c r="C908" t="s">
        <v>39</v>
      </c>
      <c r="D908">
        <v>1320</v>
      </c>
      <c r="E908" t="s">
        <v>53</v>
      </c>
      <c r="F908">
        <v>20</v>
      </c>
      <c r="G908">
        <v>3</v>
      </c>
      <c r="H908" t="s">
        <v>86</v>
      </c>
      <c r="I908">
        <v>1265</v>
      </c>
      <c r="J908">
        <v>3</v>
      </c>
      <c r="K908" t="s">
        <v>42</v>
      </c>
      <c r="L908">
        <v>89</v>
      </c>
      <c r="M908">
        <v>4</v>
      </c>
      <c r="N908">
        <v>1</v>
      </c>
      <c r="O908" t="s">
        <v>55</v>
      </c>
      <c r="P908">
        <v>3</v>
      </c>
      <c r="Q908" t="s">
        <v>56</v>
      </c>
      <c r="R908">
        <v>2585</v>
      </c>
      <c r="S908">
        <v>21643</v>
      </c>
      <c r="T908">
        <v>0</v>
      </c>
      <c r="U908" t="s">
        <v>51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  <c r="AG908" t="s">
        <v>67</v>
      </c>
      <c r="AH908" t="s">
        <v>46</v>
      </c>
      <c r="AI908">
        <v>0</v>
      </c>
      <c r="AJ908" t="s">
        <v>47</v>
      </c>
      <c r="AK908" t="s">
        <v>72</v>
      </c>
      <c r="AL908" t="s">
        <v>66</v>
      </c>
      <c r="AM908" t="s">
        <v>70</v>
      </c>
      <c r="AN908">
        <f t="shared" si="14"/>
        <v>2</v>
      </c>
    </row>
    <row r="909" spans="1:40">
      <c r="A909">
        <v>44</v>
      </c>
      <c r="B909" t="s">
        <v>51</v>
      </c>
      <c r="C909" t="s">
        <v>39</v>
      </c>
      <c r="D909">
        <v>1099</v>
      </c>
      <c r="E909" t="s">
        <v>40</v>
      </c>
      <c r="F909">
        <v>5</v>
      </c>
      <c r="G909">
        <v>3</v>
      </c>
      <c r="H909" t="s">
        <v>84</v>
      </c>
      <c r="I909">
        <v>1267</v>
      </c>
      <c r="J909">
        <v>2</v>
      </c>
      <c r="K909" t="s">
        <v>54</v>
      </c>
      <c r="L909">
        <v>88</v>
      </c>
      <c r="M909">
        <v>3</v>
      </c>
      <c r="N909">
        <v>5</v>
      </c>
      <c r="O909" t="s">
        <v>79</v>
      </c>
      <c r="P909">
        <v>2</v>
      </c>
      <c r="Q909" t="s">
        <v>56</v>
      </c>
      <c r="R909">
        <v>18213</v>
      </c>
      <c r="S909">
        <v>8751</v>
      </c>
      <c r="T909">
        <v>7</v>
      </c>
      <c r="U909" t="s">
        <v>51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  <c r="AG909" t="s">
        <v>45</v>
      </c>
      <c r="AH909" t="s">
        <v>71</v>
      </c>
      <c r="AI909">
        <v>0</v>
      </c>
      <c r="AJ909" t="s">
        <v>80</v>
      </c>
      <c r="AK909" t="s">
        <v>72</v>
      </c>
      <c r="AL909" t="s">
        <v>60</v>
      </c>
      <c r="AM909" t="s">
        <v>61</v>
      </c>
      <c r="AN909">
        <f t="shared" si="14"/>
        <v>6</v>
      </c>
    </row>
    <row r="910" spans="1:40">
      <c r="A910">
        <v>33</v>
      </c>
      <c r="B910" t="s">
        <v>51</v>
      </c>
      <c r="C910" t="s">
        <v>39</v>
      </c>
      <c r="D910">
        <v>536</v>
      </c>
      <c r="E910" t="s">
        <v>40</v>
      </c>
      <c r="F910">
        <v>10</v>
      </c>
      <c r="G910">
        <v>5</v>
      </c>
      <c r="H910" t="s">
        <v>84</v>
      </c>
      <c r="I910">
        <v>1268</v>
      </c>
      <c r="J910">
        <v>4</v>
      </c>
      <c r="K910" t="s">
        <v>54</v>
      </c>
      <c r="L910">
        <v>82</v>
      </c>
      <c r="M910">
        <v>4</v>
      </c>
      <c r="N910">
        <v>3</v>
      </c>
      <c r="O910" t="s">
        <v>43</v>
      </c>
      <c r="P910">
        <v>3</v>
      </c>
      <c r="Q910" t="s">
        <v>74</v>
      </c>
      <c r="R910">
        <v>8380</v>
      </c>
      <c r="S910">
        <v>21708</v>
      </c>
      <c r="T910">
        <v>0</v>
      </c>
      <c r="U910" t="s">
        <v>38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  <c r="AG910" t="s">
        <v>67</v>
      </c>
      <c r="AH910" t="s">
        <v>46</v>
      </c>
      <c r="AI910">
        <v>0</v>
      </c>
      <c r="AJ910" t="s">
        <v>58</v>
      </c>
      <c r="AK910" t="s">
        <v>87</v>
      </c>
      <c r="AL910" t="s">
        <v>66</v>
      </c>
      <c r="AM910" t="s">
        <v>61</v>
      </c>
      <c r="AN910">
        <f t="shared" si="14"/>
        <v>0</v>
      </c>
    </row>
    <row r="911" spans="1:40">
      <c r="A911">
        <v>19</v>
      </c>
      <c r="B911" t="s">
        <v>51</v>
      </c>
      <c r="C911" t="s">
        <v>39</v>
      </c>
      <c r="D911">
        <v>265</v>
      </c>
      <c r="E911" t="s">
        <v>53</v>
      </c>
      <c r="F911">
        <v>25</v>
      </c>
      <c r="G911">
        <v>3</v>
      </c>
      <c r="H911" t="s">
        <v>41</v>
      </c>
      <c r="I911">
        <v>1269</v>
      </c>
      <c r="J911">
        <v>2</v>
      </c>
      <c r="K911" t="s">
        <v>42</v>
      </c>
      <c r="L911">
        <v>57</v>
      </c>
      <c r="M911">
        <v>4</v>
      </c>
      <c r="N911">
        <v>1</v>
      </c>
      <c r="O911" t="s">
        <v>55</v>
      </c>
      <c r="P911">
        <v>4</v>
      </c>
      <c r="Q911" t="s">
        <v>44</v>
      </c>
      <c r="R911">
        <v>2994</v>
      </c>
      <c r="S911">
        <v>21221</v>
      </c>
      <c r="T911">
        <v>1</v>
      </c>
      <c r="U911" t="s">
        <v>38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  <c r="AG911" t="s">
        <v>78</v>
      </c>
      <c r="AH911" t="s">
        <v>46</v>
      </c>
      <c r="AI911">
        <v>0</v>
      </c>
      <c r="AJ911" t="s">
        <v>65</v>
      </c>
      <c r="AK911" t="s">
        <v>72</v>
      </c>
      <c r="AL911" t="s">
        <v>49</v>
      </c>
      <c r="AM911" t="s">
        <v>61</v>
      </c>
      <c r="AN911">
        <f t="shared" si="14"/>
        <v>-3</v>
      </c>
    </row>
    <row r="912" spans="1:40">
      <c r="A912">
        <v>23</v>
      </c>
      <c r="B912" t="s">
        <v>51</v>
      </c>
      <c r="C912" t="s">
        <v>39</v>
      </c>
      <c r="D912">
        <v>373</v>
      </c>
      <c r="E912" t="s">
        <v>53</v>
      </c>
      <c r="F912">
        <v>1</v>
      </c>
      <c r="G912">
        <v>2</v>
      </c>
      <c r="H912" t="s">
        <v>41</v>
      </c>
      <c r="I912">
        <v>1270</v>
      </c>
      <c r="J912">
        <v>4</v>
      </c>
      <c r="K912" t="s">
        <v>54</v>
      </c>
      <c r="L912">
        <v>47</v>
      </c>
      <c r="M912">
        <v>3</v>
      </c>
      <c r="N912">
        <v>1</v>
      </c>
      <c r="O912" t="s">
        <v>55</v>
      </c>
      <c r="P912">
        <v>3</v>
      </c>
      <c r="Q912" t="s">
        <v>56</v>
      </c>
      <c r="R912">
        <v>1223</v>
      </c>
      <c r="S912">
        <v>16901</v>
      </c>
      <c r="T912">
        <v>1</v>
      </c>
      <c r="U912" t="s">
        <v>51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  <c r="AG912" t="s">
        <v>78</v>
      </c>
      <c r="AH912" t="s">
        <v>46</v>
      </c>
      <c r="AI912">
        <v>0</v>
      </c>
      <c r="AJ912" t="s">
        <v>65</v>
      </c>
      <c r="AK912" t="s">
        <v>48</v>
      </c>
      <c r="AL912" t="s">
        <v>66</v>
      </c>
      <c r="AM912" t="s">
        <v>61</v>
      </c>
      <c r="AN912">
        <f t="shared" si="14"/>
        <v>0</v>
      </c>
    </row>
    <row r="913" spans="1:40">
      <c r="A913">
        <v>25</v>
      </c>
      <c r="B913" t="s">
        <v>38</v>
      </c>
      <c r="C913" t="s">
        <v>52</v>
      </c>
      <c r="D913">
        <v>599</v>
      </c>
      <c r="E913" t="s">
        <v>40</v>
      </c>
      <c r="F913">
        <v>24</v>
      </c>
      <c r="G913">
        <v>1</v>
      </c>
      <c r="H913" t="s">
        <v>41</v>
      </c>
      <c r="I913">
        <v>1273</v>
      </c>
      <c r="J913">
        <v>3</v>
      </c>
      <c r="K913" t="s">
        <v>54</v>
      </c>
      <c r="L913">
        <v>73</v>
      </c>
      <c r="M913">
        <v>1</v>
      </c>
      <c r="N913">
        <v>1</v>
      </c>
      <c r="O913" t="s">
        <v>82</v>
      </c>
      <c r="P913">
        <v>4</v>
      </c>
      <c r="Q913" t="s">
        <v>44</v>
      </c>
      <c r="R913">
        <v>1118</v>
      </c>
      <c r="S913">
        <v>8040</v>
      </c>
      <c r="T913">
        <v>1</v>
      </c>
      <c r="U913" t="s">
        <v>38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  <c r="AG913" t="s">
        <v>78</v>
      </c>
      <c r="AH913" t="s">
        <v>71</v>
      </c>
      <c r="AI913">
        <v>1</v>
      </c>
      <c r="AJ913" t="s">
        <v>65</v>
      </c>
      <c r="AK913" t="s">
        <v>59</v>
      </c>
      <c r="AL913" t="s">
        <v>49</v>
      </c>
      <c r="AM913" t="s">
        <v>61</v>
      </c>
      <c r="AN913">
        <f t="shared" si="14"/>
        <v>-2</v>
      </c>
    </row>
    <row r="914" spans="1:40">
      <c r="A914">
        <v>26</v>
      </c>
      <c r="B914" t="s">
        <v>51</v>
      </c>
      <c r="C914" t="s">
        <v>39</v>
      </c>
      <c r="D914">
        <v>583</v>
      </c>
      <c r="E914" t="s">
        <v>53</v>
      </c>
      <c r="F914">
        <v>4</v>
      </c>
      <c r="G914">
        <v>2</v>
      </c>
      <c r="H914" t="s">
        <v>41</v>
      </c>
      <c r="I914">
        <v>1275</v>
      </c>
      <c r="J914">
        <v>3</v>
      </c>
      <c r="K914" t="s">
        <v>54</v>
      </c>
      <c r="L914">
        <v>53</v>
      </c>
      <c r="M914">
        <v>3</v>
      </c>
      <c r="N914">
        <v>1</v>
      </c>
      <c r="O914" t="s">
        <v>55</v>
      </c>
      <c r="P914">
        <v>4</v>
      </c>
      <c r="Q914" t="s">
        <v>44</v>
      </c>
      <c r="R914">
        <v>2875</v>
      </c>
      <c r="S914">
        <v>9973</v>
      </c>
      <c r="T914">
        <v>1</v>
      </c>
      <c r="U914" t="s">
        <v>38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  <c r="AG914" t="s">
        <v>67</v>
      </c>
      <c r="AH914" t="s">
        <v>71</v>
      </c>
      <c r="AI914">
        <v>0</v>
      </c>
      <c r="AJ914" t="s">
        <v>47</v>
      </c>
      <c r="AK914" t="s">
        <v>48</v>
      </c>
      <c r="AL914" t="s">
        <v>49</v>
      </c>
      <c r="AM914" t="s">
        <v>70</v>
      </c>
      <c r="AN914">
        <f t="shared" si="14"/>
        <v>1</v>
      </c>
    </row>
    <row r="915" spans="1:40">
      <c r="A915">
        <v>45</v>
      </c>
      <c r="B915" t="s">
        <v>38</v>
      </c>
      <c r="C915" t="s">
        <v>39</v>
      </c>
      <c r="D915">
        <v>1449</v>
      </c>
      <c r="E915" t="s">
        <v>40</v>
      </c>
      <c r="F915">
        <v>2</v>
      </c>
      <c r="G915">
        <v>3</v>
      </c>
      <c r="H915" t="s">
        <v>84</v>
      </c>
      <c r="I915">
        <v>1277</v>
      </c>
      <c r="J915">
        <v>1</v>
      </c>
      <c r="K915" t="s">
        <v>42</v>
      </c>
      <c r="L915">
        <v>94</v>
      </c>
      <c r="M915">
        <v>1</v>
      </c>
      <c r="N915">
        <v>5</v>
      </c>
      <c r="O915" t="s">
        <v>79</v>
      </c>
      <c r="P915">
        <v>2</v>
      </c>
      <c r="Q915" t="s">
        <v>44</v>
      </c>
      <c r="R915">
        <v>18824</v>
      </c>
      <c r="S915">
        <v>2493</v>
      </c>
      <c r="T915">
        <v>2</v>
      </c>
      <c r="U915" t="s">
        <v>38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  <c r="AG915" t="s">
        <v>45</v>
      </c>
      <c r="AH915" t="s">
        <v>64</v>
      </c>
      <c r="AI915">
        <v>1</v>
      </c>
      <c r="AJ915" t="s">
        <v>80</v>
      </c>
      <c r="AK915" t="s">
        <v>72</v>
      </c>
      <c r="AL915" t="s">
        <v>60</v>
      </c>
      <c r="AM915" t="s">
        <v>61</v>
      </c>
      <c r="AN915">
        <f t="shared" si="14"/>
        <v>4</v>
      </c>
    </row>
    <row r="916" spans="1:40">
      <c r="A916">
        <v>55</v>
      </c>
      <c r="B916" t="s">
        <v>51</v>
      </c>
      <c r="C916" t="s">
        <v>77</v>
      </c>
      <c r="D916">
        <v>177</v>
      </c>
      <c r="E916" t="s">
        <v>53</v>
      </c>
      <c r="F916">
        <v>8</v>
      </c>
      <c r="G916">
        <v>1</v>
      </c>
      <c r="H916" t="s">
        <v>69</v>
      </c>
      <c r="I916">
        <v>1278</v>
      </c>
      <c r="J916">
        <v>4</v>
      </c>
      <c r="K916" t="s">
        <v>54</v>
      </c>
      <c r="L916">
        <v>37</v>
      </c>
      <c r="M916">
        <v>2</v>
      </c>
      <c r="N916">
        <v>4</v>
      </c>
      <c r="O916" t="s">
        <v>76</v>
      </c>
      <c r="P916">
        <v>2</v>
      </c>
      <c r="Q916" t="s">
        <v>74</v>
      </c>
      <c r="R916">
        <v>13577</v>
      </c>
      <c r="S916">
        <v>25592</v>
      </c>
      <c r="T916">
        <v>1</v>
      </c>
      <c r="U916" t="s">
        <v>38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  <c r="AG916" t="s">
        <v>57</v>
      </c>
      <c r="AH916" t="s">
        <v>46</v>
      </c>
      <c r="AI916">
        <v>0</v>
      </c>
      <c r="AJ916" t="s">
        <v>80</v>
      </c>
      <c r="AK916" t="s">
        <v>59</v>
      </c>
      <c r="AL916" t="s">
        <v>60</v>
      </c>
      <c r="AM916" t="s">
        <v>61</v>
      </c>
      <c r="AN916">
        <f t="shared" si="14"/>
        <v>18</v>
      </c>
    </row>
    <row r="917" spans="1:40">
      <c r="A917">
        <v>21</v>
      </c>
      <c r="B917" t="s">
        <v>38</v>
      </c>
      <c r="C917" t="s">
        <v>52</v>
      </c>
      <c r="D917">
        <v>251</v>
      </c>
      <c r="E917" t="s">
        <v>53</v>
      </c>
      <c r="F917">
        <v>10</v>
      </c>
      <c r="G917">
        <v>2</v>
      </c>
      <c r="H917" t="s">
        <v>41</v>
      </c>
      <c r="I917">
        <v>1279</v>
      </c>
      <c r="J917">
        <v>1</v>
      </c>
      <c r="K917" t="s">
        <v>42</v>
      </c>
      <c r="L917">
        <v>45</v>
      </c>
      <c r="M917">
        <v>2</v>
      </c>
      <c r="N917">
        <v>1</v>
      </c>
      <c r="O917" t="s">
        <v>63</v>
      </c>
      <c r="P917">
        <v>3</v>
      </c>
      <c r="Q917" t="s">
        <v>44</v>
      </c>
      <c r="R917">
        <v>2625</v>
      </c>
      <c r="S917">
        <v>25308</v>
      </c>
      <c r="T917">
        <v>1</v>
      </c>
      <c r="U917" t="s">
        <v>51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  <c r="AG917" t="s">
        <v>78</v>
      </c>
      <c r="AH917" t="s">
        <v>46</v>
      </c>
      <c r="AI917">
        <v>1</v>
      </c>
      <c r="AJ917" t="s">
        <v>47</v>
      </c>
      <c r="AK917" t="s">
        <v>48</v>
      </c>
      <c r="AL917" t="s">
        <v>66</v>
      </c>
      <c r="AM917" t="s">
        <v>50</v>
      </c>
      <c r="AN917">
        <f t="shared" si="14"/>
        <v>6</v>
      </c>
    </row>
    <row r="918" spans="1:40">
      <c r="A918">
        <v>46</v>
      </c>
      <c r="B918" t="s">
        <v>51</v>
      </c>
      <c r="C918" t="s">
        <v>39</v>
      </c>
      <c r="D918">
        <v>168</v>
      </c>
      <c r="E918" t="s">
        <v>40</v>
      </c>
      <c r="F918">
        <v>4</v>
      </c>
      <c r="G918">
        <v>2</v>
      </c>
      <c r="H918" t="s">
        <v>84</v>
      </c>
      <c r="I918">
        <v>1280</v>
      </c>
      <c r="J918">
        <v>4</v>
      </c>
      <c r="K918" t="s">
        <v>42</v>
      </c>
      <c r="L918">
        <v>33</v>
      </c>
      <c r="M918">
        <v>2</v>
      </c>
      <c r="N918">
        <v>5</v>
      </c>
      <c r="O918" t="s">
        <v>79</v>
      </c>
      <c r="P918">
        <v>2</v>
      </c>
      <c r="Q918" t="s">
        <v>56</v>
      </c>
      <c r="R918">
        <v>18789</v>
      </c>
      <c r="S918">
        <v>9946</v>
      </c>
      <c r="T918">
        <v>2</v>
      </c>
      <c r="U918" t="s">
        <v>51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  <c r="AG918" t="s">
        <v>57</v>
      </c>
      <c r="AH918" t="s">
        <v>71</v>
      </c>
      <c r="AI918">
        <v>0</v>
      </c>
      <c r="AJ918" t="s">
        <v>80</v>
      </c>
      <c r="AK918" t="s">
        <v>48</v>
      </c>
      <c r="AL918" t="s">
        <v>60</v>
      </c>
      <c r="AM918" t="s">
        <v>61</v>
      </c>
      <c r="AN918">
        <f t="shared" si="14"/>
        <v>3</v>
      </c>
    </row>
    <row r="919" spans="1:40">
      <c r="A919">
        <v>34</v>
      </c>
      <c r="B919" t="s">
        <v>51</v>
      </c>
      <c r="C919" t="s">
        <v>39</v>
      </c>
      <c r="D919">
        <v>131</v>
      </c>
      <c r="E919" t="s">
        <v>40</v>
      </c>
      <c r="F919">
        <v>2</v>
      </c>
      <c r="G919">
        <v>3</v>
      </c>
      <c r="H919" t="s">
        <v>84</v>
      </c>
      <c r="I919">
        <v>1281</v>
      </c>
      <c r="J919">
        <v>3</v>
      </c>
      <c r="K919" t="s">
        <v>42</v>
      </c>
      <c r="L919">
        <v>86</v>
      </c>
      <c r="M919">
        <v>3</v>
      </c>
      <c r="N919">
        <v>2</v>
      </c>
      <c r="O919" t="s">
        <v>43</v>
      </c>
      <c r="P919">
        <v>1</v>
      </c>
      <c r="Q919" t="s">
        <v>44</v>
      </c>
      <c r="R919">
        <v>4538</v>
      </c>
      <c r="S919">
        <v>6039</v>
      </c>
      <c r="T919">
        <v>0</v>
      </c>
      <c r="U919" t="s">
        <v>38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  <c r="AG919" t="s">
        <v>67</v>
      </c>
      <c r="AH919" t="s">
        <v>71</v>
      </c>
      <c r="AI919">
        <v>0</v>
      </c>
      <c r="AJ919" t="s">
        <v>65</v>
      </c>
      <c r="AK919" t="s">
        <v>72</v>
      </c>
      <c r="AL919" t="s">
        <v>73</v>
      </c>
      <c r="AM919" t="s">
        <v>61</v>
      </c>
      <c r="AN919">
        <f t="shared" si="14"/>
        <v>6</v>
      </c>
    </row>
    <row r="920" spans="1:40">
      <c r="A920">
        <v>51</v>
      </c>
      <c r="B920" t="s">
        <v>51</v>
      </c>
      <c r="C920" t="s">
        <v>52</v>
      </c>
      <c r="D920">
        <v>237</v>
      </c>
      <c r="E920" t="s">
        <v>40</v>
      </c>
      <c r="F920">
        <v>9</v>
      </c>
      <c r="G920">
        <v>3</v>
      </c>
      <c r="H920" t="s">
        <v>41</v>
      </c>
      <c r="I920">
        <v>1282</v>
      </c>
      <c r="J920">
        <v>4</v>
      </c>
      <c r="K920" t="s">
        <v>54</v>
      </c>
      <c r="L920">
        <v>83</v>
      </c>
      <c r="M920">
        <v>3</v>
      </c>
      <c r="N920">
        <v>5</v>
      </c>
      <c r="O920" t="s">
        <v>79</v>
      </c>
      <c r="P920">
        <v>2</v>
      </c>
      <c r="Q920" t="s">
        <v>74</v>
      </c>
      <c r="R920">
        <v>19847</v>
      </c>
      <c r="S920">
        <v>19196</v>
      </c>
      <c r="T920">
        <v>4</v>
      </c>
      <c r="U920" t="s">
        <v>38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  <c r="AG920" t="s">
        <v>57</v>
      </c>
      <c r="AH920" t="s">
        <v>46</v>
      </c>
      <c r="AI920">
        <v>0</v>
      </c>
      <c r="AJ920" t="s">
        <v>47</v>
      </c>
      <c r="AK920" t="s">
        <v>72</v>
      </c>
      <c r="AL920" t="s">
        <v>60</v>
      </c>
      <c r="AM920" t="s">
        <v>70</v>
      </c>
      <c r="AN920">
        <f t="shared" si="14"/>
        <v>16</v>
      </c>
    </row>
    <row r="921" spans="1:40">
      <c r="A921">
        <v>59</v>
      </c>
      <c r="B921" t="s">
        <v>51</v>
      </c>
      <c r="C921" t="s">
        <v>39</v>
      </c>
      <c r="D921">
        <v>1429</v>
      </c>
      <c r="E921" t="s">
        <v>53</v>
      </c>
      <c r="F921">
        <v>18</v>
      </c>
      <c r="G921">
        <v>4</v>
      </c>
      <c r="H921" t="s">
        <v>69</v>
      </c>
      <c r="I921">
        <v>1283</v>
      </c>
      <c r="J921">
        <v>4</v>
      </c>
      <c r="K921" t="s">
        <v>54</v>
      </c>
      <c r="L921">
        <v>67</v>
      </c>
      <c r="M921">
        <v>3</v>
      </c>
      <c r="N921">
        <v>3</v>
      </c>
      <c r="O921" t="s">
        <v>75</v>
      </c>
      <c r="P921">
        <v>4</v>
      </c>
      <c r="Q921" t="s">
        <v>44</v>
      </c>
      <c r="R921">
        <v>10512</v>
      </c>
      <c r="S921">
        <v>20002</v>
      </c>
      <c r="T921">
        <v>6</v>
      </c>
      <c r="U921" t="s">
        <v>51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  <c r="AG921" t="s">
        <v>57</v>
      </c>
      <c r="AH921" t="s">
        <v>46</v>
      </c>
      <c r="AI921">
        <v>0</v>
      </c>
      <c r="AJ921" t="s">
        <v>47</v>
      </c>
      <c r="AK921" t="s">
        <v>68</v>
      </c>
      <c r="AL921" t="s">
        <v>49</v>
      </c>
      <c r="AM921" t="s">
        <v>70</v>
      </c>
      <c r="AN921">
        <f t="shared" si="14"/>
        <v>4</v>
      </c>
    </row>
    <row r="922" spans="1:40">
      <c r="A922">
        <v>34</v>
      </c>
      <c r="B922" t="s">
        <v>51</v>
      </c>
      <c r="C922" t="s">
        <v>52</v>
      </c>
      <c r="D922">
        <v>135</v>
      </c>
      <c r="E922" t="s">
        <v>53</v>
      </c>
      <c r="F922">
        <v>19</v>
      </c>
      <c r="G922">
        <v>3</v>
      </c>
      <c r="H922" t="s">
        <v>69</v>
      </c>
      <c r="I922">
        <v>1285</v>
      </c>
      <c r="J922">
        <v>3</v>
      </c>
      <c r="K922" t="s">
        <v>42</v>
      </c>
      <c r="L922">
        <v>46</v>
      </c>
      <c r="M922">
        <v>3</v>
      </c>
      <c r="N922">
        <v>2</v>
      </c>
      <c r="O922" t="s">
        <v>63</v>
      </c>
      <c r="P922">
        <v>2</v>
      </c>
      <c r="Q922" t="s">
        <v>74</v>
      </c>
      <c r="R922">
        <v>4444</v>
      </c>
      <c r="S922">
        <v>22534</v>
      </c>
      <c r="T922">
        <v>4</v>
      </c>
      <c r="U922" t="s">
        <v>51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  <c r="AG922" t="s">
        <v>67</v>
      </c>
      <c r="AH922" t="s">
        <v>46</v>
      </c>
      <c r="AI922">
        <v>0</v>
      </c>
      <c r="AJ922" t="s">
        <v>80</v>
      </c>
      <c r="AK922" t="s">
        <v>72</v>
      </c>
      <c r="AL922" t="s">
        <v>60</v>
      </c>
      <c r="AM922" t="s">
        <v>85</v>
      </c>
      <c r="AN922">
        <f t="shared" si="14"/>
        <v>6</v>
      </c>
    </row>
    <row r="923" spans="1:40">
      <c r="A923">
        <v>28</v>
      </c>
      <c r="B923" t="s">
        <v>51</v>
      </c>
      <c r="C923" t="s">
        <v>52</v>
      </c>
      <c r="D923">
        <v>791</v>
      </c>
      <c r="E923" t="s">
        <v>53</v>
      </c>
      <c r="F923">
        <v>1</v>
      </c>
      <c r="G923">
        <v>4</v>
      </c>
      <c r="H923" t="s">
        <v>69</v>
      </c>
      <c r="I923">
        <v>1286</v>
      </c>
      <c r="J923">
        <v>4</v>
      </c>
      <c r="K923" t="s">
        <v>54</v>
      </c>
      <c r="L923">
        <v>44</v>
      </c>
      <c r="M923">
        <v>3</v>
      </c>
      <c r="N923">
        <v>1</v>
      </c>
      <c r="O923" t="s">
        <v>63</v>
      </c>
      <c r="P923">
        <v>3</v>
      </c>
      <c r="Q923" t="s">
        <v>44</v>
      </c>
      <c r="R923">
        <v>2154</v>
      </c>
      <c r="S923">
        <v>6842</v>
      </c>
      <c r="T923">
        <v>0</v>
      </c>
      <c r="U923" t="s">
        <v>38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  <c r="AG923" t="s">
        <v>67</v>
      </c>
      <c r="AH923" t="s">
        <v>71</v>
      </c>
      <c r="AI923">
        <v>0</v>
      </c>
      <c r="AJ923" t="s">
        <v>47</v>
      </c>
      <c r="AK923" t="s">
        <v>68</v>
      </c>
      <c r="AL923" t="s">
        <v>66</v>
      </c>
      <c r="AM923" t="s">
        <v>70</v>
      </c>
      <c r="AN923">
        <f t="shared" si="14"/>
        <v>2</v>
      </c>
    </row>
    <row r="924" spans="1:40">
      <c r="A924">
        <v>44</v>
      </c>
      <c r="B924" t="s">
        <v>51</v>
      </c>
      <c r="C924" t="s">
        <v>39</v>
      </c>
      <c r="D924">
        <v>1199</v>
      </c>
      <c r="E924" t="s">
        <v>53</v>
      </c>
      <c r="F924">
        <v>4</v>
      </c>
      <c r="G924">
        <v>2</v>
      </c>
      <c r="H924" t="s">
        <v>41</v>
      </c>
      <c r="I924">
        <v>1288</v>
      </c>
      <c r="J924">
        <v>3</v>
      </c>
      <c r="K924" t="s">
        <v>54</v>
      </c>
      <c r="L924">
        <v>92</v>
      </c>
      <c r="M924">
        <v>4</v>
      </c>
      <c r="N924">
        <v>5</v>
      </c>
      <c r="O924" t="s">
        <v>79</v>
      </c>
      <c r="P924">
        <v>1</v>
      </c>
      <c r="Q924" t="s">
        <v>74</v>
      </c>
      <c r="R924">
        <v>19190</v>
      </c>
      <c r="S924">
        <v>17477</v>
      </c>
      <c r="T924">
        <v>1</v>
      </c>
      <c r="U924" t="s">
        <v>51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  <c r="AG924" t="s">
        <v>45</v>
      </c>
      <c r="AH924" t="s">
        <v>46</v>
      </c>
      <c r="AI924">
        <v>0</v>
      </c>
      <c r="AJ924" t="s">
        <v>47</v>
      </c>
      <c r="AK924" t="s">
        <v>48</v>
      </c>
      <c r="AL924" t="s">
        <v>73</v>
      </c>
      <c r="AM924" t="s">
        <v>70</v>
      </c>
      <c r="AN924">
        <f t="shared" si="14"/>
        <v>22</v>
      </c>
    </row>
    <row r="925" spans="1:40">
      <c r="A925">
        <v>34</v>
      </c>
      <c r="B925" t="s">
        <v>51</v>
      </c>
      <c r="C925" t="s">
        <v>52</v>
      </c>
      <c r="D925">
        <v>648</v>
      </c>
      <c r="E925" t="s">
        <v>88</v>
      </c>
      <c r="F925">
        <v>11</v>
      </c>
      <c r="G925">
        <v>3</v>
      </c>
      <c r="H925" t="s">
        <v>41</v>
      </c>
      <c r="I925">
        <v>1289</v>
      </c>
      <c r="J925">
        <v>3</v>
      </c>
      <c r="K925" t="s">
        <v>54</v>
      </c>
      <c r="L925">
        <v>56</v>
      </c>
      <c r="M925">
        <v>2</v>
      </c>
      <c r="N925">
        <v>2</v>
      </c>
      <c r="O925" t="s">
        <v>88</v>
      </c>
      <c r="P925">
        <v>2</v>
      </c>
      <c r="Q925" t="s">
        <v>56</v>
      </c>
      <c r="R925">
        <v>4490</v>
      </c>
      <c r="S925">
        <v>21833</v>
      </c>
      <c r="T925">
        <v>4</v>
      </c>
      <c r="U925" t="s">
        <v>51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  <c r="AG925" t="s">
        <v>67</v>
      </c>
      <c r="AH925" t="s">
        <v>46</v>
      </c>
      <c r="AI925">
        <v>0</v>
      </c>
      <c r="AJ925" t="s">
        <v>58</v>
      </c>
      <c r="AK925" t="s">
        <v>72</v>
      </c>
      <c r="AL925" t="s">
        <v>60</v>
      </c>
      <c r="AM925" t="s">
        <v>85</v>
      </c>
      <c r="AN925">
        <f t="shared" si="14"/>
        <v>2</v>
      </c>
    </row>
    <row r="926" spans="1:40">
      <c r="A926">
        <v>35</v>
      </c>
      <c r="B926" t="s">
        <v>51</v>
      </c>
      <c r="C926" t="s">
        <v>39</v>
      </c>
      <c r="D926">
        <v>735</v>
      </c>
      <c r="E926" t="s">
        <v>53</v>
      </c>
      <c r="F926">
        <v>6</v>
      </c>
      <c r="G926">
        <v>1</v>
      </c>
      <c r="H926" t="s">
        <v>41</v>
      </c>
      <c r="I926">
        <v>1291</v>
      </c>
      <c r="J926">
        <v>3</v>
      </c>
      <c r="K926" t="s">
        <v>54</v>
      </c>
      <c r="L926">
        <v>66</v>
      </c>
      <c r="M926">
        <v>3</v>
      </c>
      <c r="N926">
        <v>1</v>
      </c>
      <c r="O926" t="s">
        <v>55</v>
      </c>
      <c r="P926">
        <v>3</v>
      </c>
      <c r="Q926" t="s">
        <v>56</v>
      </c>
      <c r="R926">
        <v>3506</v>
      </c>
      <c r="S926">
        <v>6020</v>
      </c>
      <c r="T926">
        <v>0</v>
      </c>
      <c r="U926" t="s">
        <v>38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  <c r="AG926" t="s">
        <v>67</v>
      </c>
      <c r="AH926" t="s">
        <v>71</v>
      </c>
      <c r="AI926">
        <v>0</v>
      </c>
      <c r="AJ926" t="s">
        <v>65</v>
      </c>
      <c r="AK926" t="s">
        <v>59</v>
      </c>
      <c r="AL926" t="s">
        <v>66</v>
      </c>
      <c r="AM926" t="s">
        <v>61</v>
      </c>
      <c r="AN926">
        <f t="shared" si="14"/>
        <v>2</v>
      </c>
    </row>
    <row r="927" spans="1:40">
      <c r="A927">
        <v>42</v>
      </c>
      <c r="B927" t="s">
        <v>51</v>
      </c>
      <c r="C927" t="s">
        <v>39</v>
      </c>
      <c r="D927">
        <v>603</v>
      </c>
      <c r="E927" t="s">
        <v>53</v>
      </c>
      <c r="F927">
        <v>7</v>
      </c>
      <c r="G927">
        <v>4</v>
      </c>
      <c r="H927" t="s">
        <v>69</v>
      </c>
      <c r="I927">
        <v>1292</v>
      </c>
      <c r="J927">
        <v>2</v>
      </c>
      <c r="K927" t="s">
        <v>42</v>
      </c>
      <c r="L927">
        <v>78</v>
      </c>
      <c r="M927">
        <v>4</v>
      </c>
      <c r="N927">
        <v>2</v>
      </c>
      <c r="O927" t="s">
        <v>55</v>
      </c>
      <c r="P927">
        <v>2</v>
      </c>
      <c r="Q927" t="s">
        <v>56</v>
      </c>
      <c r="R927">
        <v>2372</v>
      </c>
      <c r="S927">
        <v>5628</v>
      </c>
      <c r="T927">
        <v>6</v>
      </c>
      <c r="U927" t="s">
        <v>38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  <c r="AG927" t="s">
        <v>45</v>
      </c>
      <c r="AH927" t="s">
        <v>81</v>
      </c>
      <c r="AI927">
        <v>0</v>
      </c>
      <c r="AJ927" t="s">
        <v>65</v>
      </c>
      <c r="AK927" t="s">
        <v>68</v>
      </c>
      <c r="AL927" t="s">
        <v>60</v>
      </c>
      <c r="AM927" t="s">
        <v>61</v>
      </c>
      <c r="AN927">
        <f t="shared" si="14"/>
        <v>3</v>
      </c>
    </row>
    <row r="928" spans="1:40">
      <c r="A928">
        <v>43</v>
      </c>
      <c r="B928" t="s">
        <v>51</v>
      </c>
      <c r="C928" t="s">
        <v>39</v>
      </c>
      <c r="D928">
        <v>531</v>
      </c>
      <c r="E928" t="s">
        <v>40</v>
      </c>
      <c r="F928">
        <v>4</v>
      </c>
      <c r="G928">
        <v>4</v>
      </c>
      <c r="H928" t="s">
        <v>84</v>
      </c>
      <c r="I928">
        <v>1293</v>
      </c>
      <c r="J928">
        <v>4</v>
      </c>
      <c r="K928" t="s">
        <v>42</v>
      </c>
      <c r="L928">
        <v>56</v>
      </c>
      <c r="M928">
        <v>2</v>
      </c>
      <c r="N928">
        <v>3</v>
      </c>
      <c r="O928" t="s">
        <v>43</v>
      </c>
      <c r="P928">
        <v>4</v>
      </c>
      <c r="Q928" t="s">
        <v>44</v>
      </c>
      <c r="R928">
        <v>10231</v>
      </c>
      <c r="S928">
        <v>20364</v>
      </c>
      <c r="T928">
        <v>3</v>
      </c>
      <c r="U928" t="s">
        <v>51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  <c r="AG928" t="s">
        <v>45</v>
      </c>
      <c r="AH928" t="s">
        <v>46</v>
      </c>
      <c r="AI928">
        <v>0</v>
      </c>
      <c r="AJ928" t="s">
        <v>80</v>
      </c>
      <c r="AK928" t="s">
        <v>68</v>
      </c>
      <c r="AL928" t="s">
        <v>49</v>
      </c>
      <c r="AM928" t="s">
        <v>85</v>
      </c>
      <c r="AN928">
        <f t="shared" si="14"/>
        <v>10</v>
      </c>
    </row>
    <row r="929" spans="1:40">
      <c r="A929">
        <v>36</v>
      </c>
      <c r="B929" t="s">
        <v>51</v>
      </c>
      <c r="C929" t="s">
        <v>39</v>
      </c>
      <c r="D929">
        <v>429</v>
      </c>
      <c r="E929" t="s">
        <v>53</v>
      </c>
      <c r="F929">
        <v>2</v>
      </c>
      <c r="G929">
        <v>4</v>
      </c>
      <c r="H929" t="s">
        <v>41</v>
      </c>
      <c r="I929">
        <v>1294</v>
      </c>
      <c r="J929">
        <v>3</v>
      </c>
      <c r="K929" t="s">
        <v>42</v>
      </c>
      <c r="L929">
        <v>53</v>
      </c>
      <c r="M929">
        <v>3</v>
      </c>
      <c r="N929">
        <v>2</v>
      </c>
      <c r="O929" t="s">
        <v>75</v>
      </c>
      <c r="P929">
        <v>2</v>
      </c>
      <c r="Q929" t="s">
        <v>44</v>
      </c>
      <c r="R929">
        <v>5410</v>
      </c>
      <c r="S929">
        <v>2323</v>
      </c>
      <c r="T929">
        <v>9</v>
      </c>
      <c r="U929" t="s">
        <v>38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  <c r="AG929" t="s">
        <v>45</v>
      </c>
      <c r="AH929" t="s">
        <v>64</v>
      </c>
      <c r="AI929">
        <v>0</v>
      </c>
      <c r="AJ929" t="s">
        <v>80</v>
      </c>
      <c r="AK929" t="s">
        <v>68</v>
      </c>
      <c r="AL929" t="s">
        <v>60</v>
      </c>
      <c r="AM929" t="s">
        <v>61</v>
      </c>
      <c r="AN929">
        <f t="shared" si="14"/>
        <v>8</v>
      </c>
    </row>
    <row r="930" spans="1:40">
      <c r="A930">
        <v>44</v>
      </c>
      <c r="B930" t="s">
        <v>38</v>
      </c>
      <c r="C930" t="s">
        <v>39</v>
      </c>
      <c r="D930">
        <v>621</v>
      </c>
      <c r="E930" t="s">
        <v>53</v>
      </c>
      <c r="F930">
        <v>15</v>
      </c>
      <c r="G930">
        <v>3</v>
      </c>
      <c r="H930" t="s">
        <v>69</v>
      </c>
      <c r="I930">
        <v>1295</v>
      </c>
      <c r="J930">
        <v>1</v>
      </c>
      <c r="K930" t="s">
        <v>42</v>
      </c>
      <c r="L930">
        <v>73</v>
      </c>
      <c r="M930">
        <v>3</v>
      </c>
      <c r="N930">
        <v>3</v>
      </c>
      <c r="O930" t="s">
        <v>76</v>
      </c>
      <c r="P930">
        <v>4</v>
      </c>
      <c r="Q930" t="s">
        <v>56</v>
      </c>
      <c r="R930">
        <v>7978</v>
      </c>
      <c r="S930">
        <v>14075</v>
      </c>
      <c r="T930">
        <v>1</v>
      </c>
      <c r="U930" t="s">
        <v>51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  <c r="AG930" t="s">
        <v>45</v>
      </c>
      <c r="AH930" t="s">
        <v>46</v>
      </c>
      <c r="AI930">
        <v>1</v>
      </c>
      <c r="AJ930" t="s">
        <v>58</v>
      </c>
      <c r="AK930" t="s">
        <v>72</v>
      </c>
      <c r="AL930" t="s">
        <v>49</v>
      </c>
      <c r="AM930" t="s">
        <v>61</v>
      </c>
      <c r="AN930">
        <f t="shared" si="14"/>
        <v>-3</v>
      </c>
    </row>
    <row r="931" spans="1:40">
      <c r="A931">
        <v>28</v>
      </c>
      <c r="B931" t="s">
        <v>51</v>
      </c>
      <c r="C931" t="s">
        <v>52</v>
      </c>
      <c r="D931">
        <v>193</v>
      </c>
      <c r="E931" t="s">
        <v>53</v>
      </c>
      <c r="F931">
        <v>2</v>
      </c>
      <c r="G931">
        <v>3</v>
      </c>
      <c r="H931" t="s">
        <v>41</v>
      </c>
      <c r="I931">
        <v>1296</v>
      </c>
      <c r="J931">
        <v>4</v>
      </c>
      <c r="K931" t="s">
        <v>54</v>
      </c>
      <c r="L931">
        <v>52</v>
      </c>
      <c r="M931">
        <v>2</v>
      </c>
      <c r="N931">
        <v>1</v>
      </c>
      <c r="O931" t="s">
        <v>63</v>
      </c>
      <c r="P931">
        <v>4</v>
      </c>
      <c r="Q931" t="s">
        <v>56</v>
      </c>
      <c r="R931">
        <v>3867</v>
      </c>
      <c r="S931">
        <v>14222</v>
      </c>
      <c r="T931">
        <v>1</v>
      </c>
      <c r="U931" t="s">
        <v>38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  <c r="AG931" t="s">
        <v>67</v>
      </c>
      <c r="AH931" t="s">
        <v>46</v>
      </c>
      <c r="AI931">
        <v>0</v>
      </c>
      <c r="AJ931" t="s">
        <v>65</v>
      </c>
      <c r="AK931" t="s">
        <v>72</v>
      </c>
      <c r="AL931" t="s">
        <v>49</v>
      </c>
      <c r="AM931" t="s">
        <v>61</v>
      </c>
      <c r="AN931">
        <f t="shared" si="14"/>
        <v>-1</v>
      </c>
    </row>
    <row r="932" spans="1:40">
      <c r="A932">
        <v>51</v>
      </c>
      <c r="B932" t="s">
        <v>51</v>
      </c>
      <c r="C932" t="s">
        <v>52</v>
      </c>
      <c r="D932">
        <v>968</v>
      </c>
      <c r="E932" t="s">
        <v>53</v>
      </c>
      <c r="F932">
        <v>6</v>
      </c>
      <c r="G932">
        <v>2</v>
      </c>
      <c r="H932" t="s">
        <v>69</v>
      </c>
      <c r="I932">
        <v>1297</v>
      </c>
      <c r="J932">
        <v>2</v>
      </c>
      <c r="K932" t="s">
        <v>42</v>
      </c>
      <c r="L932">
        <v>40</v>
      </c>
      <c r="M932">
        <v>2</v>
      </c>
      <c r="N932">
        <v>1</v>
      </c>
      <c r="O932" t="s">
        <v>63</v>
      </c>
      <c r="P932">
        <v>3</v>
      </c>
      <c r="Q932" t="s">
        <v>44</v>
      </c>
      <c r="R932">
        <v>2838</v>
      </c>
      <c r="S932">
        <v>4257</v>
      </c>
      <c r="T932">
        <v>0</v>
      </c>
      <c r="U932" t="s">
        <v>51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  <c r="AG932" t="s">
        <v>57</v>
      </c>
      <c r="AH932" t="s">
        <v>81</v>
      </c>
      <c r="AI932">
        <v>0</v>
      </c>
      <c r="AJ932" t="s">
        <v>47</v>
      </c>
      <c r="AK932" t="s">
        <v>48</v>
      </c>
      <c r="AL932" t="s">
        <v>66</v>
      </c>
      <c r="AM932" t="s">
        <v>70</v>
      </c>
      <c r="AN932">
        <f t="shared" si="14"/>
        <v>9</v>
      </c>
    </row>
    <row r="933" spans="1:40">
      <c r="A933">
        <v>30</v>
      </c>
      <c r="B933" t="s">
        <v>51</v>
      </c>
      <c r="C933" t="s">
        <v>77</v>
      </c>
      <c r="D933">
        <v>879</v>
      </c>
      <c r="E933" t="s">
        <v>53</v>
      </c>
      <c r="F933">
        <v>9</v>
      </c>
      <c r="G933">
        <v>2</v>
      </c>
      <c r="H933" t="s">
        <v>69</v>
      </c>
      <c r="I933">
        <v>1298</v>
      </c>
      <c r="J933">
        <v>3</v>
      </c>
      <c r="K933" t="s">
        <v>42</v>
      </c>
      <c r="L933">
        <v>72</v>
      </c>
      <c r="M933">
        <v>3</v>
      </c>
      <c r="N933">
        <v>2</v>
      </c>
      <c r="O933" t="s">
        <v>75</v>
      </c>
      <c r="P933">
        <v>3</v>
      </c>
      <c r="Q933" t="s">
        <v>44</v>
      </c>
      <c r="R933">
        <v>4695</v>
      </c>
      <c r="S933">
        <v>12858</v>
      </c>
      <c r="T933">
        <v>7</v>
      </c>
      <c r="U933" t="s">
        <v>38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  <c r="AG933" t="s">
        <v>67</v>
      </c>
      <c r="AH933" t="s">
        <v>46</v>
      </c>
      <c r="AI933">
        <v>0</v>
      </c>
      <c r="AJ933" t="s">
        <v>58</v>
      </c>
      <c r="AK933" t="s">
        <v>48</v>
      </c>
      <c r="AL933" t="s">
        <v>66</v>
      </c>
      <c r="AM933" t="s">
        <v>61</v>
      </c>
      <c r="AN933">
        <f t="shared" si="14"/>
        <v>1</v>
      </c>
    </row>
    <row r="934" spans="1:40">
      <c r="A934">
        <v>29</v>
      </c>
      <c r="B934" t="s">
        <v>38</v>
      </c>
      <c r="C934" t="s">
        <v>39</v>
      </c>
      <c r="D934">
        <v>806</v>
      </c>
      <c r="E934" t="s">
        <v>53</v>
      </c>
      <c r="F934">
        <v>7</v>
      </c>
      <c r="G934">
        <v>3</v>
      </c>
      <c r="H934" t="s">
        <v>86</v>
      </c>
      <c r="I934">
        <v>1299</v>
      </c>
      <c r="J934">
        <v>2</v>
      </c>
      <c r="K934" t="s">
        <v>42</v>
      </c>
      <c r="L934">
        <v>39</v>
      </c>
      <c r="M934">
        <v>3</v>
      </c>
      <c r="N934">
        <v>1</v>
      </c>
      <c r="O934" t="s">
        <v>63</v>
      </c>
      <c r="P934">
        <v>3</v>
      </c>
      <c r="Q934" t="s">
        <v>74</v>
      </c>
      <c r="R934">
        <v>3339</v>
      </c>
      <c r="S934">
        <v>17285</v>
      </c>
      <c r="T934">
        <v>3</v>
      </c>
      <c r="U934" t="s">
        <v>38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  <c r="AG934" t="s">
        <v>67</v>
      </c>
      <c r="AH934" t="s">
        <v>46</v>
      </c>
      <c r="AI934">
        <v>1</v>
      </c>
      <c r="AJ934" t="s">
        <v>58</v>
      </c>
      <c r="AK934" t="s">
        <v>72</v>
      </c>
      <c r="AL934" t="s">
        <v>66</v>
      </c>
      <c r="AM934" t="s">
        <v>61</v>
      </c>
      <c r="AN934">
        <f t="shared" si="14"/>
        <v>7</v>
      </c>
    </row>
    <row r="935" spans="1:40">
      <c r="A935">
        <v>28</v>
      </c>
      <c r="B935" t="s">
        <v>51</v>
      </c>
      <c r="C935" t="s">
        <v>39</v>
      </c>
      <c r="D935">
        <v>640</v>
      </c>
      <c r="E935" t="s">
        <v>53</v>
      </c>
      <c r="F935">
        <v>1</v>
      </c>
      <c r="G935">
        <v>3</v>
      </c>
      <c r="H935" t="s">
        <v>86</v>
      </c>
      <c r="I935">
        <v>1301</v>
      </c>
      <c r="J935">
        <v>4</v>
      </c>
      <c r="K935" t="s">
        <v>54</v>
      </c>
      <c r="L935">
        <v>84</v>
      </c>
      <c r="M935">
        <v>3</v>
      </c>
      <c r="N935">
        <v>1</v>
      </c>
      <c r="O935" t="s">
        <v>55</v>
      </c>
      <c r="P935">
        <v>1</v>
      </c>
      <c r="Q935" t="s">
        <v>44</v>
      </c>
      <c r="R935">
        <v>2080</v>
      </c>
      <c r="S935">
        <v>4732</v>
      </c>
      <c r="T935">
        <v>2</v>
      </c>
      <c r="U935" t="s">
        <v>51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  <c r="AG935" t="s">
        <v>67</v>
      </c>
      <c r="AH935" t="s">
        <v>81</v>
      </c>
      <c r="AI935">
        <v>0</v>
      </c>
      <c r="AJ935" t="s">
        <v>47</v>
      </c>
      <c r="AK935" t="s">
        <v>72</v>
      </c>
      <c r="AL935" t="s">
        <v>73</v>
      </c>
      <c r="AM935" t="s">
        <v>70</v>
      </c>
      <c r="AN935">
        <f t="shared" si="14"/>
        <v>9</v>
      </c>
    </row>
    <row r="936" spans="1:40">
      <c r="A936">
        <v>25</v>
      </c>
      <c r="B936" t="s">
        <v>51</v>
      </c>
      <c r="C936" t="s">
        <v>39</v>
      </c>
      <c r="D936">
        <v>266</v>
      </c>
      <c r="E936" t="s">
        <v>53</v>
      </c>
      <c r="F936">
        <v>1</v>
      </c>
      <c r="G936">
        <v>3</v>
      </c>
      <c r="H936" t="s">
        <v>69</v>
      </c>
      <c r="I936">
        <v>1303</v>
      </c>
      <c r="J936">
        <v>4</v>
      </c>
      <c r="K936" t="s">
        <v>42</v>
      </c>
      <c r="L936">
        <v>40</v>
      </c>
      <c r="M936">
        <v>3</v>
      </c>
      <c r="N936">
        <v>1</v>
      </c>
      <c r="O936" t="s">
        <v>55</v>
      </c>
      <c r="P936">
        <v>2</v>
      </c>
      <c r="Q936" t="s">
        <v>44</v>
      </c>
      <c r="R936">
        <v>2096</v>
      </c>
      <c r="S936">
        <v>18830</v>
      </c>
      <c r="T936">
        <v>1</v>
      </c>
      <c r="U936" t="s">
        <v>51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  <c r="AG936" t="s">
        <v>78</v>
      </c>
      <c r="AH936" t="s">
        <v>46</v>
      </c>
      <c r="AI936">
        <v>0</v>
      </c>
      <c r="AJ936" t="s">
        <v>47</v>
      </c>
      <c r="AK936" t="s">
        <v>72</v>
      </c>
      <c r="AL936" t="s">
        <v>60</v>
      </c>
      <c r="AM936" t="s">
        <v>70</v>
      </c>
      <c r="AN936">
        <f t="shared" si="14"/>
        <v>7</v>
      </c>
    </row>
    <row r="937" spans="1:40">
      <c r="A937">
        <v>32</v>
      </c>
      <c r="B937" t="s">
        <v>51</v>
      </c>
      <c r="C937" t="s">
        <v>39</v>
      </c>
      <c r="D937">
        <v>604</v>
      </c>
      <c r="E937" t="s">
        <v>40</v>
      </c>
      <c r="F937">
        <v>8</v>
      </c>
      <c r="G937">
        <v>3</v>
      </c>
      <c r="H937" t="s">
        <v>69</v>
      </c>
      <c r="I937">
        <v>1304</v>
      </c>
      <c r="J937">
        <v>3</v>
      </c>
      <c r="K937" t="s">
        <v>54</v>
      </c>
      <c r="L937">
        <v>56</v>
      </c>
      <c r="M937">
        <v>4</v>
      </c>
      <c r="N937">
        <v>2</v>
      </c>
      <c r="O937" t="s">
        <v>43</v>
      </c>
      <c r="P937">
        <v>4</v>
      </c>
      <c r="Q937" t="s">
        <v>56</v>
      </c>
      <c r="R937">
        <v>6209</v>
      </c>
      <c r="S937">
        <v>11693</v>
      </c>
      <c r="T937">
        <v>1</v>
      </c>
      <c r="U937" t="s">
        <v>51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  <c r="AG937" t="s">
        <v>67</v>
      </c>
      <c r="AH937" t="s">
        <v>46</v>
      </c>
      <c r="AI937">
        <v>0</v>
      </c>
      <c r="AJ937" t="s">
        <v>58</v>
      </c>
      <c r="AK937" t="s">
        <v>72</v>
      </c>
      <c r="AL937" t="s">
        <v>49</v>
      </c>
      <c r="AM937" t="s">
        <v>85</v>
      </c>
      <c r="AN937">
        <f t="shared" si="14"/>
        <v>-5</v>
      </c>
    </row>
    <row r="938" spans="1:40">
      <c r="A938">
        <v>45</v>
      </c>
      <c r="B938" t="s">
        <v>51</v>
      </c>
      <c r="C938" t="s">
        <v>52</v>
      </c>
      <c r="D938">
        <v>364</v>
      </c>
      <c r="E938" t="s">
        <v>53</v>
      </c>
      <c r="F938">
        <v>25</v>
      </c>
      <c r="G938">
        <v>3</v>
      </c>
      <c r="H938" t="s">
        <v>69</v>
      </c>
      <c r="I938">
        <v>1306</v>
      </c>
      <c r="J938">
        <v>2</v>
      </c>
      <c r="K938" t="s">
        <v>42</v>
      </c>
      <c r="L938">
        <v>83</v>
      </c>
      <c r="M938">
        <v>3</v>
      </c>
      <c r="N938">
        <v>5</v>
      </c>
      <c r="O938" t="s">
        <v>79</v>
      </c>
      <c r="P938">
        <v>2</v>
      </c>
      <c r="Q938" t="s">
        <v>44</v>
      </c>
      <c r="R938">
        <v>18061</v>
      </c>
      <c r="S938">
        <v>13035</v>
      </c>
      <c r="T938">
        <v>3</v>
      </c>
      <c r="U938" t="s">
        <v>51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 t="s">
        <v>45</v>
      </c>
      <c r="AH938" t="s">
        <v>46</v>
      </c>
      <c r="AI938">
        <v>0</v>
      </c>
      <c r="AJ938" t="s">
        <v>65</v>
      </c>
      <c r="AK938" t="s">
        <v>72</v>
      </c>
      <c r="AL938" t="s">
        <v>60</v>
      </c>
      <c r="AM938" t="s">
        <v>61</v>
      </c>
      <c r="AN938">
        <f t="shared" si="14"/>
        <v>3</v>
      </c>
    </row>
    <row r="939" spans="1:40">
      <c r="A939">
        <v>39</v>
      </c>
      <c r="B939" t="s">
        <v>51</v>
      </c>
      <c r="C939" t="s">
        <v>39</v>
      </c>
      <c r="D939">
        <v>412</v>
      </c>
      <c r="E939" t="s">
        <v>53</v>
      </c>
      <c r="F939">
        <v>13</v>
      </c>
      <c r="G939">
        <v>4</v>
      </c>
      <c r="H939" t="s">
        <v>69</v>
      </c>
      <c r="I939">
        <v>1307</v>
      </c>
      <c r="J939">
        <v>3</v>
      </c>
      <c r="K939" t="s">
        <v>42</v>
      </c>
      <c r="L939">
        <v>94</v>
      </c>
      <c r="M939">
        <v>2</v>
      </c>
      <c r="N939">
        <v>4</v>
      </c>
      <c r="O939" t="s">
        <v>79</v>
      </c>
      <c r="P939">
        <v>2</v>
      </c>
      <c r="Q939" t="s">
        <v>74</v>
      </c>
      <c r="R939">
        <v>17123</v>
      </c>
      <c r="S939">
        <v>17334</v>
      </c>
      <c r="T939">
        <v>6</v>
      </c>
      <c r="U939" t="s">
        <v>38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  <c r="AG939" t="s">
        <v>45</v>
      </c>
      <c r="AH939" t="s">
        <v>46</v>
      </c>
      <c r="AI939">
        <v>0</v>
      </c>
      <c r="AJ939" t="s">
        <v>80</v>
      </c>
      <c r="AK939" t="s">
        <v>68</v>
      </c>
      <c r="AL939" t="s">
        <v>60</v>
      </c>
      <c r="AM939" t="s">
        <v>61</v>
      </c>
      <c r="AN939">
        <f t="shared" si="14"/>
        <v>18</v>
      </c>
    </row>
    <row r="940" spans="1:40">
      <c r="A940">
        <v>58</v>
      </c>
      <c r="B940" t="s">
        <v>51</v>
      </c>
      <c r="C940" t="s">
        <v>39</v>
      </c>
      <c r="D940">
        <v>848</v>
      </c>
      <c r="E940" t="s">
        <v>53</v>
      </c>
      <c r="F940">
        <v>23</v>
      </c>
      <c r="G940">
        <v>4</v>
      </c>
      <c r="H940" t="s">
        <v>41</v>
      </c>
      <c r="I940">
        <v>1308</v>
      </c>
      <c r="J940">
        <v>1</v>
      </c>
      <c r="K940" t="s">
        <v>54</v>
      </c>
      <c r="L940">
        <v>88</v>
      </c>
      <c r="M940">
        <v>3</v>
      </c>
      <c r="N940">
        <v>1</v>
      </c>
      <c r="O940" t="s">
        <v>55</v>
      </c>
      <c r="P940">
        <v>3</v>
      </c>
      <c r="Q940" t="s">
        <v>74</v>
      </c>
      <c r="R940">
        <v>2372</v>
      </c>
      <c r="S940">
        <v>26076</v>
      </c>
      <c r="T940">
        <v>1</v>
      </c>
      <c r="U940" t="s">
        <v>51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  <c r="AG940" t="s">
        <v>57</v>
      </c>
      <c r="AH940" t="s">
        <v>46</v>
      </c>
      <c r="AI940">
        <v>0</v>
      </c>
      <c r="AJ940" t="s">
        <v>65</v>
      </c>
      <c r="AK940" t="s">
        <v>68</v>
      </c>
      <c r="AL940" t="s">
        <v>66</v>
      </c>
      <c r="AM940" t="s">
        <v>61</v>
      </c>
      <c r="AN940">
        <f t="shared" si="14"/>
        <v>2</v>
      </c>
    </row>
    <row r="941" spans="1:40">
      <c r="A941">
        <v>32</v>
      </c>
      <c r="B941" t="s">
        <v>38</v>
      </c>
      <c r="C941" t="s">
        <v>39</v>
      </c>
      <c r="D941">
        <v>1089</v>
      </c>
      <c r="E941" t="s">
        <v>53</v>
      </c>
      <c r="F941">
        <v>7</v>
      </c>
      <c r="G941">
        <v>2</v>
      </c>
      <c r="H941" t="s">
        <v>41</v>
      </c>
      <c r="I941">
        <v>1309</v>
      </c>
      <c r="J941">
        <v>4</v>
      </c>
      <c r="K941" t="s">
        <v>54</v>
      </c>
      <c r="L941">
        <v>79</v>
      </c>
      <c r="M941">
        <v>3</v>
      </c>
      <c r="N941">
        <v>2</v>
      </c>
      <c r="O941" t="s">
        <v>63</v>
      </c>
      <c r="P941">
        <v>3</v>
      </c>
      <c r="Q941" t="s">
        <v>56</v>
      </c>
      <c r="R941">
        <v>4883</v>
      </c>
      <c r="S941">
        <v>22845</v>
      </c>
      <c r="T941">
        <v>1</v>
      </c>
      <c r="U941" t="s">
        <v>51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  <c r="AG941" t="s">
        <v>67</v>
      </c>
      <c r="AH941" t="s">
        <v>46</v>
      </c>
      <c r="AI941">
        <v>1</v>
      </c>
      <c r="AJ941" t="s">
        <v>58</v>
      </c>
      <c r="AK941" t="s">
        <v>48</v>
      </c>
      <c r="AL941" t="s">
        <v>66</v>
      </c>
      <c r="AM941" t="s">
        <v>61</v>
      </c>
      <c r="AN941">
        <f t="shared" si="14"/>
        <v>1</v>
      </c>
    </row>
    <row r="942" spans="1:40">
      <c r="A942">
        <v>39</v>
      </c>
      <c r="B942" t="s">
        <v>38</v>
      </c>
      <c r="C942" t="s">
        <v>39</v>
      </c>
      <c r="D942">
        <v>360</v>
      </c>
      <c r="E942" t="s">
        <v>53</v>
      </c>
      <c r="F942">
        <v>23</v>
      </c>
      <c r="G942">
        <v>3</v>
      </c>
      <c r="H942" t="s">
        <v>69</v>
      </c>
      <c r="I942">
        <v>1310</v>
      </c>
      <c r="J942">
        <v>3</v>
      </c>
      <c r="K942" t="s">
        <v>54</v>
      </c>
      <c r="L942">
        <v>93</v>
      </c>
      <c r="M942">
        <v>3</v>
      </c>
      <c r="N942">
        <v>1</v>
      </c>
      <c r="O942" t="s">
        <v>55</v>
      </c>
      <c r="P942">
        <v>1</v>
      </c>
      <c r="Q942" t="s">
        <v>44</v>
      </c>
      <c r="R942">
        <v>3904</v>
      </c>
      <c r="S942">
        <v>22154</v>
      </c>
      <c r="T942">
        <v>0</v>
      </c>
      <c r="U942" t="s">
        <v>51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  <c r="AG942" t="s">
        <v>45</v>
      </c>
      <c r="AH942" t="s">
        <v>46</v>
      </c>
      <c r="AI942">
        <v>1</v>
      </c>
      <c r="AJ942" t="s">
        <v>65</v>
      </c>
      <c r="AK942" t="s">
        <v>72</v>
      </c>
      <c r="AL942" t="s">
        <v>73</v>
      </c>
      <c r="AM942" t="s">
        <v>61</v>
      </c>
      <c r="AN942">
        <f t="shared" si="14"/>
        <v>6</v>
      </c>
    </row>
    <row r="943" spans="1:40">
      <c r="A943">
        <v>30</v>
      </c>
      <c r="B943" t="s">
        <v>51</v>
      </c>
      <c r="C943" t="s">
        <v>39</v>
      </c>
      <c r="D943">
        <v>1138</v>
      </c>
      <c r="E943" t="s">
        <v>53</v>
      </c>
      <c r="F943">
        <v>6</v>
      </c>
      <c r="G943">
        <v>3</v>
      </c>
      <c r="H943" t="s">
        <v>86</v>
      </c>
      <c r="I943">
        <v>1311</v>
      </c>
      <c r="J943">
        <v>1</v>
      </c>
      <c r="K943" t="s">
        <v>42</v>
      </c>
      <c r="L943">
        <v>48</v>
      </c>
      <c r="M943">
        <v>2</v>
      </c>
      <c r="N943">
        <v>2</v>
      </c>
      <c r="O943" t="s">
        <v>63</v>
      </c>
      <c r="P943">
        <v>4</v>
      </c>
      <c r="Q943" t="s">
        <v>56</v>
      </c>
      <c r="R943">
        <v>4627</v>
      </c>
      <c r="S943">
        <v>23631</v>
      </c>
      <c r="T943">
        <v>0</v>
      </c>
      <c r="U943" t="s">
        <v>51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  <c r="AG943" t="s">
        <v>67</v>
      </c>
      <c r="AH943" t="s">
        <v>46</v>
      </c>
      <c r="AI943">
        <v>0</v>
      </c>
      <c r="AJ943" t="s">
        <v>58</v>
      </c>
      <c r="AK943" t="s">
        <v>72</v>
      </c>
      <c r="AL943" t="s">
        <v>49</v>
      </c>
      <c r="AM943" t="s">
        <v>61</v>
      </c>
      <c r="AN943">
        <f t="shared" si="14"/>
        <v>3</v>
      </c>
    </row>
    <row r="944" spans="1:40">
      <c r="A944">
        <v>36</v>
      </c>
      <c r="B944" t="s">
        <v>51</v>
      </c>
      <c r="C944" t="s">
        <v>39</v>
      </c>
      <c r="D944">
        <v>325</v>
      </c>
      <c r="E944" t="s">
        <v>53</v>
      </c>
      <c r="F944">
        <v>10</v>
      </c>
      <c r="G944">
        <v>4</v>
      </c>
      <c r="H944" t="s">
        <v>86</v>
      </c>
      <c r="I944">
        <v>1312</v>
      </c>
      <c r="J944">
        <v>4</v>
      </c>
      <c r="K944" t="s">
        <v>42</v>
      </c>
      <c r="L944">
        <v>63</v>
      </c>
      <c r="M944">
        <v>3</v>
      </c>
      <c r="N944">
        <v>3</v>
      </c>
      <c r="O944" t="s">
        <v>76</v>
      </c>
      <c r="P944">
        <v>3</v>
      </c>
      <c r="Q944" t="s">
        <v>56</v>
      </c>
      <c r="R944">
        <v>7094</v>
      </c>
      <c r="S944">
        <v>5747</v>
      </c>
      <c r="T944">
        <v>3</v>
      </c>
      <c r="U944" t="s">
        <v>51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  <c r="AG944" t="s">
        <v>45</v>
      </c>
      <c r="AH944" t="s">
        <v>81</v>
      </c>
      <c r="AI944">
        <v>0</v>
      </c>
      <c r="AJ944" t="s">
        <v>58</v>
      </c>
      <c r="AK944" t="s">
        <v>68</v>
      </c>
      <c r="AL944" t="s">
        <v>66</v>
      </c>
      <c r="AM944" t="s">
        <v>61</v>
      </c>
      <c r="AN944">
        <f t="shared" si="14"/>
        <v>1</v>
      </c>
    </row>
    <row r="945" spans="1:40">
      <c r="A945">
        <v>46</v>
      </c>
      <c r="B945" t="s">
        <v>51</v>
      </c>
      <c r="C945" t="s">
        <v>39</v>
      </c>
      <c r="D945">
        <v>991</v>
      </c>
      <c r="E945" t="s">
        <v>88</v>
      </c>
      <c r="F945">
        <v>1</v>
      </c>
      <c r="G945">
        <v>2</v>
      </c>
      <c r="H945" t="s">
        <v>41</v>
      </c>
      <c r="I945">
        <v>1314</v>
      </c>
      <c r="J945">
        <v>4</v>
      </c>
      <c r="K945" t="s">
        <v>42</v>
      </c>
      <c r="L945">
        <v>44</v>
      </c>
      <c r="M945">
        <v>3</v>
      </c>
      <c r="N945">
        <v>1</v>
      </c>
      <c r="O945" t="s">
        <v>88</v>
      </c>
      <c r="P945">
        <v>1</v>
      </c>
      <c r="Q945" t="s">
        <v>44</v>
      </c>
      <c r="R945">
        <v>3423</v>
      </c>
      <c r="S945">
        <v>22957</v>
      </c>
      <c r="T945">
        <v>6</v>
      </c>
      <c r="U945" t="s">
        <v>51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  <c r="AG945" t="s">
        <v>57</v>
      </c>
      <c r="AH945" t="s">
        <v>46</v>
      </c>
      <c r="AI945">
        <v>0</v>
      </c>
      <c r="AJ945" t="s">
        <v>58</v>
      </c>
      <c r="AK945" t="s">
        <v>48</v>
      </c>
      <c r="AL945" t="s">
        <v>73</v>
      </c>
      <c r="AM945" t="s">
        <v>85</v>
      </c>
      <c r="AN945">
        <f t="shared" si="14"/>
        <v>9</v>
      </c>
    </row>
    <row r="946" spans="1:40">
      <c r="A946">
        <v>28</v>
      </c>
      <c r="B946" t="s">
        <v>51</v>
      </c>
      <c r="C946" t="s">
        <v>77</v>
      </c>
      <c r="D946">
        <v>1476</v>
      </c>
      <c r="E946" t="s">
        <v>53</v>
      </c>
      <c r="F946">
        <v>1</v>
      </c>
      <c r="G946">
        <v>3</v>
      </c>
      <c r="H946" t="s">
        <v>41</v>
      </c>
      <c r="I946">
        <v>1315</v>
      </c>
      <c r="J946">
        <v>3</v>
      </c>
      <c r="K946" t="s">
        <v>42</v>
      </c>
      <c r="L946">
        <v>55</v>
      </c>
      <c r="M946">
        <v>1</v>
      </c>
      <c r="N946">
        <v>2</v>
      </c>
      <c r="O946" t="s">
        <v>63</v>
      </c>
      <c r="P946">
        <v>4</v>
      </c>
      <c r="Q946" t="s">
        <v>56</v>
      </c>
      <c r="R946">
        <v>6674</v>
      </c>
      <c r="S946">
        <v>16392</v>
      </c>
      <c r="T946">
        <v>0</v>
      </c>
      <c r="U946" t="s">
        <v>51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  <c r="AG946" t="s">
        <v>67</v>
      </c>
      <c r="AH946" t="s">
        <v>46</v>
      </c>
      <c r="AI946">
        <v>0</v>
      </c>
      <c r="AJ946" t="s">
        <v>58</v>
      </c>
      <c r="AK946" t="s">
        <v>72</v>
      </c>
      <c r="AL946" t="s">
        <v>49</v>
      </c>
      <c r="AM946" t="s">
        <v>61</v>
      </c>
      <c r="AN946">
        <f t="shared" si="14"/>
        <v>4</v>
      </c>
    </row>
    <row r="947" spans="1:40">
      <c r="A947">
        <v>50</v>
      </c>
      <c r="B947" t="s">
        <v>51</v>
      </c>
      <c r="C947" t="s">
        <v>39</v>
      </c>
      <c r="D947">
        <v>1322</v>
      </c>
      <c r="E947" t="s">
        <v>53</v>
      </c>
      <c r="F947">
        <v>28</v>
      </c>
      <c r="G947">
        <v>3</v>
      </c>
      <c r="H947" t="s">
        <v>41</v>
      </c>
      <c r="I947">
        <v>1317</v>
      </c>
      <c r="J947">
        <v>4</v>
      </c>
      <c r="K947" t="s">
        <v>42</v>
      </c>
      <c r="L947">
        <v>43</v>
      </c>
      <c r="M947">
        <v>3</v>
      </c>
      <c r="N947">
        <v>4</v>
      </c>
      <c r="O947" t="s">
        <v>83</v>
      </c>
      <c r="P947">
        <v>1</v>
      </c>
      <c r="Q947" t="s">
        <v>56</v>
      </c>
      <c r="R947">
        <v>16880</v>
      </c>
      <c r="S947">
        <v>22422</v>
      </c>
      <c r="T947">
        <v>4</v>
      </c>
      <c r="U947" t="s">
        <v>38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  <c r="AG947" t="s">
        <v>57</v>
      </c>
      <c r="AH947" t="s">
        <v>46</v>
      </c>
      <c r="AI947">
        <v>0</v>
      </c>
      <c r="AJ947" t="s">
        <v>65</v>
      </c>
      <c r="AK947" t="s">
        <v>72</v>
      </c>
      <c r="AL947" t="s">
        <v>73</v>
      </c>
      <c r="AM947" t="s">
        <v>61</v>
      </c>
      <c r="AN947">
        <f t="shared" si="14"/>
        <v>7</v>
      </c>
    </row>
    <row r="948" spans="1:40">
      <c r="A948">
        <v>40</v>
      </c>
      <c r="B948" t="s">
        <v>38</v>
      </c>
      <c r="C948" t="s">
        <v>39</v>
      </c>
      <c r="D948">
        <v>299</v>
      </c>
      <c r="E948" t="s">
        <v>40</v>
      </c>
      <c r="F948">
        <v>25</v>
      </c>
      <c r="G948">
        <v>4</v>
      </c>
      <c r="H948" t="s">
        <v>84</v>
      </c>
      <c r="I948">
        <v>1318</v>
      </c>
      <c r="J948">
        <v>4</v>
      </c>
      <c r="K948" t="s">
        <v>54</v>
      </c>
      <c r="L948">
        <v>57</v>
      </c>
      <c r="M948">
        <v>2</v>
      </c>
      <c r="N948">
        <v>3</v>
      </c>
      <c r="O948" t="s">
        <v>43</v>
      </c>
      <c r="P948">
        <v>2</v>
      </c>
      <c r="Q948" t="s">
        <v>44</v>
      </c>
      <c r="R948">
        <v>9094</v>
      </c>
      <c r="S948">
        <v>17235</v>
      </c>
      <c r="T948">
        <v>2</v>
      </c>
      <c r="U948" t="s">
        <v>38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  <c r="AG948" t="s">
        <v>45</v>
      </c>
      <c r="AH948" t="s">
        <v>46</v>
      </c>
      <c r="AI948">
        <v>1</v>
      </c>
      <c r="AJ948" t="s">
        <v>65</v>
      </c>
      <c r="AK948" t="s">
        <v>68</v>
      </c>
      <c r="AL948" t="s">
        <v>60</v>
      </c>
      <c r="AM948" t="s">
        <v>61</v>
      </c>
      <c r="AN948">
        <f t="shared" si="14"/>
        <v>4</v>
      </c>
    </row>
    <row r="949" spans="1:40">
      <c r="A949">
        <v>52</v>
      </c>
      <c r="B949" t="s">
        <v>38</v>
      </c>
      <c r="C949" t="s">
        <v>39</v>
      </c>
      <c r="D949">
        <v>1030</v>
      </c>
      <c r="E949" t="s">
        <v>40</v>
      </c>
      <c r="F949">
        <v>5</v>
      </c>
      <c r="G949">
        <v>3</v>
      </c>
      <c r="H949" t="s">
        <v>41</v>
      </c>
      <c r="I949">
        <v>1319</v>
      </c>
      <c r="J949">
        <v>2</v>
      </c>
      <c r="K949" t="s">
        <v>54</v>
      </c>
      <c r="L949">
        <v>64</v>
      </c>
      <c r="M949">
        <v>3</v>
      </c>
      <c r="N949">
        <v>3</v>
      </c>
      <c r="O949" t="s">
        <v>43</v>
      </c>
      <c r="P949">
        <v>2</v>
      </c>
      <c r="Q949" t="s">
        <v>44</v>
      </c>
      <c r="R949">
        <v>8446</v>
      </c>
      <c r="S949">
        <v>21534</v>
      </c>
      <c r="T949">
        <v>9</v>
      </c>
      <c r="U949" t="s">
        <v>38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  <c r="AG949" t="s">
        <v>57</v>
      </c>
      <c r="AH949" t="s">
        <v>46</v>
      </c>
      <c r="AI949">
        <v>1</v>
      </c>
      <c r="AJ949" t="s">
        <v>47</v>
      </c>
      <c r="AK949" t="s">
        <v>72</v>
      </c>
      <c r="AL949" t="s">
        <v>60</v>
      </c>
      <c r="AM949" t="s">
        <v>70</v>
      </c>
      <c r="AN949">
        <f t="shared" si="14"/>
        <v>12</v>
      </c>
    </row>
    <row r="950" spans="1:40">
      <c r="A950">
        <v>30</v>
      </c>
      <c r="B950" t="s">
        <v>51</v>
      </c>
      <c r="C950" t="s">
        <v>39</v>
      </c>
      <c r="D950">
        <v>634</v>
      </c>
      <c r="E950" t="s">
        <v>53</v>
      </c>
      <c r="F950">
        <v>17</v>
      </c>
      <c r="G950">
        <v>4</v>
      </c>
      <c r="H950" t="s">
        <v>69</v>
      </c>
      <c r="I950">
        <v>1321</v>
      </c>
      <c r="J950">
        <v>2</v>
      </c>
      <c r="K950" t="s">
        <v>42</v>
      </c>
      <c r="L950">
        <v>95</v>
      </c>
      <c r="M950">
        <v>3</v>
      </c>
      <c r="N950">
        <v>3</v>
      </c>
      <c r="O950" t="s">
        <v>79</v>
      </c>
      <c r="P950">
        <v>1</v>
      </c>
      <c r="Q950" t="s">
        <v>56</v>
      </c>
      <c r="R950">
        <v>11916</v>
      </c>
      <c r="S950">
        <v>25927</v>
      </c>
      <c r="T950">
        <v>1</v>
      </c>
      <c r="U950" t="s">
        <v>38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  <c r="AG950" t="s">
        <v>67</v>
      </c>
      <c r="AH950" t="s">
        <v>46</v>
      </c>
      <c r="AI950">
        <v>0</v>
      </c>
      <c r="AJ950" t="s">
        <v>58</v>
      </c>
      <c r="AK950" t="s">
        <v>68</v>
      </c>
      <c r="AL950" t="s">
        <v>73</v>
      </c>
      <c r="AM950" t="s">
        <v>61</v>
      </c>
      <c r="AN950">
        <f t="shared" si="14"/>
        <v>6</v>
      </c>
    </row>
    <row r="951" spans="1:40">
      <c r="A951">
        <v>39</v>
      </c>
      <c r="B951" t="s">
        <v>51</v>
      </c>
      <c r="C951" t="s">
        <v>39</v>
      </c>
      <c r="D951">
        <v>524</v>
      </c>
      <c r="E951" t="s">
        <v>53</v>
      </c>
      <c r="F951">
        <v>18</v>
      </c>
      <c r="G951">
        <v>2</v>
      </c>
      <c r="H951" t="s">
        <v>41</v>
      </c>
      <c r="I951">
        <v>1322</v>
      </c>
      <c r="J951">
        <v>1</v>
      </c>
      <c r="K951" t="s">
        <v>54</v>
      </c>
      <c r="L951">
        <v>32</v>
      </c>
      <c r="M951">
        <v>3</v>
      </c>
      <c r="N951">
        <v>2</v>
      </c>
      <c r="O951" t="s">
        <v>75</v>
      </c>
      <c r="P951">
        <v>3</v>
      </c>
      <c r="Q951" t="s">
        <v>44</v>
      </c>
      <c r="R951">
        <v>4534</v>
      </c>
      <c r="S951">
        <v>13352</v>
      </c>
      <c r="T951">
        <v>0</v>
      </c>
      <c r="U951" t="s">
        <v>51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  <c r="AG951" t="s">
        <v>45</v>
      </c>
      <c r="AH951" t="s">
        <v>46</v>
      </c>
      <c r="AI951">
        <v>0</v>
      </c>
      <c r="AJ951" t="s">
        <v>58</v>
      </c>
      <c r="AK951" t="s">
        <v>48</v>
      </c>
      <c r="AL951" t="s">
        <v>66</v>
      </c>
      <c r="AM951" t="s">
        <v>61</v>
      </c>
      <c r="AN951">
        <f t="shared" si="14"/>
        <v>1</v>
      </c>
    </row>
    <row r="952" spans="1:40">
      <c r="A952">
        <v>31</v>
      </c>
      <c r="B952" t="s">
        <v>51</v>
      </c>
      <c r="C952" t="s">
        <v>77</v>
      </c>
      <c r="D952">
        <v>587</v>
      </c>
      <c r="E952" t="s">
        <v>40</v>
      </c>
      <c r="F952">
        <v>2</v>
      </c>
      <c r="G952">
        <v>4</v>
      </c>
      <c r="H952" t="s">
        <v>41</v>
      </c>
      <c r="I952">
        <v>1324</v>
      </c>
      <c r="J952">
        <v>4</v>
      </c>
      <c r="K952" t="s">
        <v>42</v>
      </c>
      <c r="L952">
        <v>57</v>
      </c>
      <c r="M952">
        <v>3</v>
      </c>
      <c r="N952">
        <v>3</v>
      </c>
      <c r="O952" t="s">
        <v>43</v>
      </c>
      <c r="P952">
        <v>3</v>
      </c>
      <c r="Q952" t="s">
        <v>74</v>
      </c>
      <c r="R952">
        <v>9852</v>
      </c>
      <c r="S952">
        <v>8935</v>
      </c>
      <c r="T952">
        <v>1</v>
      </c>
      <c r="U952" t="s">
        <v>38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  <c r="AG952" t="s">
        <v>67</v>
      </c>
      <c r="AH952" t="s">
        <v>71</v>
      </c>
      <c r="AI952">
        <v>0</v>
      </c>
      <c r="AJ952" t="s">
        <v>47</v>
      </c>
      <c r="AK952" t="s">
        <v>68</v>
      </c>
      <c r="AL952" t="s">
        <v>66</v>
      </c>
      <c r="AM952" t="s">
        <v>70</v>
      </c>
      <c r="AN952">
        <f t="shared" si="14"/>
        <v>11</v>
      </c>
    </row>
    <row r="953" spans="1:40">
      <c r="A953">
        <v>41</v>
      </c>
      <c r="B953" t="s">
        <v>51</v>
      </c>
      <c r="C953" t="s">
        <v>77</v>
      </c>
      <c r="D953">
        <v>256</v>
      </c>
      <c r="E953" t="s">
        <v>40</v>
      </c>
      <c r="F953">
        <v>10</v>
      </c>
      <c r="G953">
        <v>2</v>
      </c>
      <c r="H953" t="s">
        <v>69</v>
      </c>
      <c r="I953">
        <v>1329</v>
      </c>
      <c r="J953">
        <v>3</v>
      </c>
      <c r="K953" t="s">
        <v>54</v>
      </c>
      <c r="L953">
        <v>40</v>
      </c>
      <c r="M953">
        <v>1</v>
      </c>
      <c r="N953">
        <v>2</v>
      </c>
      <c r="O953" t="s">
        <v>43</v>
      </c>
      <c r="P953">
        <v>2</v>
      </c>
      <c r="Q953" t="s">
        <v>44</v>
      </c>
      <c r="R953">
        <v>6151</v>
      </c>
      <c r="S953">
        <v>22074</v>
      </c>
      <c r="T953">
        <v>1</v>
      </c>
      <c r="U953" t="s">
        <v>51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  <c r="AG953" t="s">
        <v>45</v>
      </c>
      <c r="AH953" t="s">
        <v>46</v>
      </c>
      <c r="AI953">
        <v>0</v>
      </c>
      <c r="AJ953" t="s">
        <v>80</v>
      </c>
      <c r="AK953" t="s">
        <v>48</v>
      </c>
      <c r="AL953" t="s">
        <v>60</v>
      </c>
      <c r="AM953" t="s">
        <v>61</v>
      </c>
      <c r="AN953">
        <f t="shared" si="14"/>
        <v>14</v>
      </c>
    </row>
    <row r="954" spans="1:40">
      <c r="A954">
        <v>31</v>
      </c>
      <c r="B954" t="s">
        <v>38</v>
      </c>
      <c r="C954" t="s">
        <v>52</v>
      </c>
      <c r="D954">
        <v>1060</v>
      </c>
      <c r="E954" t="s">
        <v>40</v>
      </c>
      <c r="F954">
        <v>1</v>
      </c>
      <c r="G954">
        <v>3</v>
      </c>
      <c r="H954" t="s">
        <v>41</v>
      </c>
      <c r="I954">
        <v>1331</v>
      </c>
      <c r="J954">
        <v>4</v>
      </c>
      <c r="K954" t="s">
        <v>42</v>
      </c>
      <c r="L954">
        <v>54</v>
      </c>
      <c r="M954">
        <v>3</v>
      </c>
      <c r="N954">
        <v>1</v>
      </c>
      <c r="O954" t="s">
        <v>82</v>
      </c>
      <c r="P954">
        <v>2</v>
      </c>
      <c r="Q954" t="s">
        <v>44</v>
      </c>
      <c r="R954">
        <v>2302</v>
      </c>
      <c r="S954">
        <v>8319</v>
      </c>
      <c r="T954">
        <v>1</v>
      </c>
      <c r="U954" t="s">
        <v>38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  <c r="AG954" t="s">
        <v>67</v>
      </c>
      <c r="AH954" t="s">
        <v>71</v>
      </c>
      <c r="AI954">
        <v>1</v>
      </c>
      <c r="AJ954" t="s">
        <v>65</v>
      </c>
      <c r="AK954" t="s">
        <v>72</v>
      </c>
      <c r="AL954" t="s">
        <v>60</v>
      </c>
      <c r="AM954" t="s">
        <v>85</v>
      </c>
      <c r="AN954">
        <f t="shared" si="14"/>
        <v>3</v>
      </c>
    </row>
    <row r="955" spans="1:40">
      <c r="A955">
        <v>44</v>
      </c>
      <c r="B955" t="s">
        <v>38</v>
      </c>
      <c r="C955" t="s">
        <v>39</v>
      </c>
      <c r="D955">
        <v>935</v>
      </c>
      <c r="E955" t="s">
        <v>53</v>
      </c>
      <c r="F955">
        <v>3</v>
      </c>
      <c r="G955">
        <v>3</v>
      </c>
      <c r="H955" t="s">
        <v>41</v>
      </c>
      <c r="I955">
        <v>1333</v>
      </c>
      <c r="J955">
        <v>1</v>
      </c>
      <c r="K955" t="s">
        <v>54</v>
      </c>
      <c r="L955">
        <v>89</v>
      </c>
      <c r="M955">
        <v>3</v>
      </c>
      <c r="N955">
        <v>1</v>
      </c>
      <c r="O955" t="s">
        <v>63</v>
      </c>
      <c r="P955">
        <v>1</v>
      </c>
      <c r="Q955" t="s">
        <v>56</v>
      </c>
      <c r="R955">
        <v>2362</v>
      </c>
      <c r="S955">
        <v>14669</v>
      </c>
      <c r="T955">
        <v>4</v>
      </c>
      <c r="U955" t="s">
        <v>51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  <c r="AG955" t="s">
        <v>45</v>
      </c>
      <c r="AH955" t="s">
        <v>46</v>
      </c>
      <c r="AI955">
        <v>1</v>
      </c>
      <c r="AJ955" t="s">
        <v>65</v>
      </c>
      <c r="AK955" t="s">
        <v>72</v>
      </c>
      <c r="AL955" t="s">
        <v>73</v>
      </c>
      <c r="AM955" t="s">
        <v>85</v>
      </c>
      <c r="AN955">
        <f t="shared" si="14"/>
        <v>5</v>
      </c>
    </row>
    <row r="956" spans="1:40">
      <c r="A956">
        <v>42</v>
      </c>
      <c r="B956" t="s">
        <v>51</v>
      </c>
      <c r="C956" t="s">
        <v>77</v>
      </c>
      <c r="D956">
        <v>495</v>
      </c>
      <c r="E956" t="s">
        <v>53</v>
      </c>
      <c r="F956">
        <v>2</v>
      </c>
      <c r="G956">
        <v>1</v>
      </c>
      <c r="H956" t="s">
        <v>41</v>
      </c>
      <c r="I956">
        <v>1334</v>
      </c>
      <c r="J956">
        <v>3</v>
      </c>
      <c r="K956" t="s">
        <v>54</v>
      </c>
      <c r="L956">
        <v>37</v>
      </c>
      <c r="M956">
        <v>3</v>
      </c>
      <c r="N956">
        <v>4</v>
      </c>
      <c r="O956" t="s">
        <v>79</v>
      </c>
      <c r="P956">
        <v>3</v>
      </c>
      <c r="Q956" t="s">
        <v>56</v>
      </c>
      <c r="R956">
        <v>17861</v>
      </c>
      <c r="S956">
        <v>26582</v>
      </c>
      <c r="T956">
        <v>0</v>
      </c>
      <c r="U956" t="s">
        <v>38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  <c r="AG956" t="s">
        <v>45</v>
      </c>
      <c r="AH956" t="s">
        <v>46</v>
      </c>
      <c r="AI956">
        <v>0</v>
      </c>
      <c r="AJ956" t="s">
        <v>47</v>
      </c>
      <c r="AK956" t="s">
        <v>59</v>
      </c>
      <c r="AL956" t="s">
        <v>66</v>
      </c>
      <c r="AM956" t="s">
        <v>70</v>
      </c>
      <c r="AN956">
        <f t="shared" si="14"/>
        <v>4</v>
      </c>
    </row>
    <row r="957" spans="1:40">
      <c r="A957">
        <v>55</v>
      </c>
      <c r="B957" t="s">
        <v>51</v>
      </c>
      <c r="C957" t="s">
        <v>39</v>
      </c>
      <c r="D957">
        <v>282</v>
      </c>
      <c r="E957" t="s">
        <v>53</v>
      </c>
      <c r="F957">
        <v>2</v>
      </c>
      <c r="G957">
        <v>2</v>
      </c>
      <c r="H957" t="s">
        <v>69</v>
      </c>
      <c r="I957">
        <v>1336</v>
      </c>
      <c r="J957">
        <v>4</v>
      </c>
      <c r="K957" t="s">
        <v>42</v>
      </c>
      <c r="L957">
        <v>58</v>
      </c>
      <c r="M957">
        <v>1</v>
      </c>
      <c r="N957">
        <v>5</v>
      </c>
      <c r="O957" t="s">
        <v>79</v>
      </c>
      <c r="P957">
        <v>3</v>
      </c>
      <c r="Q957" t="s">
        <v>56</v>
      </c>
      <c r="R957">
        <v>19187</v>
      </c>
      <c r="S957">
        <v>6992</v>
      </c>
      <c r="T957">
        <v>4</v>
      </c>
      <c r="U957" t="s">
        <v>51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  <c r="AG957" t="s">
        <v>57</v>
      </c>
      <c r="AH957" t="s">
        <v>71</v>
      </c>
      <c r="AI957">
        <v>0</v>
      </c>
      <c r="AJ957" t="s">
        <v>80</v>
      </c>
      <c r="AK957" t="s">
        <v>48</v>
      </c>
      <c r="AL957" t="s">
        <v>66</v>
      </c>
      <c r="AM957" t="s">
        <v>61</v>
      </c>
      <c r="AN957">
        <f t="shared" si="14"/>
        <v>9</v>
      </c>
    </row>
    <row r="958" spans="1:40">
      <c r="A958">
        <v>56</v>
      </c>
      <c r="B958" t="s">
        <v>51</v>
      </c>
      <c r="C958" t="s">
        <v>39</v>
      </c>
      <c r="D958">
        <v>206</v>
      </c>
      <c r="E958" t="s">
        <v>88</v>
      </c>
      <c r="F958">
        <v>8</v>
      </c>
      <c r="G958">
        <v>4</v>
      </c>
      <c r="H958" t="s">
        <v>41</v>
      </c>
      <c r="I958">
        <v>1338</v>
      </c>
      <c r="J958">
        <v>4</v>
      </c>
      <c r="K958" t="s">
        <v>54</v>
      </c>
      <c r="L958">
        <v>99</v>
      </c>
      <c r="M958">
        <v>3</v>
      </c>
      <c r="N958">
        <v>5</v>
      </c>
      <c r="O958" t="s">
        <v>79</v>
      </c>
      <c r="P958">
        <v>2</v>
      </c>
      <c r="Q958" t="s">
        <v>44</v>
      </c>
      <c r="R958">
        <v>19717</v>
      </c>
      <c r="S958">
        <v>4022</v>
      </c>
      <c r="T958">
        <v>6</v>
      </c>
      <c r="U958" t="s">
        <v>51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  <c r="AG958" t="s">
        <v>57</v>
      </c>
      <c r="AH958" t="s">
        <v>81</v>
      </c>
      <c r="AI958">
        <v>0</v>
      </c>
      <c r="AJ958" t="s">
        <v>58</v>
      </c>
      <c r="AK958" t="s">
        <v>68</v>
      </c>
      <c r="AL958" t="s">
        <v>60</v>
      </c>
      <c r="AM958" t="s">
        <v>61</v>
      </c>
      <c r="AN958">
        <f t="shared" si="14"/>
        <v>10</v>
      </c>
    </row>
    <row r="959" spans="1:40">
      <c r="A959">
        <v>40</v>
      </c>
      <c r="B959" t="s">
        <v>51</v>
      </c>
      <c r="C959" t="s">
        <v>77</v>
      </c>
      <c r="D959">
        <v>458</v>
      </c>
      <c r="E959" t="s">
        <v>53</v>
      </c>
      <c r="F959">
        <v>16</v>
      </c>
      <c r="G959">
        <v>2</v>
      </c>
      <c r="H959" t="s">
        <v>41</v>
      </c>
      <c r="I959">
        <v>1340</v>
      </c>
      <c r="J959">
        <v>3</v>
      </c>
      <c r="K959" t="s">
        <v>54</v>
      </c>
      <c r="L959">
        <v>74</v>
      </c>
      <c r="M959">
        <v>3</v>
      </c>
      <c r="N959">
        <v>1</v>
      </c>
      <c r="O959" t="s">
        <v>55</v>
      </c>
      <c r="P959">
        <v>3</v>
      </c>
      <c r="Q959" t="s">
        <v>74</v>
      </c>
      <c r="R959">
        <v>3544</v>
      </c>
      <c r="S959">
        <v>8532</v>
      </c>
      <c r="T959">
        <v>9</v>
      </c>
      <c r="U959" t="s">
        <v>51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  <c r="AG959" t="s">
        <v>45</v>
      </c>
      <c r="AH959" t="s">
        <v>71</v>
      </c>
      <c r="AI959">
        <v>0</v>
      </c>
      <c r="AJ959" t="s">
        <v>65</v>
      </c>
      <c r="AK959" t="s">
        <v>48</v>
      </c>
      <c r="AL959" t="s">
        <v>66</v>
      </c>
      <c r="AM959" t="s">
        <v>61</v>
      </c>
      <c r="AN959">
        <f t="shared" si="14"/>
        <v>0</v>
      </c>
    </row>
    <row r="960" spans="1:40">
      <c r="A960">
        <v>34</v>
      </c>
      <c r="B960" t="s">
        <v>51</v>
      </c>
      <c r="C960" t="s">
        <v>39</v>
      </c>
      <c r="D960">
        <v>943</v>
      </c>
      <c r="E960" t="s">
        <v>53</v>
      </c>
      <c r="F960">
        <v>9</v>
      </c>
      <c r="G960">
        <v>3</v>
      </c>
      <c r="H960" t="s">
        <v>41</v>
      </c>
      <c r="I960">
        <v>1344</v>
      </c>
      <c r="J960">
        <v>4</v>
      </c>
      <c r="K960" t="s">
        <v>54</v>
      </c>
      <c r="L960">
        <v>86</v>
      </c>
      <c r="M960">
        <v>3</v>
      </c>
      <c r="N960">
        <v>3</v>
      </c>
      <c r="O960" t="s">
        <v>76</v>
      </c>
      <c r="P960">
        <v>4</v>
      </c>
      <c r="Q960" t="s">
        <v>74</v>
      </c>
      <c r="R960">
        <v>8500</v>
      </c>
      <c r="S960">
        <v>5494</v>
      </c>
      <c r="T960">
        <v>0</v>
      </c>
      <c r="U960" t="s">
        <v>51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  <c r="AG960" t="s">
        <v>67</v>
      </c>
      <c r="AH960" t="s">
        <v>81</v>
      </c>
      <c r="AI960">
        <v>0</v>
      </c>
      <c r="AJ960" t="s">
        <v>47</v>
      </c>
      <c r="AK960" t="s">
        <v>72</v>
      </c>
      <c r="AL960" t="s">
        <v>49</v>
      </c>
      <c r="AM960" t="s">
        <v>70</v>
      </c>
      <c r="AN960">
        <f t="shared" si="14"/>
        <v>0</v>
      </c>
    </row>
    <row r="961" spans="1:40">
      <c r="A961">
        <v>40</v>
      </c>
      <c r="B961" t="s">
        <v>51</v>
      </c>
      <c r="C961" t="s">
        <v>39</v>
      </c>
      <c r="D961">
        <v>523</v>
      </c>
      <c r="E961" t="s">
        <v>53</v>
      </c>
      <c r="F961">
        <v>2</v>
      </c>
      <c r="G961">
        <v>3</v>
      </c>
      <c r="H961" t="s">
        <v>41</v>
      </c>
      <c r="I961">
        <v>1346</v>
      </c>
      <c r="J961">
        <v>3</v>
      </c>
      <c r="K961" t="s">
        <v>54</v>
      </c>
      <c r="L961">
        <v>98</v>
      </c>
      <c r="M961">
        <v>3</v>
      </c>
      <c r="N961">
        <v>2</v>
      </c>
      <c r="O961" t="s">
        <v>55</v>
      </c>
      <c r="P961">
        <v>4</v>
      </c>
      <c r="Q961" t="s">
        <v>44</v>
      </c>
      <c r="R961">
        <v>4661</v>
      </c>
      <c r="S961">
        <v>22455</v>
      </c>
      <c r="T961">
        <v>1</v>
      </c>
      <c r="U961" t="s">
        <v>51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  <c r="AG961" t="s">
        <v>45</v>
      </c>
      <c r="AH961" t="s">
        <v>46</v>
      </c>
      <c r="AI961">
        <v>0</v>
      </c>
      <c r="AJ961" t="s">
        <v>58</v>
      </c>
      <c r="AK961" t="s">
        <v>72</v>
      </c>
      <c r="AL961" t="s">
        <v>49</v>
      </c>
      <c r="AM961" t="s">
        <v>61</v>
      </c>
      <c r="AN961">
        <f t="shared" si="14"/>
        <v>5</v>
      </c>
    </row>
    <row r="962" spans="1:40">
      <c r="A962">
        <v>41</v>
      </c>
      <c r="B962" t="s">
        <v>51</v>
      </c>
      <c r="C962" t="s">
        <v>52</v>
      </c>
      <c r="D962">
        <v>1018</v>
      </c>
      <c r="E962" t="s">
        <v>40</v>
      </c>
      <c r="F962">
        <v>1</v>
      </c>
      <c r="G962">
        <v>3</v>
      </c>
      <c r="H962" t="s">
        <v>84</v>
      </c>
      <c r="I962">
        <v>1349</v>
      </c>
      <c r="J962">
        <v>3</v>
      </c>
      <c r="K962" t="s">
        <v>42</v>
      </c>
      <c r="L962">
        <v>66</v>
      </c>
      <c r="M962">
        <v>3</v>
      </c>
      <c r="N962">
        <v>2</v>
      </c>
      <c r="O962" t="s">
        <v>43</v>
      </c>
      <c r="P962">
        <v>1</v>
      </c>
      <c r="Q962" t="s">
        <v>74</v>
      </c>
      <c r="R962">
        <v>4103</v>
      </c>
      <c r="S962">
        <v>4297</v>
      </c>
      <c r="T962">
        <v>0</v>
      </c>
      <c r="U962" t="s">
        <v>51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  <c r="AG962" t="s">
        <v>45</v>
      </c>
      <c r="AH962" t="s">
        <v>81</v>
      </c>
      <c r="AI962">
        <v>0</v>
      </c>
      <c r="AJ962" t="s">
        <v>58</v>
      </c>
      <c r="AK962" t="s">
        <v>72</v>
      </c>
      <c r="AL962" t="s">
        <v>73</v>
      </c>
      <c r="AM962" t="s">
        <v>61</v>
      </c>
      <c r="AN962">
        <f t="shared" si="14"/>
        <v>7</v>
      </c>
    </row>
    <row r="963" spans="1:40">
      <c r="A963">
        <v>35</v>
      </c>
      <c r="B963" t="s">
        <v>51</v>
      </c>
      <c r="C963" t="s">
        <v>52</v>
      </c>
      <c r="D963">
        <v>482</v>
      </c>
      <c r="E963" t="s">
        <v>53</v>
      </c>
      <c r="F963">
        <v>4</v>
      </c>
      <c r="G963">
        <v>4</v>
      </c>
      <c r="H963" t="s">
        <v>41</v>
      </c>
      <c r="I963">
        <v>1350</v>
      </c>
      <c r="J963">
        <v>3</v>
      </c>
      <c r="K963" t="s">
        <v>54</v>
      </c>
      <c r="L963">
        <v>87</v>
      </c>
      <c r="M963">
        <v>3</v>
      </c>
      <c r="N963">
        <v>2</v>
      </c>
      <c r="O963" t="s">
        <v>55</v>
      </c>
      <c r="P963">
        <v>3</v>
      </c>
      <c r="Q963" t="s">
        <v>44</v>
      </c>
      <c r="R963">
        <v>4249</v>
      </c>
      <c r="S963">
        <v>2690</v>
      </c>
      <c r="T963">
        <v>1</v>
      </c>
      <c r="U963" t="s">
        <v>38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  <c r="AG963" t="s">
        <v>67</v>
      </c>
      <c r="AH963" t="s">
        <v>64</v>
      </c>
      <c r="AI963">
        <v>0</v>
      </c>
      <c r="AJ963" t="s">
        <v>58</v>
      </c>
      <c r="AK963" t="s">
        <v>68</v>
      </c>
      <c r="AL963" t="s">
        <v>66</v>
      </c>
      <c r="AM963" t="s">
        <v>61</v>
      </c>
      <c r="AN963">
        <f t="shared" ref="AN963:AN1026" si="15">((3-P963)*3+((3-AB963)*2+AE963))</f>
        <v>1</v>
      </c>
    </row>
    <row r="964" spans="1:40">
      <c r="A964">
        <v>51</v>
      </c>
      <c r="B964" t="s">
        <v>51</v>
      </c>
      <c r="C964" t="s">
        <v>39</v>
      </c>
      <c r="D964">
        <v>770</v>
      </c>
      <c r="E964" t="s">
        <v>88</v>
      </c>
      <c r="F964">
        <v>5</v>
      </c>
      <c r="G964">
        <v>3</v>
      </c>
      <c r="H964" t="s">
        <v>41</v>
      </c>
      <c r="I964">
        <v>1352</v>
      </c>
      <c r="J964">
        <v>3</v>
      </c>
      <c r="K964" t="s">
        <v>54</v>
      </c>
      <c r="L964">
        <v>84</v>
      </c>
      <c r="M964">
        <v>3</v>
      </c>
      <c r="N964">
        <v>4</v>
      </c>
      <c r="O964" t="s">
        <v>79</v>
      </c>
      <c r="P964">
        <v>2</v>
      </c>
      <c r="Q964" t="s">
        <v>74</v>
      </c>
      <c r="R964">
        <v>14026</v>
      </c>
      <c r="S964">
        <v>17588</v>
      </c>
      <c r="T964">
        <v>1</v>
      </c>
      <c r="U964" t="s">
        <v>38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  <c r="AG964" t="s">
        <v>57</v>
      </c>
      <c r="AH964" t="s">
        <v>46</v>
      </c>
      <c r="AI964">
        <v>0</v>
      </c>
      <c r="AJ964" t="s">
        <v>80</v>
      </c>
      <c r="AK964" t="s">
        <v>72</v>
      </c>
      <c r="AL964" t="s">
        <v>60</v>
      </c>
      <c r="AM964" t="s">
        <v>61</v>
      </c>
      <c r="AN964">
        <f t="shared" si="15"/>
        <v>3</v>
      </c>
    </row>
    <row r="965" spans="1:40">
      <c r="A965">
        <v>38</v>
      </c>
      <c r="B965" t="s">
        <v>51</v>
      </c>
      <c r="C965" t="s">
        <v>39</v>
      </c>
      <c r="D965">
        <v>1009</v>
      </c>
      <c r="E965" t="s">
        <v>40</v>
      </c>
      <c r="F965">
        <v>2</v>
      </c>
      <c r="G965">
        <v>2</v>
      </c>
      <c r="H965" t="s">
        <v>41</v>
      </c>
      <c r="I965">
        <v>1355</v>
      </c>
      <c r="J965">
        <v>2</v>
      </c>
      <c r="K965" t="s">
        <v>42</v>
      </c>
      <c r="L965">
        <v>31</v>
      </c>
      <c r="M965">
        <v>3</v>
      </c>
      <c r="N965">
        <v>2</v>
      </c>
      <c r="O965" t="s">
        <v>43</v>
      </c>
      <c r="P965">
        <v>1</v>
      </c>
      <c r="Q965" t="s">
        <v>74</v>
      </c>
      <c r="R965">
        <v>6893</v>
      </c>
      <c r="S965">
        <v>19461</v>
      </c>
      <c r="T965">
        <v>3</v>
      </c>
      <c r="U965" t="s">
        <v>51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  <c r="AG965" t="s">
        <v>45</v>
      </c>
      <c r="AH965" t="s">
        <v>46</v>
      </c>
      <c r="AI965">
        <v>0</v>
      </c>
      <c r="AJ965" t="s">
        <v>58</v>
      </c>
      <c r="AK965" t="s">
        <v>48</v>
      </c>
      <c r="AL965" t="s">
        <v>73</v>
      </c>
      <c r="AM965" t="s">
        <v>61</v>
      </c>
      <c r="AN965">
        <f t="shared" si="15"/>
        <v>7</v>
      </c>
    </row>
    <row r="966" spans="1:40">
      <c r="A966">
        <v>34</v>
      </c>
      <c r="B966" t="s">
        <v>51</v>
      </c>
      <c r="C966" t="s">
        <v>39</v>
      </c>
      <c r="D966">
        <v>507</v>
      </c>
      <c r="E966" t="s">
        <v>40</v>
      </c>
      <c r="F966">
        <v>15</v>
      </c>
      <c r="G966">
        <v>2</v>
      </c>
      <c r="H966" t="s">
        <v>69</v>
      </c>
      <c r="I966">
        <v>1356</v>
      </c>
      <c r="J966">
        <v>3</v>
      </c>
      <c r="K966" t="s">
        <v>42</v>
      </c>
      <c r="L966">
        <v>66</v>
      </c>
      <c r="M966">
        <v>3</v>
      </c>
      <c r="N966">
        <v>2</v>
      </c>
      <c r="O966" t="s">
        <v>43</v>
      </c>
      <c r="P966">
        <v>1</v>
      </c>
      <c r="Q966" t="s">
        <v>44</v>
      </c>
      <c r="R966">
        <v>6125</v>
      </c>
      <c r="S966">
        <v>23553</v>
      </c>
      <c r="T966">
        <v>1</v>
      </c>
      <c r="U966" t="s">
        <v>51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  <c r="AG966" t="s">
        <v>67</v>
      </c>
      <c r="AH966" t="s">
        <v>46</v>
      </c>
      <c r="AI966">
        <v>0</v>
      </c>
      <c r="AJ966" t="s">
        <v>58</v>
      </c>
      <c r="AK966" t="s">
        <v>48</v>
      </c>
      <c r="AL966" t="s">
        <v>73</v>
      </c>
      <c r="AM966" t="s">
        <v>85</v>
      </c>
      <c r="AN966">
        <f t="shared" si="15"/>
        <v>13</v>
      </c>
    </row>
    <row r="967" spans="1:40">
      <c r="A967">
        <v>25</v>
      </c>
      <c r="B967" t="s">
        <v>51</v>
      </c>
      <c r="C967" t="s">
        <v>39</v>
      </c>
      <c r="D967">
        <v>882</v>
      </c>
      <c r="E967" t="s">
        <v>53</v>
      </c>
      <c r="F967">
        <v>19</v>
      </c>
      <c r="G967">
        <v>1</v>
      </c>
      <c r="H967" t="s">
        <v>69</v>
      </c>
      <c r="I967">
        <v>1358</v>
      </c>
      <c r="J967">
        <v>4</v>
      </c>
      <c r="K967" t="s">
        <v>54</v>
      </c>
      <c r="L967">
        <v>67</v>
      </c>
      <c r="M967">
        <v>3</v>
      </c>
      <c r="N967">
        <v>1</v>
      </c>
      <c r="O967" t="s">
        <v>63</v>
      </c>
      <c r="P967">
        <v>4</v>
      </c>
      <c r="Q967" t="s">
        <v>56</v>
      </c>
      <c r="R967">
        <v>3669</v>
      </c>
      <c r="S967">
        <v>9075</v>
      </c>
      <c r="T967">
        <v>3</v>
      </c>
      <c r="U967" t="s">
        <v>51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  <c r="AG967" t="s">
        <v>78</v>
      </c>
      <c r="AH967" t="s">
        <v>71</v>
      </c>
      <c r="AI967">
        <v>0</v>
      </c>
      <c r="AJ967" t="s">
        <v>47</v>
      </c>
      <c r="AK967" t="s">
        <v>59</v>
      </c>
      <c r="AL967" t="s">
        <v>49</v>
      </c>
      <c r="AM967" t="s">
        <v>70</v>
      </c>
      <c r="AN967">
        <f t="shared" si="15"/>
        <v>0</v>
      </c>
    </row>
    <row r="968" spans="1:40">
      <c r="A968">
        <v>58</v>
      </c>
      <c r="B968" t="s">
        <v>38</v>
      </c>
      <c r="C968" t="s">
        <v>39</v>
      </c>
      <c r="D968">
        <v>601</v>
      </c>
      <c r="E968" t="s">
        <v>53</v>
      </c>
      <c r="F968">
        <v>7</v>
      </c>
      <c r="G968">
        <v>4</v>
      </c>
      <c r="H968" t="s">
        <v>69</v>
      </c>
      <c r="I968">
        <v>1360</v>
      </c>
      <c r="J968">
        <v>3</v>
      </c>
      <c r="K968" t="s">
        <v>42</v>
      </c>
      <c r="L968">
        <v>53</v>
      </c>
      <c r="M968">
        <v>2</v>
      </c>
      <c r="N968">
        <v>3</v>
      </c>
      <c r="O968" t="s">
        <v>75</v>
      </c>
      <c r="P968">
        <v>1</v>
      </c>
      <c r="Q968" t="s">
        <v>56</v>
      </c>
      <c r="R968">
        <v>10008</v>
      </c>
      <c r="S968">
        <v>12023</v>
      </c>
      <c r="T968">
        <v>7</v>
      </c>
      <c r="U968" t="s">
        <v>38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  <c r="AG968" t="s">
        <v>57</v>
      </c>
      <c r="AH968" t="s">
        <v>46</v>
      </c>
      <c r="AI968">
        <v>1</v>
      </c>
      <c r="AJ968" t="s">
        <v>47</v>
      </c>
      <c r="AK968" t="s">
        <v>68</v>
      </c>
      <c r="AL968" t="s">
        <v>73</v>
      </c>
      <c r="AM968" t="s">
        <v>70</v>
      </c>
      <c r="AN968">
        <f t="shared" si="15"/>
        <v>13</v>
      </c>
    </row>
    <row r="969" spans="1:40">
      <c r="A969">
        <v>40</v>
      </c>
      <c r="B969" t="s">
        <v>51</v>
      </c>
      <c r="C969" t="s">
        <v>39</v>
      </c>
      <c r="D969">
        <v>329</v>
      </c>
      <c r="E969" t="s">
        <v>53</v>
      </c>
      <c r="F969">
        <v>1</v>
      </c>
      <c r="G969">
        <v>4</v>
      </c>
      <c r="H969" t="s">
        <v>41</v>
      </c>
      <c r="I969">
        <v>1361</v>
      </c>
      <c r="J969">
        <v>2</v>
      </c>
      <c r="K969" t="s">
        <v>54</v>
      </c>
      <c r="L969">
        <v>88</v>
      </c>
      <c r="M969">
        <v>3</v>
      </c>
      <c r="N969">
        <v>1</v>
      </c>
      <c r="O969" t="s">
        <v>63</v>
      </c>
      <c r="P969">
        <v>2</v>
      </c>
      <c r="Q969" t="s">
        <v>56</v>
      </c>
      <c r="R969">
        <v>2387</v>
      </c>
      <c r="S969">
        <v>6762</v>
      </c>
      <c r="T969">
        <v>3</v>
      </c>
      <c r="U969" t="s">
        <v>51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  <c r="AG969" t="s">
        <v>45</v>
      </c>
      <c r="AH969" t="s">
        <v>71</v>
      </c>
      <c r="AI969">
        <v>0</v>
      </c>
      <c r="AJ969" t="s">
        <v>65</v>
      </c>
      <c r="AK969" t="s">
        <v>68</v>
      </c>
      <c r="AL969" t="s">
        <v>60</v>
      </c>
      <c r="AM969" t="s">
        <v>61</v>
      </c>
      <c r="AN969">
        <f t="shared" si="15"/>
        <v>3</v>
      </c>
    </row>
    <row r="970" spans="1:40">
      <c r="A970">
        <v>36</v>
      </c>
      <c r="B970" t="s">
        <v>51</v>
      </c>
      <c r="C970" t="s">
        <v>52</v>
      </c>
      <c r="D970">
        <v>607</v>
      </c>
      <c r="E970" t="s">
        <v>40</v>
      </c>
      <c r="F970">
        <v>7</v>
      </c>
      <c r="G970">
        <v>3</v>
      </c>
      <c r="H970" t="s">
        <v>84</v>
      </c>
      <c r="I970">
        <v>1362</v>
      </c>
      <c r="J970">
        <v>1</v>
      </c>
      <c r="K970" t="s">
        <v>42</v>
      </c>
      <c r="L970">
        <v>83</v>
      </c>
      <c r="M970">
        <v>4</v>
      </c>
      <c r="N970">
        <v>2</v>
      </c>
      <c r="O970" t="s">
        <v>43</v>
      </c>
      <c r="P970">
        <v>1</v>
      </c>
      <c r="Q970" t="s">
        <v>56</v>
      </c>
      <c r="R970">
        <v>4639</v>
      </c>
      <c r="S970">
        <v>2261</v>
      </c>
      <c r="T970">
        <v>2</v>
      </c>
      <c r="U970" t="s">
        <v>51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  <c r="AG970" t="s">
        <v>45</v>
      </c>
      <c r="AH970" t="s">
        <v>64</v>
      </c>
      <c r="AI970">
        <v>0</v>
      </c>
      <c r="AJ970" t="s">
        <v>47</v>
      </c>
      <c r="AK970" t="s">
        <v>72</v>
      </c>
      <c r="AL970" t="s">
        <v>73</v>
      </c>
      <c r="AM970" t="s">
        <v>70</v>
      </c>
      <c r="AN970">
        <f t="shared" si="15"/>
        <v>14</v>
      </c>
    </row>
    <row r="971" spans="1:40">
      <c r="A971">
        <v>48</v>
      </c>
      <c r="B971" t="s">
        <v>51</v>
      </c>
      <c r="C971" t="s">
        <v>39</v>
      </c>
      <c r="D971">
        <v>855</v>
      </c>
      <c r="E971" t="s">
        <v>53</v>
      </c>
      <c r="F971">
        <v>4</v>
      </c>
      <c r="G971">
        <v>3</v>
      </c>
      <c r="H971" t="s">
        <v>41</v>
      </c>
      <c r="I971">
        <v>1363</v>
      </c>
      <c r="J971">
        <v>4</v>
      </c>
      <c r="K971" t="s">
        <v>54</v>
      </c>
      <c r="L971">
        <v>54</v>
      </c>
      <c r="M971">
        <v>3</v>
      </c>
      <c r="N971">
        <v>3</v>
      </c>
      <c r="O971" t="s">
        <v>75</v>
      </c>
      <c r="P971">
        <v>4</v>
      </c>
      <c r="Q971" t="s">
        <v>44</v>
      </c>
      <c r="R971">
        <v>7898</v>
      </c>
      <c r="S971">
        <v>18706</v>
      </c>
      <c r="T971">
        <v>1</v>
      </c>
      <c r="U971" t="s">
        <v>51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  <c r="AG971" t="s">
        <v>57</v>
      </c>
      <c r="AH971" t="s">
        <v>46</v>
      </c>
      <c r="AI971">
        <v>0</v>
      </c>
      <c r="AJ971" t="s">
        <v>58</v>
      </c>
      <c r="AK971" t="s">
        <v>72</v>
      </c>
      <c r="AL971" t="s">
        <v>49</v>
      </c>
      <c r="AM971" t="s">
        <v>61</v>
      </c>
      <c r="AN971">
        <f t="shared" si="15"/>
        <v>-3</v>
      </c>
    </row>
    <row r="972" spans="1:40">
      <c r="A972">
        <v>27</v>
      </c>
      <c r="B972" t="s">
        <v>51</v>
      </c>
      <c r="C972" t="s">
        <v>39</v>
      </c>
      <c r="D972">
        <v>1291</v>
      </c>
      <c r="E972" t="s">
        <v>40</v>
      </c>
      <c r="F972">
        <v>11</v>
      </c>
      <c r="G972">
        <v>3</v>
      </c>
      <c r="H972" t="s">
        <v>69</v>
      </c>
      <c r="I972">
        <v>1364</v>
      </c>
      <c r="J972">
        <v>3</v>
      </c>
      <c r="K972" t="s">
        <v>42</v>
      </c>
      <c r="L972">
        <v>98</v>
      </c>
      <c r="M972">
        <v>4</v>
      </c>
      <c r="N972">
        <v>1</v>
      </c>
      <c r="O972" t="s">
        <v>82</v>
      </c>
      <c r="P972">
        <v>4</v>
      </c>
      <c r="Q972" t="s">
        <v>56</v>
      </c>
      <c r="R972">
        <v>2534</v>
      </c>
      <c r="S972">
        <v>6527</v>
      </c>
      <c r="T972">
        <v>8</v>
      </c>
      <c r="U972" t="s">
        <v>51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  <c r="AG972" t="s">
        <v>67</v>
      </c>
      <c r="AH972" t="s">
        <v>71</v>
      </c>
      <c r="AI972">
        <v>0</v>
      </c>
      <c r="AJ972" t="s">
        <v>65</v>
      </c>
      <c r="AK972" t="s">
        <v>72</v>
      </c>
      <c r="AL972" t="s">
        <v>49</v>
      </c>
      <c r="AM972" t="s">
        <v>61</v>
      </c>
      <c r="AN972">
        <f t="shared" si="15"/>
        <v>-3</v>
      </c>
    </row>
    <row r="973" spans="1:40">
      <c r="A973">
        <v>51</v>
      </c>
      <c r="B973" t="s">
        <v>51</v>
      </c>
      <c r="C973" t="s">
        <v>39</v>
      </c>
      <c r="D973">
        <v>1405</v>
      </c>
      <c r="E973" t="s">
        <v>53</v>
      </c>
      <c r="F973">
        <v>11</v>
      </c>
      <c r="G973">
        <v>2</v>
      </c>
      <c r="H973" t="s">
        <v>86</v>
      </c>
      <c r="I973">
        <v>1367</v>
      </c>
      <c r="J973">
        <v>4</v>
      </c>
      <c r="K973" t="s">
        <v>42</v>
      </c>
      <c r="L973">
        <v>82</v>
      </c>
      <c r="M973">
        <v>2</v>
      </c>
      <c r="N973">
        <v>4</v>
      </c>
      <c r="O973" t="s">
        <v>75</v>
      </c>
      <c r="P973">
        <v>2</v>
      </c>
      <c r="Q973" t="s">
        <v>44</v>
      </c>
      <c r="R973">
        <v>13142</v>
      </c>
      <c r="S973">
        <v>24439</v>
      </c>
      <c r="T973">
        <v>3</v>
      </c>
      <c r="U973" t="s">
        <v>51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  <c r="AG973" t="s">
        <v>57</v>
      </c>
      <c r="AH973" t="s">
        <v>46</v>
      </c>
      <c r="AI973">
        <v>0</v>
      </c>
      <c r="AJ973" t="s">
        <v>47</v>
      </c>
      <c r="AK973" t="s">
        <v>48</v>
      </c>
      <c r="AL973" t="s">
        <v>60</v>
      </c>
      <c r="AM973" t="s">
        <v>70</v>
      </c>
      <c r="AN973">
        <f t="shared" si="15"/>
        <v>5</v>
      </c>
    </row>
    <row r="974" spans="1:40">
      <c r="A974">
        <v>18</v>
      </c>
      <c r="B974" t="s">
        <v>51</v>
      </c>
      <c r="C974" t="s">
        <v>77</v>
      </c>
      <c r="D974">
        <v>1124</v>
      </c>
      <c r="E974" t="s">
        <v>53</v>
      </c>
      <c r="F974">
        <v>1</v>
      </c>
      <c r="G974">
        <v>3</v>
      </c>
      <c r="H974" t="s">
        <v>41</v>
      </c>
      <c r="I974">
        <v>1368</v>
      </c>
      <c r="J974">
        <v>4</v>
      </c>
      <c r="K974" t="s">
        <v>42</v>
      </c>
      <c r="L974">
        <v>97</v>
      </c>
      <c r="M974">
        <v>3</v>
      </c>
      <c r="N974">
        <v>1</v>
      </c>
      <c r="O974" t="s">
        <v>63</v>
      </c>
      <c r="P974">
        <v>4</v>
      </c>
      <c r="Q974" t="s">
        <v>44</v>
      </c>
      <c r="R974">
        <v>1611</v>
      </c>
      <c r="S974">
        <v>19305</v>
      </c>
      <c r="T974">
        <v>1</v>
      </c>
      <c r="U974" t="s">
        <v>51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  <c r="AG974" t="s">
        <v>78</v>
      </c>
      <c r="AH974" t="s">
        <v>46</v>
      </c>
      <c r="AI974">
        <v>0</v>
      </c>
      <c r="AJ974" t="s">
        <v>65</v>
      </c>
      <c r="AK974" t="s">
        <v>72</v>
      </c>
      <c r="AL974" t="s">
        <v>49</v>
      </c>
      <c r="AM974" t="s">
        <v>85</v>
      </c>
      <c r="AN974">
        <f t="shared" si="15"/>
        <v>-5</v>
      </c>
    </row>
    <row r="975" spans="1:40">
      <c r="A975">
        <v>35</v>
      </c>
      <c r="B975" t="s">
        <v>51</v>
      </c>
      <c r="C975" t="s">
        <v>39</v>
      </c>
      <c r="D975">
        <v>817</v>
      </c>
      <c r="E975" t="s">
        <v>53</v>
      </c>
      <c r="F975">
        <v>1</v>
      </c>
      <c r="G975">
        <v>3</v>
      </c>
      <c r="H975" t="s">
        <v>69</v>
      </c>
      <c r="I975">
        <v>1369</v>
      </c>
      <c r="J975">
        <v>4</v>
      </c>
      <c r="K975" t="s">
        <v>42</v>
      </c>
      <c r="L975">
        <v>60</v>
      </c>
      <c r="M975">
        <v>2</v>
      </c>
      <c r="N975">
        <v>2</v>
      </c>
      <c r="O975" t="s">
        <v>63</v>
      </c>
      <c r="P975">
        <v>4</v>
      </c>
      <c r="Q975" t="s">
        <v>56</v>
      </c>
      <c r="R975">
        <v>5363</v>
      </c>
      <c r="S975">
        <v>10846</v>
      </c>
      <c r="T975">
        <v>0</v>
      </c>
      <c r="U975" t="s">
        <v>51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  <c r="AG975" t="s">
        <v>67</v>
      </c>
      <c r="AH975" t="s">
        <v>46</v>
      </c>
      <c r="AI975">
        <v>0</v>
      </c>
      <c r="AJ975" t="s">
        <v>58</v>
      </c>
      <c r="AK975" t="s">
        <v>72</v>
      </c>
      <c r="AL975" t="s">
        <v>49</v>
      </c>
      <c r="AM975" t="s">
        <v>61</v>
      </c>
      <c r="AN975">
        <f t="shared" si="15"/>
        <v>-3</v>
      </c>
    </row>
    <row r="976" spans="1:40">
      <c r="A976">
        <v>27</v>
      </c>
      <c r="B976" t="s">
        <v>51</v>
      </c>
      <c r="C976" t="s">
        <v>52</v>
      </c>
      <c r="D976">
        <v>793</v>
      </c>
      <c r="E976" t="s">
        <v>40</v>
      </c>
      <c r="F976">
        <v>2</v>
      </c>
      <c r="G976">
        <v>1</v>
      </c>
      <c r="H976" t="s">
        <v>41</v>
      </c>
      <c r="I976">
        <v>1371</v>
      </c>
      <c r="J976">
        <v>4</v>
      </c>
      <c r="K976" t="s">
        <v>54</v>
      </c>
      <c r="L976">
        <v>43</v>
      </c>
      <c r="M976">
        <v>1</v>
      </c>
      <c r="N976">
        <v>2</v>
      </c>
      <c r="O976" t="s">
        <v>43</v>
      </c>
      <c r="P976">
        <v>4</v>
      </c>
      <c r="Q976" t="s">
        <v>44</v>
      </c>
      <c r="R976">
        <v>5071</v>
      </c>
      <c r="S976">
        <v>20392</v>
      </c>
      <c r="T976">
        <v>3</v>
      </c>
      <c r="U976" t="s">
        <v>51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  <c r="AG976" t="s">
        <v>67</v>
      </c>
      <c r="AH976" t="s">
        <v>46</v>
      </c>
      <c r="AI976">
        <v>0</v>
      </c>
      <c r="AJ976" t="s">
        <v>58</v>
      </c>
      <c r="AK976" t="s">
        <v>59</v>
      </c>
      <c r="AL976" t="s">
        <v>49</v>
      </c>
      <c r="AM976" t="s">
        <v>61</v>
      </c>
      <c r="AN976">
        <f t="shared" si="15"/>
        <v>-3</v>
      </c>
    </row>
    <row r="977" spans="1:40">
      <c r="A977">
        <v>55</v>
      </c>
      <c r="B977" t="s">
        <v>38</v>
      </c>
      <c r="C977" t="s">
        <v>39</v>
      </c>
      <c r="D977">
        <v>267</v>
      </c>
      <c r="E977" t="s">
        <v>40</v>
      </c>
      <c r="F977">
        <v>13</v>
      </c>
      <c r="G977">
        <v>4</v>
      </c>
      <c r="H977" t="s">
        <v>84</v>
      </c>
      <c r="I977">
        <v>1372</v>
      </c>
      <c r="J977">
        <v>1</v>
      </c>
      <c r="K977" t="s">
        <v>54</v>
      </c>
      <c r="L977">
        <v>85</v>
      </c>
      <c r="M977">
        <v>4</v>
      </c>
      <c r="N977">
        <v>4</v>
      </c>
      <c r="O977" t="s">
        <v>43</v>
      </c>
      <c r="P977">
        <v>3</v>
      </c>
      <c r="Q977" t="s">
        <v>44</v>
      </c>
      <c r="R977">
        <v>13695</v>
      </c>
      <c r="S977">
        <v>9277</v>
      </c>
      <c r="T977">
        <v>6</v>
      </c>
      <c r="U977" t="s">
        <v>38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  <c r="AG977" t="s">
        <v>57</v>
      </c>
      <c r="AH977" t="s">
        <v>71</v>
      </c>
      <c r="AI977">
        <v>1</v>
      </c>
      <c r="AJ977" t="s">
        <v>47</v>
      </c>
      <c r="AK977" t="s">
        <v>68</v>
      </c>
      <c r="AL977" t="s">
        <v>66</v>
      </c>
      <c r="AM977" t="s">
        <v>70</v>
      </c>
      <c r="AN977">
        <f t="shared" si="15"/>
        <v>5</v>
      </c>
    </row>
    <row r="978" spans="1:40">
      <c r="A978">
        <v>56</v>
      </c>
      <c r="B978" t="s">
        <v>51</v>
      </c>
      <c r="C978" t="s">
        <v>39</v>
      </c>
      <c r="D978">
        <v>1369</v>
      </c>
      <c r="E978" t="s">
        <v>53</v>
      </c>
      <c r="F978">
        <v>23</v>
      </c>
      <c r="G978">
        <v>3</v>
      </c>
      <c r="H978" t="s">
        <v>41</v>
      </c>
      <c r="I978">
        <v>1373</v>
      </c>
      <c r="J978">
        <v>4</v>
      </c>
      <c r="K978" t="s">
        <v>54</v>
      </c>
      <c r="L978">
        <v>68</v>
      </c>
      <c r="M978">
        <v>3</v>
      </c>
      <c r="N978">
        <v>4</v>
      </c>
      <c r="O978" t="s">
        <v>75</v>
      </c>
      <c r="P978">
        <v>2</v>
      </c>
      <c r="Q978" t="s">
        <v>56</v>
      </c>
      <c r="R978">
        <v>13402</v>
      </c>
      <c r="S978">
        <v>18235</v>
      </c>
      <c r="T978">
        <v>4</v>
      </c>
      <c r="U978" t="s">
        <v>38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  <c r="AG978" t="s">
        <v>57</v>
      </c>
      <c r="AH978" t="s">
        <v>46</v>
      </c>
      <c r="AI978">
        <v>0</v>
      </c>
      <c r="AJ978" t="s">
        <v>80</v>
      </c>
      <c r="AK978" t="s">
        <v>72</v>
      </c>
      <c r="AL978" t="s">
        <v>60</v>
      </c>
      <c r="AM978" t="s">
        <v>61</v>
      </c>
      <c r="AN978">
        <f t="shared" si="15"/>
        <v>18</v>
      </c>
    </row>
    <row r="979" spans="1:40">
      <c r="A979">
        <v>34</v>
      </c>
      <c r="B979" t="s">
        <v>51</v>
      </c>
      <c r="C979" t="s">
        <v>77</v>
      </c>
      <c r="D979">
        <v>999</v>
      </c>
      <c r="E979" t="s">
        <v>53</v>
      </c>
      <c r="F979">
        <v>26</v>
      </c>
      <c r="G979">
        <v>1</v>
      </c>
      <c r="H979" t="s">
        <v>86</v>
      </c>
      <c r="I979">
        <v>1374</v>
      </c>
      <c r="J979">
        <v>1</v>
      </c>
      <c r="K979" t="s">
        <v>42</v>
      </c>
      <c r="L979">
        <v>92</v>
      </c>
      <c r="M979">
        <v>2</v>
      </c>
      <c r="N979">
        <v>1</v>
      </c>
      <c r="O979" t="s">
        <v>55</v>
      </c>
      <c r="P979">
        <v>3</v>
      </c>
      <c r="Q979" t="s">
        <v>74</v>
      </c>
      <c r="R979">
        <v>2029</v>
      </c>
      <c r="S979">
        <v>15891</v>
      </c>
      <c r="T979">
        <v>1</v>
      </c>
      <c r="U979" t="s">
        <v>51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  <c r="AG979" t="s">
        <v>67</v>
      </c>
      <c r="AH979" t="s">
        <v>46</v>
      </c>
      <c r="AI979">
        <v>0</v>
      </c>
      <c r="AJ979" t="s">
        <v>65</v>
      </c>
      <c r="AK979" t="s">
        <v>59</v>
      </c>
      <c r="AL979" t="s">
        <v>66</v>
      </c>
      <c r="AM979" t="s">
        <v>61</v>
      </c>
      <c r="AN979">
        <f t="shared" si="15"/>
        <v>0</v>
      </c>
    </row>
    <row r="980" spans="1:40">
      <c r="A980">
        <v>40</v>
      </c>
      <c r="B980" t="s">
        <v>51</v>
      </c>
      <c r="C980" t="s">
        <v>39</v>
      </c>
      <c r="D980">
        <v>1202</v>
      </c>
      <c r="E980" t="s">
        <v>53</v>
      </c>
      <c r="F980">
        <v>2</v>
      </c>
      <c r="G980">
        <v>1</v>
      </c>
      <c r="H980" t="s">
        <v>69</v>
      </c>
      <c r="I980">
        <v>1375</v>
      </c>
      <c r="J980">
        <v>2</v>
      </c>
      <c r="K980" t="s">
        <v>42</v>
      </c>
      <c r="L980">
        <v>89</v>
      </c>
      <c r="M980">
        <v>4</v>
      </c>
      <c r="N980">
        <v>2</v>
      </c>
      <c r="O980" t="s">
        <v>76</v>
      </c>
      <c r="P980">
        <v>3</v>
      </c>
      <c r="Q980" t="s">
        <v>74</v>
      </c>
      <c r="R980">
        <v>6377</v>
      </c>
      <c r="S980">
        <v>13888</v>
      </c>
      <c r="T980">
        <v>5</v>
      </c>
      <c r="U980" t="s">
        <v>51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  <c r="AG980" t="s">
        <v>45</v>
      </c>
      <c r="AH980" t="s">
        <v>46</v>
      </c>
      <c r="AI980">
        <v>0</v>
      </c>
      <c r="AJ980" t="s">
        <v>80</v>
      </c>
      <c r="AK980" t="s">
        <v>59</v>
      </c>
      <c r="AL980" t="s">
        <v>66</v>
      </c>
      <c r="AM980" t="s">
        <v>61</v>
      </c>
      <c r="AN980">
        <f t="shared" si="15"/>
        <v>11</v>
      </c>
    </row>
    <row r="981" spans="1:40">
      <c r="A981">
        <v>34</v>
      </c>
      <c r="B981" t="s">
        <v>51</v>
      </c>
      <c r="C981" t="s">
        <v>39</v>
      </c>
      <c r="D981">
        <v>285</v>
      </c>
      <c r="E981" t="s">
        <v>53</v>
      </c>
      <c r="F981">
        <v>29</v>
      </c>
      <c r="G981">
        <v>3</v>
      </c>
      <c r="H981" t="s">
        <v>69</v>
      </c>
      <c r="I981">
        <v>1377</v>
      </c>
      <c r="J981">
        <v>2</v>
      </c>
      <c r="K981" t="s">
        <v>54</v>
      </c>
      <c r="L981">
        <v>86</v>
      </c>
      <c r="M981">
        <v>3</v>
      </c>
      <c r="N981">
        <v>2</v>
      </c>
      <c r="O981" t="s">
        <v>63</v>
      </c>
      <c r="P981">
        <v>3</v>
      </c>
      <c r="Q981" t="s">
        <v>56</v>
      </c>
      <c r="R981">
        <v>5429</v>
      </c>
      <c r="S981">
        <v>17491</v>
      </c>
      <c r="T981">
        <v>4</v>
      </c>
      <c r="U981" t="s">
        <v>51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  <c r="AG981" t="s">
        <v>67</v>
      </c>
      <c r="AH981" t="s">
        <v>46</v>
      </c>
      <c r="AI981">
        <v>0</v>
      </c>
      <c r="AJ981" t="s">
        <v>58</v>
      </c>
      <c r="AK981" t="s">
        <v>72</v>
      </c>
      <c r="AL981" t="s">
        <v>66</v>
      </c>
      <c r="AM981" t="s">
        <v>61</v>
      </c>
      <c r="AN981">
        <f t="shared" si="15"/>
        <v>7</v>
      </c>
    </row>
    <row r="982" spans="1:40">
      <c r="A982">
        <v>31</v>
      </c>
      <c r="B982" t="s">
        <v>38</v>
      </c>
      <c r="C982" t="s">
        <v>52</v>
      </c>
      <c r="D982">
        <v>703</v>
      </c>
      <c r="E982" t="s">
        <v>40</v>
      </c>
      <c r="F982">
        <v>2</v>
      </c>
      <c r="G982">
        <v>3</v>
      </c>
      <c r="H982" t="s">
        <v>41</v>
      </c>
      <c r="I982">
        <v>1379</v>
      </c>
      <c r="J982">
        <v>3</v>
      </c>
      <c r="K982" t="s">
        <v>42</v>
      </c>
      <c r="L982">
        <v>90</v>
      </c>
      <c r="M982">
        <v>2</v>
      </c>
      <c r="N982">
        <v>1</v>
      </c>
      <c r="O982" t="s">
        <v>82</v>
      </c>
      <c r="P982">
        <v>4</v>
      </c>
      <c r="Q982" t="s">
        <v>44</v>
      </c>
      <c r="R982">
        <v>2785</v>
      </c>
      <c r="S982">
        <v>11882</v>
      </c>
      <c r="T982">
        <v>7</v>
      </c>
      <c r="U982" t="s">
        <v>51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  <c r="AG982" t="s">
        <v>67</v>
      </c>
      <c r="AH982" t="s">
        <v>46</v>
      </c>
      <c r="AI982">
        <v>1</v>
      </c>
      <c r="AJ982" t="s">
        <v>65</v>
      </c>
      <c r="AK982" t="s">
        <v>72</v>
      </c>
      <c r="AL982" t="s">
        <v>49</v>
      </c>
      <c r="AM982" t="s">
        <v>85</v>
      </c>
      <c r="AN982">
        <f t="shared" si="15"/>
        <v>-5</v>
      </c>
    </row>
    <row r="983" spans="1:40">
      <c r="A983">
        <v>35</v>
      </c>
      <c r="B983" t="s">
        <v>38</v>
      </c>
      <c r="C983" t="s">
        <v>52</v>
      </c>
      <c r="D983">
        <v>662</v>
      </c>
      <c r="E983" t="s">
        <v>40</v>
      </c>
      <c r="F983">
        <v>18</v>
      </c>
      <c r="G983">
        <v>4</v>
      </c>
      <c r="H983" t="s">
        <v>84</v>
      </c>
      <c r="I983">
        <v>1380</v>
      </c>
      <c r="J983">
        <v>4</v>
      </c>
      <c r="K983" t="s">
        <v>42</v>
      </c>
      <c r="L983">
        <v>67</v>
      </c>
      <c r="M983">
        <v>3</v>
      </c>
      <c r="N983">
        <v>2</v>
      </c>
      <c r="O983" t="s">
        <v>43</v>
      </c>
      <c r="P983">
        <v>3</v>
      </c>
      <c r="Q983" t="s">
        <v>56</v>
      </c>
      <c r="R983">
        <v>4614</v>
      </c>
      <c r="S983">
        <v>23288</v>
      </c>
      <c r="T983">
        <v>0</v>
      </c>
      <c r="U983" t="s">
        <v>38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  <c r="AG983" t="s">
        <v>67</v>
      </c>
      <c r="AH983" t="s">
        <v>46</v>
      </c>
      <c r="AI983">
        <v>1</v>
      </c>
      <c r="AJ983" t="s">
        <v>47</v>
      </c>
      <c r="AK983" t="s">
        <v>68</v>
      </c>
      <c r="AL983" t="s">
        <v>66</v>
      </c>
      <c r="AM983" t="s">
        <v>70</v>
      </c>
      <c r="AN983">
        <f t="shared" si="15"/>
        <v>5</v>
      </c>
    </row>
    <row r="984" spans="1:40">
      <c r="A984">
        <v>38</v>
      </c>
      <c r="B984" t="s">
        <v>51</v>
      </c>
      <c r="C984" t="s">
        <v>52</v>
      </c>
      <c r="D984">
        <v>693</v>
      </c>
      <c r="E984" t="s">
        <v>53</v>
      </c>
      <c r="F984">
        <v>7</v>
      </c>
      <c r="G984">
        <v>3</v>
      </c>
      <c r="H984" t="s">
        <v>41</v>
      </c>
      <c r="I984">
        <v>1382</v>
      </c>
      <c r="J984">
        <v>4</v>
      </c>
      <c r="K984" t="s">
        <v>54</v>
      </c>
      <c r="L984">
        <v>57</v>
      </c>
      <c r="M984">
        <v>4</v>
      </c>
      <c r="N984">
        <v>1</v>
      </c>
      <c r="O984" t="s">
        <v>55</v>
      </c>
      <c r="P984">
        <v>3</v>
      </c>
      <c r="Q984" t="s">
        <v>74</v>
      </c>
      <c r="R984">
        <v>2610</v>
      </c>
      <c r="S984">
        <v>15748</v>
      </c>
      <c r="T984">
        <v>1</v>
      </c>
      <c r="U984" t="s">
        <v>51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  <c r="AG984" t="s">
        <v>45</v>
      </c>
      <c r="AH984" t="s">
        <v>46</v>
      </c>
      <c r="AI984">
        <v>0</v>
      </c>
      <c r="AJ984" t="s">
        <v>65</v>
      </c>
      <c r="AK984" t="s">
        <v>72</v>
      </c>
      <c r="AL984" t="s">
        <v>66</v>
      </c>
      <c r="AM984" t="s">
        <v>61</v>
      </c>
      <c r="AN984">
        <f t="shared" si="15"/>
        <v>0</v>
      </c>
    </row>
    <row r="985" spans="1:40">
      <c r="A985">
        <v>34</v>
      </c>
      <c r="B985" t="s">
        <v>51</v>
      </c>
      <c r="C985" t="s">
        <v>39</v>
      </c>
      <c r="D985">
        <v>404</v>
      </c>
      <c r="E985" t="s">
        <v>53</v>
      </c>
      <c r="F985">
        <v>2</v>
      </c>
      <c r="G985">
        <v>4</v>
      </c>
      <c r="H985" t="s">
        <v>86</v>
      </c>
      <c r="I985">
        <v>1383</v>
      </c>
      <c r="J985">
        <v>3</v>
      </c>
      <c r="K985" t="s">
        <v>42</v>
      </c>
      <c r="L985">
        <v>98</v>
      </c>
      <c r="M985">
        <v>3</v>
      </c>
      <c r="N985">
        <v>2</v>
      </c>
      <c r="O985" t="s">
        <v>76</v>
      </c>
      <c r="P985">
        <v>4</v>
      </c>
      <c r="Q985" t="s">
        <v>44</v>
      </c>
      <c r="R985">
        <v>6687</v>
      </c>
      <c r="S985">
        <v>6163</v>
      </c>
      <c r="T985">
        <v>1</v>
      </c>
      <c r="U985" t="s">
        <v>51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  <c r="AG985" t="s">
        <v>67</v>
      </c>
      <c r="AH985" t="s">
        <v>71</v>
      </c>
      <c r="AI985">
        <v>0</v>
      </c>
      <c r="AJ985" t="s">
        <v>80</v>
      </c>
      <c r="AK985" t="s">
        <v>68</v>
      </c>
      <c r="AL985" t="s">
        <v>49</v>
      </c>
      <c r="AM985" t="s">
        <v>85</v>
      </c>
      <c r="AN985">
        <f t="shared" si="15"/>
        <v>-1</v>
      </c>
    </row>
    <row r="986" spans="1:40">
      <c r="A986">
        <v>28</v>
      </c>
      <c r="B986" t="s">
        <v>51</v>
      </c>
      <c r="C986" t="s">
        <v>39</v>
      </c>
      <c r="D986">
        <v>736</v>
      </c>
      <c r="E986" t="s">
        <v>40</v>
      </c>
      <c r="F986">
        <v>26</v>
      </c>
      <c r="G986">
        <v>3</v>
      </c>
      <c r="H986" t="s">
        <v>41</v>
      </c>
      <c r="I986">
        <v>1387</v>
      </c>
      <c r="J986">
        <v>3</v>
      </c>
      <c r="K986" t="s">
        <v>54</v>
      </c>
      <c r="L986">
        <v>48</v>
      </c>
      <c r="M986">
        <v>2</v>
      </c>
      <c r="N986">
        <v>2</v>
      </c>
      <c r="O986" t="s">
        <v>43</v>
      </c>
      <c r="P986">
        <v>1</v>
      </c>
      <c r="Q986" t="s">
        <v>56</v>
      </c>
      <c r="R986">
        <v>4724</v>
      </c>
      <c r="S986">
        <v>24232</v>
      </c>
      <c r="T986">
        <v>1</v>
      </c>
      <c r="U986" t="s">
        <v>51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  <c r="AG986" t="s">
        <v>67</v>
      </c>
      <c r="AH986" t="s">
        <v>46</v>
      </c>
      <c r="AI986">
        <v>0</v>
      </c>
      <c r="AJ986" t="s">
        <v>65</v>
      </c>
      <c r="AK986" t="s">
        <v>72</v>
      </c>
      <c r="AL986" t="s">
        <v>73</v>
      </c>
      <c r="AM986" t="s">
        <v>61</v>
      </c>
      <c r="AN986">
        <f t="shared" si="15"/>
        <v>6</v>
      </c>
    </row>
    <row r="987" spans="1:40">
      <c r="A987">
        <v>31</v>
      </c>
      <c r="B987" t="s">
        <v>38</v>
      </c>
      <c r="C987" t="s">
        <v>39</v>
      </c>
      <c r="D987">
        <v>330</v>
      </c>
      <c r="E987" t="s">
        <v>53</v>
      </c>
      <c r="F987">
        <v>22</v>
      </c>
      <c r="G987">
        <v>4</v>
      </c>
      <c r="H987" t="s">
        <v>69</v>
      </c>
      <c r="I987">
        <v>1389</v>
      </c>
      <c r="J987">
        <v>4</v>
      </c>
      <c r="K987" t="s">
        <v>54</v>
      </c>
      <c r="L987">
        <v>98</v>
      </c>
      <c r="M987">
        <v>3</v>
      </c>
      <c r="N987">
        <v>2</v>
      </c>
      <c r="O987" t="s">
        <v>75</v>
      </c>
      <c r="P987">
        <v>3</v>
      </c>
      <c r="Q987" t="s">
        <v>56</v>
      </c>
      <c r="R987">
        <v>6179</v>
      </c>
      <c r="S987">
        <v>21057</v>
      </c>
      <c r="T987">
        <v>1</v>
      </c>
      <c r="U987" t="s">
        <v>38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  <c r="AG987" t="s">
        <v>67</v>
      </c>
      <c r="AH987" t="s">
        <v>46</v>
      </c>
      <c r="AI987">
        <v>1</v>
      </c>
      <c r="AJ987" t="s">
        <v>47</v>
      </c>
      <c r="AK987" t="s">
        <v>68</v>
      </c>
      <c r="AL987" t="s">
        <v>66</v>
      </c>
      <c r="AM987" t="s">
        <v>70</v>
      </c>
      <c r="AN987">
        <f t="shared" si="15"/>
        <v>8</v>
      </c>
    </row>
    <row r="988" spans="1:40">
      <c r="A988">
        <v>39</v>
      </c>
      <c r="B988" t="s">
        <v>51</v>
      </c>
      <c r="C988" t="s">
        <v>39</v>
      </c>
      <c r="D988">
        <v>1498</v>
      </c>
      <c r="E988" t="s">
        <v>40</v>
      </c>
      <c r="F988">
        <v>21</v>
      </c>
      <c r="G988">
        <v>4</v>
      </c>
      <c r="H988" t="s">
        <v>41</v>
      </c>
      <c r="I988">
        <v>1390</v>
      </c>
      <c r="J988">
        <v>1</v>
      </c>
      <c r="K988" t="s">
        <v>54</v>
      </c>
      <c r="L988">
        <v>44</v>
      </c>
      <c r="M988">
        <v>2</v>
      </c>
      <c r="N988">
        <v>2</v>
      </c>
      <c r="O988" t="s">
        <v>43</v>
      </c>
      <c r="P988">
        <v>4</v>
      </c>
      <c r="Q988" t="s">
        <v>56</v>
      </c>
      <c r="R988">
        <v>6120</v>
      </c>
      <c r="S988">
        <v>3567</v>
      </c>
      <c r="T988">
        <v>3</v>
      </c>
      <c r="U988" t="s">
        <v>38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  <c r="AG988" t="s">
        <v>45</v>
      </c>
      <c r="AH988" t="s">
        <v>81</v>
      </c>
      <c r="AI988">
        <v>0</v>
      </c>
      <c r="AJ988" t="s">
        <v>65</v>
      </c>
      <c r="AK988" t="s">
        <v>68</v>
      </c>
      <c r="AL988" t="s">
        <v>49</v>
      </c>
      <c r="AM988" t="s">
        <v>85</v>
      </c>
      <c r="AN988">
        <f t="shared" si="15"/>
        <v>-4</v>
      </c>
    </row>
    <row r="989" spans="1:40">
      <c r="A989">
        <v>51</v>
      </c>
      <c r="B989" t="s">
        <v>51</v>
      </c>
      <c r="C989" t="s">
        <v>52</v>
      </c>
      <c r="D989">
        <v>541</v>
      </c>
      <c r="E989" t="s">
        <v>40</v>
      </c>
      <c r="F989">
        <v>2</v>
      </c>
      <c r="G989">
        <v>3</v>
      </c>
      <c r="H989" t="s">
        <v>84</v>
      </c>
      <c r="I989">
        <v>1391</v>
      </c>
      <c r="J989">
        <v>2</v>
      </c>
      <c r="K989" t="s">
        <v>54</v>
      </c>
      <c r="L989">
        <v>52</v>
      </c>
      <c r="M989">
        <v>3</v>
      </c>
      <c r="N989">
        <v>3</v>
      </c>
      <c r="O989" t="s">
        <v>43</v>
      </c>
      <c r="P989">
        <v>2</v>
      </c>
      <c r="Q989" t="s">
        <v>56</v>
      </c>
      <c r="R989">
        <v>10596</v>
      </c>
      <c r="S989">
        <v>15395</v>
      </c>
      <c r="T989">
        <v>2</v>
      </c>
      <c r="U989" t="s">
        <v>51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  <c r="AG989" t="s">
        <v>57</v>
      </c>
      <c r="AH989" t="s">
        <v>46</v>
      </c>
      <c r="AI989">
        <v>0</v>
      </c>
      <c r="AJ989" t="s">
        <v>65</v>
      </c>
      <c r="AK989" t="s">
        <v>72</v>
      </c>
      <c r="AL989" t="s">
        <v>60</v>
      </c>
      <c r="AM989" t="s">
        <v>61</v>
      </c>
      <c r="AN989">
        <f t="shared" si="15"/>
        <v>6</v>
      </c>
    </row>
    <row r="990" spans="1:40">
      <c r="A990">
        <v>41</v>
      </c>
      <c r="B990" t="s">
        <v>51</v>
      </c>
      <c r="C990" t="s">
        <v>52</v>
      </c>
      <c r="D990">
        <v>1200</v>
      </c>
      <c r="E990" t="s">
        <v>53</v>
      </c>
      <c r="F990">
        <v>22</v>
      </c>
      <c r="G990">
        <v>3</v>
      </c>
      <c r="H990" t="s">
        <v>41</v>
      </c>
      <c r="I990">
        <v>1392</v>
      </c>
      <c r="J990">
        <v>4</v>
      </c>
      <c r="K990" t="s">
        <v>42</v>
      </c>
      <c r="L990">
        <v>75</v>
      </c>
      <c r="M990">
        <v>3</v>
      </c>
      <c r="N990">
        <v>2</v>
      </c>
      <c r="O990" t="s">
        <v>55</v>
      </c>
      <c r="P990">
        <v>4</v>
      </c>
      <c r="Q990" t="s">
        <v>74</v>
      </c>
      <c r="R990">
        <v>5467</v>
      </c>
      <c r="S990">
        <v>13953</v>
      </c>
      <c r="T990">
        <v>3</v>
      </c>
      <c r="U990" t="s">
        <v>38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  <c r="AG990" t="s">
        <v>45</v>
      </c>
      <c r="AH990" t="s">
        <v>46</v>
      </c>
      <c r="AI990">
        <v>0</v>
      </c>
      <c r="AJ990" t="s">
        <v>47</v>
      </c>
      <c r="AK990" t="s">
        <v>72</v>
      </c>
      <c r="AL990" t="s">
        <v>49</v>
      </c>
      <c r="AM990" t="s">
        <v>70</v>
      </c>
      <c r="AN990">
        <f t="shared" si="15"/>
        <v>2</v>
      </c>
    </row>
    <row r="991" spans="1:40">
      <c r="A991">
        <v>37</v>
      </c>
      <c r="B991" t="s">
        <v>51</v>
      </c>
      <c r="C991" t="s">
        <v>39</v>
      </c>
      <c r="D991">
        <v>1439</v>
      </c>
      <c r="E991" t="s">
        <v>53</v>
      </c>
      <c r="F991">
        <v>4</v>
      </c>
      <c r="G991">
        <v>1</v>
      </c>
      <c r="H991" t="s">
        <v>41</v>
      </c>
      <c r="I991">
        <v>1394</v>
      </c>
      <c r="J991">
        <v>3</v>
      </c>
      <c r="K991" t="s">
        <v>54</v>
      </c>
      <c r="L991">
        <v>54</v>
      </c>
      <c r="M991">
        <v>3</v>
      </c>
      <c r="N991">
        <v>1</v>
      </c>
      <c r="O991" t="s">
        <v>55</v>
      </c>
      <c r="P991">
        <v>3</v>
      </c>
      <c r="Q991" t="s">
        <v>56</v>
      </c>
      <c r="R991">
        <v>2996</v>
      </c>
      <c r="S991">
        <v>5182</v>
      </c>
      <c r="T991">
        <v>7</v>
      </c>
      <c r="U991" t="s">
        <v>38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  <c r="AG991" t="s">
        <v>45</v>
      </c>
      <c r="AH991" t="s">
        <v>81</v>
      </c>
      <c r="AI991">
        <v>0</v>
      </c>
      <c r="AJ991" t="s">
        <v>58</v>
      </c>
      <c r="AK991" t="s">
        <v>59</v>
      </c>
      <c r="AL991" t="s">
        <v>66</v>
      </c>
      <c r="AM991" t="s">
        <v>61</v>
      </c>
      <c r="AN991">
        <f t="shared" si="15"/>
        <v>1</v>
      </c>
    </row>
    <row r="992" spans="1:40">
      <c r="A992">
        <v>33</v>
      </c>
      <c r="B992" t="s">
        <v>51</v>
      </c>
      <c r="C992" t="s">
        <v>52</v>
      </c>
      <c r="D992">
        <v>1111</v>
      </c>
      <c r="E992" t="s">
        <v>40</v>
      </c>
      <c r="F992">
        <v>5</v>
      </c>
      <c r="G992">
        <v>1</v>
      </c>
      <c r="H992" t="s">
        <v>41</v>
      </c>
      <c r="I992">
        <v>1395</v>
      </c>
      <c r="J992">
        <v>2</v>
      </c>
      <c r="K992" t="s">
        <v>54</v>
      </c>
      <c r="L992">
        <v>61</v>
      </c>
      <c r="M992">
        <v>3</v>
      </c>
      <c r="N992">
        <v>2</v>
      </c>
      <c r="O992" t="s">
        <v>43</v>
      </c>
      <c r="P992">
        <v>4</v>
      </c>
      <c r="Q992" t="s">
        <v>56</v>
      </c>
      <c r="R992">
        <v>9998</v>
      </c>
      <c r="S992">
        <v>19293</v>
      </c>
      <c r="T992">
        <v>6</v>
      </c>
      <c r="U992" t="s">
        <v>51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  <c r="AG992" t="s">
        <v>67</v>
      </c>
      <c r="AH992" t="s">
        <v>46</v>
      </c>
      <c r="AI992">
        <v>0</v>
      </c>
      <c r="AJ992" t="s">
        <v>65</v>
      </c>
      <c r="AK992" t="s">
        <v>59</v>
      </c>
      <c r="AL992" t="s">
        <v>49</v>
      </c>
      <c r="AM992" t="s">
        <v>85</v>
      </c>
      <c r="AN992">
        <f t="shared" si="15"/>
        <v>-4</v>
      </c>
    </row>
    <row r="993" spans="1:40">
      <c r="A993">
        <v>32</v>
      </c>
      <c r="B993" t="s">
        <v>51</v>
      </c>
      <c r="C993" t="s">
        <v>39</v>
      </c>
      <c r="D993">
        <v>499</v>
      </c>
      <c r="E993" t="s">
        <v>40</v>
      </c>
      <c r="F993">
        <v>2</v>
      </c>
      <c r="G993">
        <v>1</v>
      </c>
      <c r="H993" t="s">
        <v>84</v>
      </c>
      <c r="I993">
        <v>1396</v>
      </c>
      <c r="J993">
        <v>3</v>
      </c>
      <c r="K993" t="s">
        <v>54</v>
      </c>
      <c r="L993">
        <v>36</v>
      </c>
      <c r="M993">
        <v>3</v>
      </c>
      <c r="N993">
        <v>2</v>
      </c>
      <c r="O993" t="s">
        <v>43</v>
      </c>
      <c r="P993">
        <v>2</v>
      </c>
      <c r="Q993" t="s">
        <v>56</v>
      </c>
      <c r="R993">
        <v>4078</v>
      </c>
      <c r="S993">
        <v>20497</v>
      </c>
      <c r="T993">
        <v>0</v>
      </c>
      <c r="U993" t="s">
        <v>38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  <c r="AG993" t="s">
        <v>67</v>
      </c>
      <c r="AH993" t="s">
        <v>46</v>
      </c>
      <c r="AI993">
        <v>0</v>
      </c>
      <c r="AJ993" t="s">
        <v>47</v>
      </c>
      <c r="AK993" t="s">
        <v>59</v>
      </c>
      <c r="AL993" t="s">
        <v>60</v>
      </c>
      <c r="AM993" t="s">
        <v>70</v>
      </c>
      <c r="AN993">
        <f t="shared" si="15"/>
        <v>6</v>
      </c>
    </row>
    <row r="994" spans="1:40">
      <c r="A994">
        <v>39</v>
      </c>
      <c r="B994" t="s">
        <v>51</v>
      </c>
      <c r="C994" t="s">
        <v>77</v>
      </c>
      <c r="D994">
        <v>1485</v>
      </c>
      <c r="E994" t="s">
        <v>53</v>
      </c>
      <c r="F994">
        <v>25</v>
      </c>
      <c r="G994">
        <v>2</v>
      </c>
      <c r="H994" t="s">
        <v>41</v>
      </c>
      <c r="I994">
        <v>1397</v>
      </c>
      <c r="J994">
        <v>3</v>
      </c>
      <c r="K994" t="s">
        <v>54</v>
      </c>
      <c r="L994">
        <v>71</v>
      </c>
      <c r="M994">
        <v>3</v>
      </c>
      <c r="N994">
        <v>3</v>
      </c>
      <c r="O994" t="s">
        <v>76</v>
      </c>
      <c r="P994">
        <v>3</v>
      </c>
      <c r="Q994" t="s">
        <v>56</v>
      </c>
      <c r="R994">
        <v>10920</v>
      </c>
      <c r="S994">
        <v>3449</v>
      </c>
      <c r="T994">
        <v>3</v>
      </c>
      <c r="U994" t="s">
        <v>51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  <c r="AG994" t="s">
        <v>45</v>
      </c>
      <c r="AH994" t="s">
        <v>81</v>
      </c>
      <c r="AI994">
        <v>0</v>
      </c>
      <c r="AJ994" t="s">
        <v>58</v>
      </c>
      <c r="AK994" t="s">
        <v>48</v>
      </c>
      <c r="AL994" t="s">
        <v>66</v>
      </c>
      <c r="AM994" t="s">
        <v>61</v>
      </c>
      <c r="AN994">
        <f t="shared" si="15"/>
        <v>0</v>
      </c>
    </row>
    <row r="995" spans="1:40">
      <c r="A995">
        <v>25</v>
      </c>
      <c r="B995" t="s">
        <v>51</v>
      </c>
      <c r="C995" t="s">
        <v>39</v>
      </c>
      <c r="D995">
        <v>1372</v>
      </c>
      <c r="E995" t="s">
        <v>40</v>
      </c>
      <c r="F995">
        <v>18</v>
      </c>
      <c r="G995">
        <v>1</v>
      </c>
      <c r="H995" t="s">
        <v>41</v>
      </c>
      <c r="I995">
        <v>1399</v>
      </c>
      <c r="J995">
        <v>1</v>
      </c>
      <c r="K995" t="s">
        <v>54</v>
      </c>
      <c r="L995">
        <v>93</v>
      </c>
      <c r="M995">
        <v>4</v>
      </c>
      <c r="N995">
        <v>2</v>
      </c>
      <c r="O995" t="s">
        <v>43</v>
      </c>
      <c r="P995">
        <v>3</v>
      </c>
      <c r="Q995" t="s">
        <v>56</v>
      </c>
      <c r="R995">
        <v>6232</v>
      </c>
      <c r="S995">
        <v>12477</v>
      </c>
      <c r="T995">
        <v>2</v>
      </c>
      <c r="U995" t="s">
        <v>51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  <c r="AG995" t="s">
        <v>78</v>
      </c>
      <c r="AH995" t="s">
        <v>46</v>
      </c>
      <c r="AI995">
        <v>0</v>
      </c>
      <c r="AJ995" t="s">
        <v>47</v>
      </c>
      <c r="AK995" t="s">
        <v>59</v>
      </c>
      <c r="AL995" t="s">
        <v>66</v>
      </c>
      <c r="AM995" t="s">
        <v>70</v>
      </c>
      <c r="AN995">
        <f t="shared" si="15"/>
        <v>3</v>
      </c>
    </row>
    <row r="996" spans="1:40">
      <c r="A996">
        <v>52</v>
      </c>
      <c r="B996" t="s">
        <v>51</v>
      </c>
      <c r="C996" t="s">
        <v>52</v>
      </c>
      <c r="D996">
        <v>322</v>
      </c>
      <c r="E996" t="s">
        <v>53</v>
      </c>
      <c r="F996">
        <v>28</v>
      </c>
      <c r="G996">
        <v>2</v>
      </c>
      <c r="H996" t="s">
        <v>69</v>
      </c>
      <c r="I996">
        <v>1401</v>
      </c>
      <c r="J996">
        <v>4</v>
      </c>
      <c r="K996" t="s">
        <v>42</v>
      </c>
      <c r="L996">
        <v>59</v>
      </c>
      <c r="M996">
        <v>4</v>
      </c>
      <c r="N996">
        <v>4</v>
      </c>
      <c r="O996" t="s">
        <v>75</v>
      </c>
      <c r="P996">
        <v>3</v>
      </c>
      <c r="Q996" t="s">
        <v>56</v>
      </c>
      <c r="R996">
        <v>13247</v>
      </c>
      <c r="S996">
        <v>9731</v>
      </c>
      <c r="T996">
        <v>2</v>
      </c>
      <c r="U996" t="s">
        <v>38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  <c r="AG996" t="s">
        <v>57</v>
      </c>
      <c r="AH996" t="s">
        <v>71</v>
      </c>
      <c r="AI996">
        <v>0</v>
      </c>
      <c r="AJ996" t="s">
        <v>47</v>
      </c>
      <c r="AK996" t="s">
        <v>48</v>
      </c>
      <c r="AL996" t="s">
        <v>66</v>
      </c>
      <c r="AM996" t="s">
        <v>70</v>
      </c>
      <c r="AN996">
        <f t="shared" si="15"/>
        <v>2</v>
      </c>
    </row>
    <row r="997" spans="1:40">
      <c r="A997">
        <v>43</v>
      </c>
      <c r="B997" t="s">
        <v>51</v>
      </c>
      <c r="C997" t="s">
        <v>39</v>
      </c>
      <c r="D997">
        <v>930</v>
      </c>
      <c r="E997" t="s">
        <v>53</v>
      </c>
      <c r="F997">
        <v>6</v>
      </c>
      <c r="G997">
        <v>3</v>
      </c>
      <c r="H997" t="s">
        <v>69</v>
      </c>
      <c r="I997">
        <v>1402</v>
      </c>
      <c r="J997">
        <v>1</v>
      </c>
      <c r="K997" t="s">
        <v>42</v>
      </c>
      <c r="L997">
        <v>73</v>
      </c>
      <c r="M997">
        <v>2</v>
      </c>
      <c r="N997">
        <v>2</v>
      </c>
      <c r="O997" t="s">
        <v>55</v>
      </c>
      <c r="P997">
        <v>3</v>
      </c>
      <c r="Q997" t="s">
        <v>44</v>
      </c>
      <c r="R997">
        <v>4081</v>
      </c>
      <c r="S997">
        <v>20003</v>
      </c>
      <c r="T997">
        <v>1</v>
      </c>
      <c r="U997" t="s">
        <v>38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  <c r="AG997" t="s">
        <v>45</v>
      </c>
      <c r="AH997" t="s">
        <v>46</v>
      </c>
      <c r="AI997">
        <v>0</v>
      </c>
      <c r="AJ997" t="s">
        <v>47</v>
      </c>
      <c r="AK997" t="s">
        <v>72</v>
      </c>
      <c r="AL997" t="s">
        <v>66</v>
      </c>
      <c r="AM997" t="s">
        <v>50</v>
      </c>
      <c r="AN997">
        <f t="shared" si="15"/>
        <v>5</v>
      </c>
    </row>
    <row r="998" spans="1:40">
      <c r="A998">
        <v>27</v>
      </c>
      <c r="B998" t="s">
        <v>51</v>
      </c>
      <c r="C998" t="s">
        <v>39</v>
      </c>
      <c r="D998">
        <v>205</v>
      </c>
      <c r="E998" t="s">
        <v>40</v>
      </c>
      <c r="F998">
        <v>10</v>
      </c>
      <c r="G998">
        <v>3</v>
      </c>
      <c r="H998" t="s">
        <v>84</v>
      </c>
      <c r="I998">
        <v>1403</v>
      </c>
      <c r="J998">
        <v>4</v>
      </c>
      <c r="K998" t="s">
        <v>42</v>
      </c>
      <c r="L998">
        <v>98</v>
      </c>
      <c r="M998">
        <v>2</v>
      </c>
      <c r="N998">
        <v>2</v>
      </c>
      <c r="O998" t="s">
        <v>43</v>
      </c>
      <c r="P998">
        <v>4</v>
      </c>
      <c r="Q998" t="s">
        <v>56</v>
      </c>
      <c r="R998">
        <v>5769</v>
      </c>
      <c r="S998">
        <v>7100</v>
      </c>
      <c r="T998">
        <v>1</v>
      </c>
      <c r="U998" t="s">
        <v>38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  <c r="AG998" t="s">
        <v>67</v>
      </c>
      <c r="AH998" t="s">
        <v>71</v>
      </c>
      <c r="AI998">
        <v>0</v>
      </c>
      <c r="AJ998" t="s">
        <v>58</v>
      </c>
      <c r="AK998" t="s">
        <v>72</v>
      </c>
      <c r="AL998" t="s">
        <v>49</v>
      </c>
      <c r="AM998" t="s">
        <v>61</v>
      </c>
      <c r="AN998">
        <f t="shared" si="15"/>
        <v>1</v>
      </c>
    </row>
    <row r="999" spans="1:40">
      <c r="A999">
        <v>27</v>
      </c>
      <c r="B999" t="s">
        <v>38</v>
      </c>
      <c r="C999" t="s">
        <v>39</v>
      </c>
      <c r="D999">
        <v>135</v>
      </c>
      <c r="E999" t="s">
        <v>53</v>
      </c>
      <c r="F999">
        <v>17</v>
      </c>
      <c r="G999">
        <v>4</v>
      </c>
      <c r="H999" t="s">
        <v>41</v>
      </c>
      <c r="I999">
        <v>1405</v>
      </c>
      <c r="J999">
        <v>4</v>
      </c>
      <c r="K999" t="s">
        <v>42</v>
      </c>
      <c r="L999">
        <v>51</v>
      </c>
      <c r="M999">
        <v>3</v>
      </c>
      <c r="N999">
        <v>1</v>
      </c>
      <c r="O999" t="s">
        <v>55</v>
      </c>
      <c r="P999">
        <v>3</v>
      </c>
      <c r="Q999" t="s">
        <v>44</v>
      </c>
      <c r="R999">
        <v>2394</v>
      </c>
      <c r="S999">
        <v>25681</v>
      </c>
      <c r="T999">
        <v>1</v>
      </c>
      <c r="U999" t="s">
        <v>38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  <c r="AG999" t="s">
        <v>67</v>
      </c>
      <c r="AH999" t="s">
        <v>46</v>
      </c>
      <c r="AI999">
        <v>1</v>
      </c>
      <c r="AJ999" t="s">
        <v>58</v>
      </c>
      <c r="AK999" t="s">
        <v>68</v>
      </c>
      <c r="AL999" t="s">
        <v>66</v>
      </c>
      <c r="AM999" t="s">
        <v>61</v>
      </c>
      <c r="AN999">
        <f t="shared" si="15"/>
        <v>7</v>
      </c>
    </row>
    <row r="1000" spans="1:40">
      <c r="A1000">
        <v>26</v>
      </c>
      <c r="B1000" t="s">
        <v>51</v>
      </c>
      <c r="C1000" t="s">
        <v>39</v>
      </c>
      <c r="D1000">
        <v>683</v>
      </c>
      <c r="E1000" t="s">
        <v>53</v>
      </c>
      <c r="F1000">
        <v>2</v>
      </c>
      <c r="G1000">
        <v>1</v>
      </c>
      <c r="H1000" t="s">
        <v>69</v>
      </c>
      <c r="I1000">
        <v>1407</v>
      </c>
      <c r="J1000">
        <v>1</v>
      </c>
      <c r="K1000" t="s">
        <v>54</v>
      </c>
      <c r="L1000">
        <v>36</v>
      </c>
      <c r="M1000">
        <v>2</v>
      </c>
      <c r="N1000">
        <v>1</v>
      </c>
      <c r="O1000" t="s">
        <v>55</v>
      </c>
      <c r="P1000">
        <v>4</v>
      </c>
      <c r="Q1000" t="s">
        <v>44</v>
      </c>
      <c r="R1000">
        <v>3904</v>
      </c>
      <c r="S1000">
        <v>4050</v>
      </c>
      <c r="T1000">
        <v>0</v>
      </c>
      <c r="U1000" t="s">
        <v>51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  <c r="AG1000" t="s">
        <v>67</v>
      </c>
      <c r="AH1000" t="s">
        <v>81</v>
      </c>
      <c r="AI1000">
        <v>0</v>
      </c>
      <c r="AJ1000" t="s">
        <v>65</v>
      </c>
      <c r="AK1000" t="s">
        <v>59</v>
      </c>
      <c r="AL1000" t="s">
        <v>49</v>
      </c>
      <c r="AM1000" t="s">
        <v>61</v>
      </c>
      <c r="AN1000">
        <f t="shared" si="15"/>
        <v>-2</v>
      </c>
    </row>
    <row r="1001" spans="1:40">
      <c r="A1001">
        <v>42</v>
      </c>
      <c r="B1001" t="s">
        <v>51</v>
      </c>
      <c r="C1001" t="s">
        <v>39</v>
      </c>
      <c r="D1001">
        <v>1147</v>
      </c>
      <c r="E1001" t="s">
        <v>88</v>
      </c>
      <c r="F1001">
        <v>10</v>
      </c>
      <c r="G1001">
        <v>3</v>
      </c>
      <c r="H1001" t="s">
        <v>88</v>
      </c>
      <c r="I1001">
        <v>1408</v>
      </c>
      <c r="J1001">
        <v>3</v>
      </c>
      <c r="K1001" t="s">
        <v>42</v>
      </c>
      <c r="L1001">
        <v>31</v>
      </c>
      <c r="M1001">
        <v>3</v>
      </c>
      <c r="N1001">
        <v>4</v>
      </c>
      <c r="O1001" t="s">
        <v>79</v>
      </c>
      <c r="P1001">
        <v>1</v>
      </c>
      <c r="Q1001" t="s">
        <v>56</v>
      </c>
      <c r="R1001">
        <v>16799</v>
      </c>
      <c r="S1001">
        <v>16616</v>
      </c>
      <c r="T1001">
        <v>0</v>
      </c>
      <c r="U1001" t="s">
        <v>51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  <c r="AG1001" t="s">
        <v>45</v>
      </c>
      <c r="AH1001" t="s">
        <v>46</v>
      </c>
      <c r="AI1001">
        <v>0</v>
      </c>
      <c r="AJ1001" t="s">
        <v>80</v>
      </c>
      <c r="AK1001" t="s">
        <v>72</v>
      </c>
      <c r="AL1001" t="s">
        <v>73</v>
      </c>
      <c r="AM1001" t="s">
        <v>61</v>
      </c>
      <c r="AN1001">
        <f t="shared" si="15"/>
        <v>6</v>
      </c>
    </row>
    <row r="1002" spans="1:40">
      <c r="A1002">
        <v>52</v>
      </c>
      <c r="B1002" t="s">
        <v>51</v>
      </c>
      <c r="C1002" t="s">
        <v>39</v>
      </c>
      <c r="D1002">
        <v>258</v>
      </c>
      <c r="E1002" t="s">
        <v>53</v>
      </c>
      <c r="F1002">
        <v>8</v>
      </c>
      <c r="G1002">
        <v>4</v>
      </c>
      <c r="H1002" t="s">
        <v>62</v>
      </c>
      <c r="I1002">
        <v>1409</v>
      </c>
      <c r="J1002">
        <v>3</v>
      </c>
      <c r="K1002" t="s">
        <v>42</v>
      </c>
      <c r="L1002">
        <v>54</v>
      </c>
      <c r="M1002">
        <v>3</v>
      </c>
      <c r="N1002">
        <v>1</v>
      </c>
      <c r="O1002" t="s">
        <v>63</v>
      </c>
      <c r="P1002">
        <v>1</v>
      </c>
      <c r="Q1002" t="s">
        <v>56</v>
      </c>
      <c r="R1002">
        <v>2950</v>
      </c>
      <c r="S1002">
        <v>17363</v>
      </c>
      <c r="T1002">
        <v>9</v>
      </c>
      <c r="U1002" t="s">
        <v>51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  <c r="AG1002" t="s">
        <v>57</v>
      </c>
      <c r="AH1002" t="s">
        <v>46</v>
      </c>
      <c r="AI1002">
        <v>0</v>
      </c>
      <c r="AJ1002" t="s">
        <v>47</v>
      </c>
      <c r="AK1002" t="s">
        <v>68</v>
      </c>
      <c r="AL1002" t="s">
        <v>73</v>
      </c>
      <c r="AM1002" t="s">
        <v>50</v>
      </c>
      <c r="AN1002">
        <f t="shared" si="15"/>
        <v>10</v>
      </c>
    </row>
    <row r="1003" spans="1:40">
      <c r="A1003">
        <v>37</v>
      </c>
      <c r="B1003" t="s">
        <v>51</v>
      </c>
      <c r="C1003" t="s">
        <v>39</v>
      </c>
      <c r="D1003">
        <v>1462</v>
      </c>
      <c r="E1003" t="s">
        <v>53</v>
      </c>
      <c r="F1003">
        <v>11</v>
      </c>
      <c r="G1003">
        <v>3</v>
      </c>
      <c r="H1003" t="s">
        <v>69</v>
      </c>
      <c r="I1003">
        <v>1411</v>
      </c>
      <c r="J1003">
        <v>1</v>
      </c>
      <c r="K1003" t="s">
        <v>42</v>
      </c>
      <c r="L1003">
        <v>94</v>
      </c>
      <c r="M1003">
        <v>3</v>
      </c>
      <c r="N1003">
        <v>1</v>
      </c>
      <c r="O1003" t="s">
        <v>63</v>
      </c>
      <c r="P1003">
        <v>3</v>
      </c>
      <c r="Q1003" t="s">
        <v>44</v>
      </c>
      <c r="R1003">
        <v>3629</v>
      </c>
      <c r="S1003">
        <v>19106</v>
      </c>
      <c r="T1003">
        <v>4</v>
      </c>
      <c r="U1003" t="s">
        <v>51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  <c r="AG1003" t="s">
        <v>45</v>
      </c>
      <c r="AH1003" t="s">
        <v>46</v>
      </c>
      <c r="AI1003">
        <v>0</v>
      </c>
      <c r="AJ1003" t="s">
        <v>65</v>
      </c>
      <c r="AK1003" t="s">
        <v>72</v>
      </c>
      <c r="AL1003" t="s">
        <v>66</v>
      </c>
      <c r="AM1003" t="s">
        <v>61</v>
      </c>
      <c r="AN1003">
        <f t="shared" si="15"/>
        <v>0</v>
      </c>
    </row>
    <row r="1004" spans="1:40">
      <c r="A1004">
        <v>35</v>
      </c>
      <c r="B1004" t="s">
        <v>51</v>
      </c>
      <c r="C1004" t="s">
        <v>52</v>
      </c>
      <c r="D1004">
        <v>200</v>
      </c>
      <c r="E1004" t="s">
        <v>53</v>
      </c>
      <c r="F1004">
        <v>18</v>
      </c>
      <c r="G1004">
        <v>2</v>
      </c>
      <c r="H1004" t="s">
        <v>41</v>
      </c>
      <c r="I1004">
        <v>1412</v>
      </c>
      <c r="J1004">
        <v>3</v>
      </c>
      <c r="K1004" t="s">
        <v>54</v>
      </c>
      <c r="L1004">
        <v>60</v>
      </c>
      <c r="M1004">
        <v>3</v>
      </c>
      <c r="N1004">
        <v>3</v>
      </c>
      <c r="O1004" t="s">
        <v>75</v>
      </c>
      <c r="P1004">
        <v>4</v>
      </c>
      <c r="Q1004" t="s">
        <v>44</v>
      </c>
      <c r="R1004">
        <v>9362</v>
      </c>
      <c r="S1004">
        <v>19944</v>
      </c>
      <c r="T1004">
        <v>2</v>
      </c>
      <c r="U1004" t="s">
        <v>51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  <c r="AG1004" t="s">
        <v>67</v>
      </c>
      <c r="AH1004" t="s">
        <v>46</v>
      </c>
      <c r="AI1004">
        <v>0</v>
      </c>
      <c r="AJ1004" t="s">
        <v>65</v>
      </c>
      <c r="AK1004" t="s">
        <v>48</v>
      </c>
      <c r="AL1004" t="s">
        <v>49</v>
      </c>
      <c r="AM1004" t="s">
        <v>61</v>
      </c>
      <c r="AN1004">
        <f t="shared" si="15"/>
        <v>-1</v>
      </c>
    </row>
    <row r="1005" spans="1:40">
      <c r="A1005">
        <v>25</v>
      </c>
      <c r="B1005" t="s">
        <v>51</v>
      </c>
      <c r="C1005" t="s">
        <v>39</v>
      </c>
      <c r="D1005">
        <v>949</v>
      </c>
      <c r="E1005" t="s">
        <v>53</v>
      </c>
      <c r="F1005">
        <v>1</v>
      </c>
      <c r="G1005">
        <v>3</v>
      </c>
      <c r="H1005" t="s">
        <v>86</v>
      </c>
      <c r="I1005">
        <v>1415</v>
      </c>
      <c r="J1005">
        <v>1</v>
      </c>
      <c r="K1005" t="s">
        <v>54</v>
      </c>
      <c r="L1005">
        <v>81</v>
      </c>
      <c r="M1005">
        <v>3</v>
      </c>
      <c r="N1005">
        <v>1</v>
      </c>
      <c r="O1005" t="s">
        <v>63</v>
      </c>
      <c r="P1005">
        <v>4</v>
      </c>
      <c r="Q1005" t="s">
        <v>56</v>
      </c>
      <c r="R1005">
        <v>3229</v>
      </c>
      <c r="S1005">
        <v>4910</v>
      </c>
      <c r="T1005">
        <v>4</v>
      </c>
      <c r="U1005" t="s">
        <v>51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  <c r="AG1005" t="s">
        <v>78</v>
      </c>
      <c r="AH1005" t="s">
        <v>81</v>
      </c>
      <c r="AI1005">
        <v>0</v>
      </c>
      <c r="AJ1005" t="s">
        <v>47</v>
      </c>
      <c r="AK1005" t="s">
        <v>72</v>
      </c>
      <c r="AL1005" t="s">
        <v>49</v>
      </c>
      <c r="AM1005" t="s">
        <v>70</v>
      </c>
      <c r="AN1005">
        <f t="shared" si="15"/>
        <v>-1</v>
      </c>
    </row>
    <row r="1006" spans="1:40">
      <c r="A1006">
        <v>26</v>
      </c>
      <c r="B1006" t="s">
        <v>51</v>
      </c>
      <c r="C1006" t="s">
        <v>39</v>
      </c>
      <c r="D1006">
        <v>652</v>
      </c>
      <c r="E1006" t="s">
        <v>53</v>
      </c>
      <c r="F1006">
        <v>7</v>
      </c>
      <c r="G1006">
        <v>3</v>
      </c>
      <c r="H1006" t="s">
        <v>62</v>
      </c>
      <c r="I1006">
        <v>1417</v>
      </c>
      <c r="J1006">
        <v>3</v>
      </c>
      <c r="K1006" t="s">
        <v>54</v>
      </c>
      <c r="L1006">
        <v>100</v>
      </c>
      <c r="M1006">
        <v>4</v>
      </c>
      <c r="N1006">
        <v>1</v>
      </c>
      <c r="O1006" t="s">
        <v>63</v>
      </c>
      <c r="P1006">
        <v>1</v>
      </c>
      <c r="Q1006" t="s">
        <v>44</v>
      </c>
      <c r="R1006">
        <v>3578</v>
      </c>
      <c r="S1006">
        <v>23577</v>
      </c>
      <c r="T1006">
        <v>0</v>
      </c>
      <c r="U1006" t="s">
        <v>51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  <c r="AG1006" t="s">
        <v>67</v>
      </c>
      <c r="AH1006" t="s">
        <v>46</v>
      </c>
      <c r="AI1006">
        <v>0</v>
      </c>
      <c r="AJ1006" t="s">
        <v>58</v>
      </c>
      <c r="AK1006" t="s">
        <v>72</v>
      </c>
      <c r="AL1006" t="s">
        <v>73</v>
      </c>
      <c r="AM1006" t="s">
        <v>61</v>
      </c>
      <c r="AN1006">
        <f t="shared" si="15"/>
        <v>6</v>
      </c>
    </row>
    <row r="1007" spans="1:40">
      <c r="A1007">
        <v>29</v>
      </c>
      <c r="B1007" t="s">
        <v>51</v>
      </c>
      <c r="C1007" t="s">
        <v>39</v>
      </c>
      <c r="D1007">
        <v>332</v>
      </c>
      <c r="E1007" t="s">
        <v>88</v>
      </c>
      <c r="F1007">
        <v>17</v>
      </c>
      <c r="G1007">
        <v>3</v>
      </c>
      <c r="H1007" t="s">
        <v>62</v>
      </c>
      <c r="I1007">
        <v>1419</v>
      </c>
      <c r="J1007">
        <v>2</v>
      </c>
      <c r="K1007" t="s">
        <v>54</v>
      </c>
      <c r="L1007">
        <v>51</v>
      </c>
      <c r="M1007">
        <v>2</v>
      </c>
      <c r="N1007">
        <v>3</v>
      </c>
      <c r="O1007" t="s">
        <v>88</v>
      </c>
      <c r="P1007">
        <v>1</v>
      </c>
      <c r="Q1007" t="s">
        <v>44</v>
      </c>
      <c r="R1007">
        <v>7988</v>
      </c>
      <c r="S1007">
        <v>9769</v>
      </c>
      <c r="T1007">
        <v>1</v>
      </c>
      <c r="U1007" t="s">
        <v>51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  <c r="AG1007" t="s">
        <v>67</v>
      </c>
      <c r="AH1007" t="s">
        <v>71</v>
      </c>
      <c r="AI1007">
        <v>0</v>
      </c>
      <c r="AJ1007" t="s">
        <v>47</v>
      </c>
      <c r="AK1007" t="s">
        <v>72</v>
      </c>
      <c r="AL1007" t="s">
        <v>73</v>
      </c>
      <c r="AM1007" t="s">
        <v>70</v>
      </c>
      <c r="AN1007">
        <f t="shared" si="15"/>
        <v>8</v>
      </c>
    </row>
    <row r="1008" spans="1:40">
      <c r="A1008">
        <v>49</v>
      </c>
      <c r="B1008" t="s">
        <v>38</v>
      </c>
      <c r="C1008" t="s">
        <v>52</v>
      </c>
      <c r="D1008">
        <v>1475</v>
      </c>
      <c r="E1008" t="s">
        <v>53</v>
      </c>
      <c r="F1008">
        <v>28</v>
      </c>
      <c r="G1008">
        <v>2</v>
      </c>
      <c r="H1008" t="s">
        <v>41</v>
      </c>
      <c r="I1008">
        <v>1420</v>
      </c>
      <c r="J1008">
        <v>1</v>
      </c>
      <c r="K1008" t="s">
        <v>54</v>
      </c>
      <c r="L1008">
        <v>97</v>
      </c>
      <c r="M1008">
        <v>2</v>
      </c>
      <c r="N1008">
        <v>2</v>
      </c>
      <c r="O1008" t="s">
        <v>63</v>
      </c>
      <c r="P1008">
        <v>1</v>
      </c>
      <c r="Q1008" t="s">
        <v>44</v>
      </c>
      <c r="R1008">
        <v>4284</v>
      </c>
      <c r="S1008">
        <v>22710</v>
      </c>
      <c r="T1008">
        <v>3</v>
      </c>
      <c r="U1008" t="s">
        <v>51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  <c r="AG1008" t="s">
        <v>57</v>
      </c>
      <c r="AH1008" t="s">
        <v>46</v>
      </c>
      <c r="AI1008">
        <v>1</v>
      </c>
      <c r="AJ1008" t="s">
        <v>65</v>
      </c>
      <c r="AK1008" t="s">
        <v>48</v>
      </c>
      <c r="AL1008" t="s">
        <v>73</v>
      </c>
      <c r="AM1008" t="s">
        <v>61</v>
      </c>
      <c r="AN1008">
        <f t="shared" si="15"/>
        <v>7</v>
      </c>
    </row>
    <row r="1009" spans="1:40">
      <c r="A1009">
        <v>29</v>
      </c>
      <c r="B1009" t="s">
        <v>38</v>
      </c>
      <c r="C1009" t="s">
        <v>52</v>
      </c>
      <c r="D1009">
        <v>337</v>
      </c>
      <c r="E1009" t="s">
        <v>53</v>
      </c>
      <c r="F1009">
        <v>14</v>
      </c>
      <c r="G1009">
        <v>1</v>
      </c>
      <c r="H1009" t="s">
        <v>62</v>
      </c>
      <c r="I1009">
        <v>1421</v>
      </c>
      <c r="J1009">
        <v>3</v>
      </c>
      <c r="K1009" t="s">
        <v>42</v>
      </c>
      <c r="L1009">
        <v>84</v>
      </c>
      <c r="M1009">
        <v>3</v>
      </c>
      <c r="N1009">
        <v>3</v>
      </c>
      <c r="O1009" t="s">
        <v>76</v>
      </c>
      <c r="P1009">
        <v>4</v>
      </c>
      <c r="Q1009" t="s">
        <v>44</v>
      </c>
      <c r="R1009">
        <v>7553</v>
      </c>
      <c r="S1009">
        <v>22930</v>
      </c>
      <c r="T1009">
        <v>0</v>
      </c>
      <c r="U1009" t="s">
        <v>38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  <c r="AG1009" t="s">
        <v>67</v>
      </c>
      <c r="AH1009" t="s">
        <v>46</v>
      </c>
      <c r="AI1009">
        <v>1</v>
      </c>
      <c r="AJ1009" t="s">
        <v>58</v>
      </c>
      <c r="AK1009" t="s">
        <v>59</v>
      </c>
      <c r="AL1009" t="s">
        <v>49</v>
      </c>
      <c r="AM1009" t="s">
        <v>61</v>
      </c>
      <c r="AN1009">
        <f t="shared" si="15"/>
        <v>4</v>
      </c>
    </row>
    <row r="1010" spans="1:40">
      <c r="A1010">
        <v>54</v>
      </c>
      <c r="B1010" t="s">
        <v>51</v>
      </c>
      <c r="C1010" t="s">
        <v>39</v>
      </c>
      <c r="D1010">
        <v>971</v>
      </c>
      <c r="E1010" t="s">
        <v>53</v>
      </c>
      <c r="F1010">
        <v>1</v>
      </c>
      <c r="G1010">
        <v>3</v>
      </c>
      <c r="H1010" t="s">
        <v>69</v>
      </c>
      <c r="I1010">
        <v>1422</v>
      </c>
      <c r="J1010">
        <v>4</v>
      </c>
      <c r="K1010" t="s">
        <v>42</v>
      </c>
      <c r="L1010">
        <v>54</v>
      </c>
      <c r="M1010">
        <v>3</v>
      </c>
      <c r="N1010">
        <v>4</v>
      </c>
      <c r="O1010" t="s">
        <v>83</v>
      </c>
      <c r="P1010">
        <v>4</v>
      </c>
      <c r="Q1010" t="s">
        <v>44</v>
      </c>
      <c r="R1010">
        <v>17328</v>
      </c>
      <c r="S1010">
        <v>5652</v>
      </c>
      <c r="T1010">
        <v>6</v>
      </c>
      <c r="U1010" t="s">
        <v>51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  <c r="AG1010" t="s">
        <v>57</v>
      </c>
      <c r="AH1010" t="s">
        <v>81</v>
      </c>
      <c r="AI1010">
        <v>0</v>
      </c>
      <c r="AJ1010" t="s">
        <v>47</v>
      </c>
      <c r="AK1010" t="s">
        <v>72</v>
      </c>
      <c r="AL1010" t="s">
        <v>49</v>
      </c>
      <c r="AM1010" t="s">
        <v>70</v>
      </c>
      <c r="AN1010">
        <f t="shared" si="15"/>
        <v>11</v>
      </c>
    </row>
    <row r="1011" spans="1:40">
      <c r="A1011">
        <v>58</v>
      </c>
      <c r="B1011" t="s">
        <v>51</v>
      </c>
      <c r="C1011" t="s">
        <v>39</v>
      </c>
      <c r="D1011">
        <v>1055</v>
      </c>
      <c r="E1011" t="s">
        <v>53</v>
      </c>
      <c r="F1011">
        <v>1</v>
      </c>
      <c r="G1011">
        <v>3</v>
      </c>
      <c r="H1011" t="s">
        <v>69</v>
      </c>
      <c r="I1011">
        <v>1423</v>
      </c>
      <c r="J1011">
        <v>4</v>
      </c>
      <c r="K1011" t="s">
        <v>42</v>
      </c>
      <c r="L1011">
        <v>76</v>
      </c>
      <c r="M1011">
        <v>3</v>
      </c>
      <c r="N1011">
        <v>5</v>
      </c>
      <c r="O1011" t="s">
        <v>83</v>
      </c>
      <c r="P1011">
        <v>1</v>
      </c>
      <c r="Q1011" t="s">
        <v>56</v>
      </c>
      <c r="R1011">
        <v>19701</v>
      </c>
      <c r="S1011">
        <v>22456</v>
      </c>
      <c r="T1011">
        <v>3</v>
      </c>
      <c r="U1011" t="s">
        <v>38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  <c r="AG1011" t="s">
        <v>57</v>
      </c>
      <c r="AH1011" t="s">
        <v>46</v>
      </c>
      <c r="AI1011">
        <v>0</v>
      </c>
      <c r="AJ1011" t="s">
        <v>58</v>
      </c>
      <c r="AK1011" t="s">
        <v>72</v>
      </c>
      <c r="AL1011" t="s">
        <v>73</v>
      </c>
      <c r="AM1011" t="s">
        <v>61</v>
      </c>
      <c r="AN1011">
        <f t="shared" si="15"/>
        <v>7</v>
      </c>
    </row>
    <row r="1012" spans="1:40">
      <c r="A1012">
        <v>55</v>
      </c>
      <c r="B1012" t="s">
        <v>51</v>
      </c>
      <c r="C1012" t="s">
        <v>39</v>
      </c>
      <c r="D1012">
        <v>1136</v>
      </c>
      <c r="E1012" t="s">
        <v>53</v>
      </c>
      <c r="F1012">
        <v>1</v>
      </c>
      <c r="G1012">
        <v>4</v>
      </c>
      <c r="H1012" t="s">
        <v>69</v>
      </c>
      <c r="I1012">
        <v>1424</v>
      </c>
      <c r="J1012">
        <v>2</v>
      </c>
      <c r="K1012" t="s">
        <v>54</v>
      </c>
      <c r="L1012">
        <v>81</v>
      </c>
      <c r="M1012">
        <v>4</v>
      </c>
      <c r="N1012">
        <v>4</v>
      </c>
      <c r="O1012" t="s">
        <v>83</v>
      </c>
      <c r="P1012">
        <v>4</v>
      </c>
      <c r="Q1012" t="s">
        <v>74</v>
      </c>
      <c r="R1012">
        <v>14732</v>
      </c>
      <c r="S1012">
        <v>12414</v>
      </c>
      <c r="T1012">
        <v>2</v>
      </c>
      <c r="U1012" t="s">
        <v>51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  <c r="AG1012" t="s">
        <v>57</v>
      </c>
      <c r="AH1012" t="s">
        <v>46</v>
      </c>
      <c r="AI1012">
        <v>0</v>
      </c>
      <c r="AJ1012" t="s">
        <v>58</v>
      </c>
      <c r="AK1012" t="s">
        <v>68</v>
      </c>
      <c r="AL1012" t="s">
        <v>49</v>
      </c>
      <c r="AM1012" t="s">
        <v>85</v>
      </c>
      <c r="AN1012">
        <f t="shared" si="15"/>
        <v>-5</v>
      </c>
    </row>
    <row r="1013" spans="1:40">
      <c r="A1013">
        <v>36</v>
      </c>
      <c r="B1013" t="s">
        <v>51</v>
      </c>
      <c r="C1013" t="s">
        <v>39</v>
      </c>
      <c r="D1013">
        <v>1174</v>
      </c>
      <c r="E1013" t="s">
        <v>40</v>
      </c>
      <c r="F1013">
        <v>3</v>
      </c>
      <c r="G1013">
        <v>4</v>
      </c>
      <c r="H1013" t="s">
        <v>84</v>
      </c>
      <c r="I1013">
        <v>1425</v>
      </c>
      <c r="J1013">
        <v>1</v>
      </c>
      <c r="K1013" t="s">
        <v>42</v>
      </c>
      <c r="L1013">
        <v>99</v>
      </c>
      <c r="M1013">
        <v>3</v>
      </c>
      <c r="N1013">
        <v>2</v>
      </c>
      <c r="O1013" t="s">
        <v>43</v>
      </c>
      <c r="P1013">
        <v>2</v>
      </c>
      <c r="Q1013" t="s">
        <v>44</v>
      </c>
      <c r="R1013">
        <v>9278</v>
      </c>
      <c r="S1013">
        <v>20763</v>
      </c>
      <c r="T1013">
        <v>3</v>
      </c>
      <c r="U1013" t="s">
        <v>38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  <c r="AG1013" t="s">
        <v>45</v>
      </c>
      <c r="AH1013" t="s">
        <v>46</v>
      </c>
      <c r="AI1013">
        <v>0</v>
      </c>
      <c r="AJ1013" t="s">
        <v>65</v>
      </c>
      <c r="AK1013" t="s">
        <v>68</v>
      </c>
      <c r="AL1013" t="s">
        <v>60</v>
      </c>
      <c r="AM1013" t="s">
        <v>61</v>
      </c>
      <c r="AN1013">
        <f t="shared" si="15"/>
        <v>3</v>
      </c>
    </row>
    <row r="1014" spans="1:40">
      <c r="A1014">
        <v>31</v>
      </c>
      <c r="B1014" t="s">
        <v>38</v>
      </c>
      <c r="C1014" t="s">
        <v>52</v>
      </c>
      <c r="D1014">
        <v>667</v>
      </c>
      <c r="E1014" t="s">
        <v>40</v>
      </c>
      <c r="F1014">
        <v>1</v>
      </c>
      <c r="G1014">
        <v>4</v>
      </c>
      <c r="H1014" t="s">
        <v>41</v>
      </c>
      <c r="I1014">
        <v>1427</v>
      </c>
      <c r="J1014">
        <v>2</v>
      </c>
      <c r="K1014" t="s">
        <v>42</v>
      </c>
      <c r="L1014">
        <v>50</v>
      </c>
      <c r="M1014">
        <v>1</v>
      </c>
      <c r="N1014">
        <v>1</v>
      </c>
      <c r="O1014" t="s">
        <v>82</v>
      </c>
      <c r="P1014">
        <v>3</v>
      </c>
      <c r="Q1014" t="s">
        <v>44</v>
      </c>
      <c r="R1014">
        <v>1359</v>
      </c>
      <c r="S1014">
        <v>16154</v>
      </c>
      <c r="T1014">
        <v>1</v>
      </c>
      <c r="U1014" t="s">
        <v>51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  <c r="AG1014" t="s">
        <v>67</v>
      </c>
      <c r="AH1014" t="s">
        <v>46</v>
      </c>
      <c r="AI1014">
        <v>1</v>
      </c>
      <c r="AJ1014" t="s">
        <v>65</v>
      </c>
      <c r="AK1014" t="s">
        <v>68</v>
      </c>
      <c r="AL1014" t="s">
        <v>66</v>
      </c>
      <c r="AM1014" t="s">
        <v>61</v>
      </c>
      <c r="AN1014">
        <f t="shared" si="15"/>
        <v>0</v>
      </c>
    </row>
    <row r="1015" spans="1:40">
      <c r="A1015">
        <v>30</v>
      </c>
      <c r="B1015" t="s">
        <v>51</v>
      </c>
      <c r="C1015" t="s">
        <v>39</v>
      </c>
      <c r="D1015">
        <v>855</v>
      </c>
      <c r="E1015" t="s">
        <v>40</v>
      </c>
      <c r="F1015">
        <v>7</v>
      </c>
      <c r="G1015">
        <v>4</v>
      </c>
      <c r="H1015" t="s">
        <v>84</v>
      </c>
      <c r="I1015">
        <v>1428</v>
      </c>
      <c r="J1015">
        <v>4</v>
      </c>
      <c r="K1015" t="s">
        <v>42</v>
      </c>
      <c r="L1015">
        <v>73</v>
      </c>
      <c r="M1015">
        <v>3</v>
      </c>
      <c r="N1015">
        <v>2</v>
      </c>
      <c r="O1015" t="s">
        <v>43</v>
      </c>
      <c r="P1015">
        <v>1</v>
      </c>
      <c r="Q1015" t="s">
        <v>74</v>
      </c>
      <c r="R1015">
        <v>4779</v>
      </c>
      <c r="S1015">
        <v>12761</v>
      </c>
      <c r="T1015">
        <v>7</v>
      </c>
      <c r="U1015" t="s">
        <v>51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  <c r="AG1015" t="s">
        <v>67</v>
      </c>
      <c r="AH1015" t="s">
        <v>46</v>
      </c>
      <c r="AI1015">
        <v>0</v>
      </c>
      <c r="AJ1015" t="s">
        <v>65</v>
      </c>
      <c r="AK1015" t="s">
        <v>68</v>
      </c>
      <c r="AL1015" t="s">
        <v>73</v>
      </c>
      <c r="AM1015" t="s">
        <v>61</v>
      </c>
      <c r="AN1015">
        <f t="shared" si="15"/>
        <v>6</v>
      </c>
    </row>
    <row r="1016" spans="1:40">
      <c r="A1016">
        <v>31</v>
      </c>
      <c r="B1016" t="s">
        <v>51</v>
      </c>
      <c r="C1016" t="s">
        <v>39</v>
      </c>
      <c r="D1016">
        <v>182</v>
      </c>
      <c r="E1016" t="s">
        <v>53</v>
      </c>
      <c r="F1016">
        <v>8</v>
      </c>
      <c r="G1016">
        <v>5</v>
      </c>
      <c r="H1016" t="s">
        <v>41</v>
      </c>
      <c r="I1016">
        <v>1430</v>
      </c>
      <c r="J1016">
        <v>1</v>
      </c>
      <c r="K1016" t="s">
        <v>42</v>
      </c>
      <c r="L1016">
        <v>93</v>
      </c>
      <c r="M1016">
        <v>3</v>
      </c>
      <c r="N1016">
        <v>4</v>
      </c>
      <c r="O1016" t="s">
        <v>83</v>
      </c>
      <c r="P1016">
        <v>2</v>
      </c>
      <c r="Q1016" t="s">
        <v>44</v>
      </c>
      <c r="R1016">
        <v>16422</v>
      </c>
      <c r="S1016">
        <v>8847</v>
      </c>
      <c r="T1016">
        <v>3</v>
      </c>
      <c r="U1016" t="s">
        <v>51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  <c r="AG1016" t="s">
        <v>67</v>
      </c>
      <c r="AH1016" t="s">
        <v>71</v>
      </c>
      <c r="AI1016">
        <v>0</v>
      </c>
      <c r="AJ1016" t="s">
        <v>65</v>
      </c>
      <c r="AK1016" t="s">
        <v>87</v>
      </c>
      <c r="AL1016" t="s">
        <v>60</v>
      </c>
      <c r="AM1016" t="s">
        <v>85</v>
      </c>
      <c r="AN1016">
        <f t="shared" si="15"/>
        <v>2</v>
      </c>
    </row>
    <row r="1017" spans="1:40">
      <c r="A1017">
        <v>34</v>
      </c>
      <c r="B1017" t="s">
        <v>51</v>
      </c>
      <c r="C1017" t="s">
        <v>52</v>
      </c>
      <c r="D1017">
        <v>560</v>
      </c>
      <c r="E1017" t="s">
        <v>53</v>
      </c>
      <c r="F1017">
        <v>1</v>
      </c>
      <c r="G1017">
        <v>4</v>
      </c>
      <c r="H1017" t="s">
        <v>62</v>
      </c>
      <c r="I1017">
        <v>1431</v>
      </c>
      <c r="J1017">
        <v>4</v>
      </c>
      <c r="K1017" t="s">
        <v>54</v>
      </c>
      <c r="L1017">
        <v>91</v>
      </c>
      <c r="M1017">
        <v>3</v>
      </c>
      <c r="N1017">
        <v>1</v>
      </c>
      <c r="O1017" t="s">
        <v>55</v>
      </c>
      <c r="P1017">
        <v>1</v>
      </c>
      <c r="Q1017" t="s">
        <v>74</v>
      </c>
      <c r="R1017">
        <v>2996</v>
      </c>
      <c r="S1017">
        <v>20284</v>
      </c>
      <c r="T1017">
        <v>5</v>
      </c>
      <c r="U1017" t="s">
        <v>51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  <c r="AG1017" t="s">
        <v>67</v>
      </c>
      <c r="AH1017" t="s">
        <v>46</v>
      </c>
      <c r="AI1017">
        <v>0</v>
      </c>
      <c r="AJ1017" t="s">
        <v>65</v>
      </c>
      <c r="AK1017" t="s">
        <v>68</v>
      </c>
      <c r="AL1017" t="s">
        <v>73</v>
      </c>
      <c r="AM1017" t="s">
        <v>61</v>
      </c>
      <c r="AN1017">
        <f t="shared" si="15"/>
        <v>7</v>
      </c>
    </row>
    <row r="1018" spans="1:40">
      <c r="A1018">
        <v>31</v>
      </c>
      <c r="B1018" t="s">
        <v>38</v>
      </c>
      <c r="C1018" t="s">
        <v>39</v>
      </c>
      <c r="D1018">
        <v>202</v>
      </c>
      <c r="E1018" t="s">
        <v>53</v>
      </c>
      <c r="F1018">
        <v>8</v>
      </c>
      <c r="G1018">
        <v>3</v>
      </c>
      <c r="H1018" t="s">
        <v>41</v>
      </c>
      <c r="I1018">
        <v>1433</v>
      </c>
      <c r="J1018">
        <v>1</v>
      </c>
      <c r="K1018" t="s">
        <v>42</v>
      </c>
      <c r="L1018">
        <v>34</v>
      </c>
      <c r="M1018">
        <v>2</v>
      </c>
      <c r="N1018">
        <v>1</v>
      </c>
      <c r="O1018" t="s">
        <v>55</v>
      </c>
      <c r="P1018">
        <v>2</v>
      </c>
      <c r="Q1018" t="s">
        <v>44</v>
      </c>
      <c r="R1018">
        <v>1261</v>
      </c>
      <c r="S1018">
        <v>22262</v>
      </c>
      <c r="T1018">
        <v>1</v>
      </c>
      <c r="U1018" t="s">
        <v>51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  <c r="AG1018" t="s">
        <v>67</v>
      </c>
      <c r="AH1018" t="s">
        <v>46</v>
      </c>
      <c r="AI1018">
        <v>1</v>
      </c>
      <c r="AJ1018" t="s">
        <v>65</v>
      </c>
      <c r="AK1018" t="s">
        <v>72</v>
      </c>
      <c r="AL1018" t="s">
        <v>60</v>
      </c>
      <c r="AM1018" t="s">
        <v>85</v>
      </c>
      <c r="AN1018">
        <f t="shared" si="15"/>
        <v>1</v>
      </c>
    </row>
    <row r="1019" spans="1:40">
      <c r="A1019">
        <v>27</v>
      </c>
      <c r="B1019" t="s">
        <v>51</v>
      </c>
      <c r="C1019" t="s">
        <v>39</v>
      </c>
      <c r="D1019">
        <v>1377</v>
      </c>
      <c r="E1019" t="s">
        <v>53</v>
      </c>
      <c r="F1019">
        <v>11</v>
      </c>
      <c r="G1019">
        <v>1</v>
      </c>
      <c r="H1019" t="s">
        <v>41</v>
      </c>
      <c r="I1019">
        <v>1434</v>
      </c>
      <c r="J1019">
        <v>2</v>
      </c>
      <c r="K1019" t="s">
        <v>54</v>
      </c>
      <c r="L1019">
        <v>91</v>
      </c>
      <c r="M1019">
        <v>3</v>
      </c>
      <c r="N1019">
        <v>1</v>
      </c>
      <c r="O1019" t="s">
        <v>63</v>
      </c>
      <c r="P1019">
        <v>1</v>
      </c>
      <c r="Q1019" t="s">
        <v>56</v>
      </c>
      <c r="R1019">
        <v>2099</v>
      </c>
      <c r="S1019">
        <v>7679</v>
      </c>
      <c r="T1019">
        <v>0</v>
      </c>
      <c r="U1019" t="s">
        <v>51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  <c r="AG1019" t="s">
        <v>67</v>
      </c>
      <c r="AH1019" t="s">
        <v>71</v>
      </c>
      <c r="AI1019">
        <v>0</v>
      </c>
      <c r="AJ1019" t="s">
        <v>65</v>
      </c>
      <c r="AK1019" t="s">
        <v>59</v>
      </c>
      <c r="AL1019" t="s">
        <v>73</v>
      </c>
      <c r="AM1019" t="s">
        <v>85</v>
      </c>
      <c r="AN1019">
        <f t="shared" si="15"/>
        <v>5</v>
      </c>
    </row>
    <row r="1020" spans="1:40">
      <c r="A1020">
        <v>36</v>
      </c>
      <c r="B1020" t="s">
        <v>51</v>
      </c>
      <c r="C1020" t="s">
        <v>39</v>
      </c>
      <c r="D1020">
        <v>172</v>
      </c>
      <c r="E1020" t="s">
        <v>53</v>
      </c>
      <c r="F1020">
        <v>4</v>
      </c>
      <c r="G1020">
        <v>4</v>
      </c>
      <c r="H1020" t="s">
        <v>41</v>
      </c>
      <c r="I1020">
        <v>1435</v>
      </c>
      <c r="J1020">
        <v>1</v>
      </c>
      <c r="K1020" t="s">
        <v>54</v>
      </c>
      <c r="L1020">
        <v>37</v>
      </c>
      <c r="M1020">
        <v>2</v>
      </c>
      <c r="N1020">
        <v>2</v>
      </c>
      <c r="O1020" t="s">
        <v>63</v>
      </c>
      <c r="P1020">
        <v>4</v>
      </c>
      <c r="Q1020" t="s">
        <v>44</v>
      </c>
      <c r="R1020">
        <v>5810</v>
      </c>
      <c r="S1020">
        <v>22604</v>
      </c>
      <c r="T1020">
        <v>1</v>
      </c>
      <c r="U1020" t="s">
        <v>51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  <c r="AG1020" t="s">
        <v>45</v>
      </c>
      <c r="AH1020" t="s">
        <v>46</v>
      </c>
      <c r="AI1020">
        <v>0</v>
      </c>
      <c r="AJ1020" t="s">
        <v>47</v>
      </c>
      <c r="AK1020" t="s">
        <v>68</v>
      </c>
      <c r="AL1020" t="s">
        <v>49</v>
      </c>
      <c r="AM1020" t="s">
        <v>70</v>
      </c>
      <c r="AN1020">
        <f t="shared" si="15"/>
        <v>0</v>
      </c>
    </row>
    <row r="1021" spans="1:40">
      <c r="A1021">
        <v>36</v>
      </c>
      <c r="B1021" t="s">
        <v>51</v>
      </c>
      <c r="C1021" t="s">
        <v>39</v>
      </c>
      <c r="D1021">
        <v>329</v>
      </c>
      <c r="E1021" t="s">
        <v>40</v>
      </c>
      <c r="F1021">
        <v>16</v>
      </c>
      <c r="G1021">
        <v>4</v>
      </c>
      <c r="H1021" t="s">
        <v>84</v>
      </c>
      <c r="I1021">
        <v>1436</v>
      </c>
      <c r="J1021">
        <v>3</v>
      </c>
      <c r="K1021" t="s">
        <v>42</v>
      </c>
      <c r="L1021">
        <v>98</v>
      </c>
      <c r="M1021">
        <v>2</v>
      </c>
      <c r="N1021">
        <v>2</v>
      </c>
      <c r="O1021" t="s">
        <v>43</v>
      </c>
      <c r="P1021">
        <v>1</v>
      </c>
      <c r="Q1021" t="s">
        <v>56</v>
      </c>
      <c r="R1021">
        <v>5647</v>
      </c>
      <c r="S1021">
        <v>13494</v>
      </c>
      <c r="T1021">
        <v>4</v>
      </c>
      <c r="U1021" t="s">
        <v>51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  <c r="AG1021" t="s">
        <v>45</v>
      </c>
      <c r="AH1021" t="s">
        <v>46</v>
      </c>
      <c r="AI1021">
        <v>0</v>
      </c>
      <c r="AJ1021" t="s">
        <v>47</v>
      </c>
      <c r="AK1021" t="s">
        <v>68</v>
      </c>
      <c r="AL1021" t="s">
        <v>73</v>
      </c>
      <c r="AM1021" t="s">
        <v>70</v>
      </c>
      <c r="AN1021">
        <f t="shared" si="15"/>
        <v>8</v>
      </c>
    </row>
    <row r="1022" spans="1:40">
      <c r="A1022">
        <v>47</v>
      </c>
      <c r="B1022" t="s">
        <v>51</v>
      </c>
      <c r="C1022" t="s">
        <v>39</v>
      </c>
      <c r="D1022">
        <v>465</v>
      </c>
      <c r="E1022" t="s">
        <v>53</v>
      </c>
      <c r="F1022">
        <v>1</v>
      </c>
      <c r="G1022">
        <v>3</v>
      </c>
      <c r="H1022" t="s">
        <v>86</v>
      </c>
      <c r="I1022">
        <v>1438</v>
      </c>
      <c r="J1022">
        <v>1</v>
      </c>
      <c r="K1022" t="s">
        <v>54</v>
      </c>
      <c r="L1022">
        <v>74</v>
      </c>
      <c r="M1022">
        <v>3</v>
      </c>
      <c r="N1022">
        <v>1</v>
      </c>
      <c r="O1022" t="s">
        <v>55</v>
      </c>
      <c r="P1022">
        <v>4</v>
      </c>
      <c r="Q1022" t="s">
        <v>56</v>
      </c>
      <c r="R1022">
        <v>3420</v>
      </c>
      <c r="S1022">
        <v>10205</v>
      </c>
      <c r="T1022">
        <v>7</v>
      </c>
      <c r="U1022" t="s">
        <v>51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  <c r="AG1022" t="s">
        <v>57</v>
      </c>
      <c r="AH1022" t="s">
        <v>46</v>
      </c>
      <c r="AI1022">
        <v>0</v>
      </c>
      <c r="AJ1022" t="s">
        <v>47</v>
      </c>
      <c r="AK1022" t="s">
        <v>72</v>
      </c>
      <c r="AL1022" t="s">
        <v>49</v>
      </c>
      <c r="AM1022" t="s">
        <v>70</v>
      </c>
      <c r="AN1022">
        <f t="shared" si="15"/>
        <v>0</v>
      </c>
    </row>
    <row r="1023" spans="1:40">
      <c r="A1023">
        <v>25</v>
      </c>
      <c r="B1023" t="s">
        <v>38</v>
      </c>
      <c r="C1023" t="s">
        <v>39</v>
      </c>
      <c r="D1023">
        <v>383</v>
      </c>
      <c r="E1023" t="s">
        <v>40</v>
      </c>
      <c r="F1023">
        <v>9</v>
      </c>
      <c r="G1023">
        <v>2</v>
      </c>
      <c r="H1023" t="s">
        <v>41</v>
      </c>
      <c r="I1023">
        <v>1439</v>
      </c>
      <c r="J1023">
        <v>1</v>
      </c>
      <c r="K1023" t="s">
        <v>54</v>
      </c>
      <c r="L1023">
        <v>68</v>
      </c>
      <c r="M1023">
        <v>2</v>
      </c>
      <c r="N1023">
        <v>1</v>
      </c>
      <c r="O1023" t="s">
        <v>82</v>
      </c>
      <c r="P1023">
        <v>1</v>
      </c>
      <c r="Q1023" t="s">
        <v>56</v>
      </c>
      <c r="R1023">
        <v>4400</v>
      </c>
      <c r="S1023">
        <v>15182</v>
      </c>
      <c r="T1023">
        <v>3</v>
      </c>
      <c r="U1023" t="s">
        <v>51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  <c r="AG1023" t="s">
        <v>78</v>
      </c>
      <c r="AH1023" t="s">
        <v>46</v>
      </c>
      <c r="AI1023">
        <v>1</v>
      </c>
      <c r="AJ1023" t="s">
        <v>65</v>
      </c>
      <c r="AK1023" t="s">
        <v>48</v>
      </c>
      <c r="AL1023" t="s">
        <v>73</v>
      </c>
      <c r="AM1023" t="s">
        <v>61</v>
      </c>
      <c r="AN1023">
        <f t="shared" si="15"/>
        <v>8</v>
      </c>
    </row>
    <row r="1024" spans="1:40">
      <c r="A1024">
        <v>37</v>
      </c>
      <c r="B1024" t="s">
        <v>51</v>
      </c>
      <c r="C1024" t="s">
        <v>77</v>
      </c>
      <c r="D1024">
        <v>1413</v>
      </c>
      <c r="E1024" t="s">
        <v>53</v>
      </c>
      <c r="F1024">
        <v>5</v>
      </c>
      <c r="G1024">
        <v>2</v>
      </c>
      <c r="H1024" t="s">
        <v>86</v>
      </c>
      <c r="I1024">
        <v>1440</v>
      </c>
      <c r="J1024">
        <v>3</v>
      </c>
      <c r="K1024" t="s">
        <v>54</v>
      </c>
      <c r="L1024">
        <v>84</v>
      </c>
      <c r="M1024">
        <v>4</v>
      </c>
      <c r="N1024">
        <v>1</v>
      </c>
      <c r="O1024" t="s">
        <v>63</v>
      </c>
      <c r="P1024">
        <v>3</v>
      </c>
      <c r="Q1024" t="s">
        <v>44</v>
      </c>
      <c r="R1024">
        <v>3500</v>
      </c>
      <c r="S1024">
        <v>25470</v>
      </c>
      <c r="T1024">
        <v>0</v>
      </c>
      <c r="U1024" t="s">
        <v>51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  <c r="AG1024" t="s">
        <v>45</v>
      </c>
      <c r="AH1024" t="s">
        <v>46</v>
      </c>
      <c r="AI1024">
        <v>0</v>
      </c>
      <c r="AJ1024" t="s">
        <v>47</v>
      </c>
      <c r="AK1024" t="s">
        <v>48</v>
      </c>
      <c r="AL1024" t="s">
        <v>66</v>
      </c>
      <c r="AM1024" t="s">
        <v>50</v>
      </c>
      <c r="AN1024">
        <f t="shared" si="15"/>
        <v>5</v>
      </c>
    </row>
    <row r="1025" spans="1:40">
      <c r="A1025">
        <v>56</v>
      </c>
      <c r="B1025" t="s">
        <v>51</v>
      </c>
      <c r="C1025" t="s">
        <v>39</v>
      </c>
      <c r="D1025">
        <v>1255</v>
      </c>
      <c r="E1025" t="s">
        <v>53</v>
      </c>
      <c r="F1025">
        <v>1</v>
      </c>
      <c r="G1025">
        <v>2</v>
      </c>
      <c r="H1025" t="s">
        <v>41</v>
      </c>
      <c r="I1025">
        <v>1441</v>
      </c>
      <c r="J1025">
        <v>1</v>
      </c>
      <c r="K1025" t="s">
        <v>42</v>
      </c>
      <c r="L1025">
        <v>90</v>
      </c>
      <c r="M1025">
        <v>3</v>
      </c>
      <c r="N1025">
        <v>1</v>
      </c>
      <c r="O1025" t="s">
        <v>55</v>
      </c>
      <c r="P1025">
        <v>1</v>
      </c>
      <c r="Q1025" t="s">
        <v>56</v>
      </c>
      <c r="R1025">
        <v>2066</v>
      </c>
      <c r="S1025">
        <v>10494</v>
      </c>
      <c r="T1025">
        <v>2</v>
      </c>
      <c r="U1025" t="s">
        <v>51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  <c r="AG1025" t="s">
        <v>57</v>
      </c>
      <c r="AH1025" t="s">
        <v>46</v>
      </c>
      <c r="AI1025">
        <v>0</v>
      </c>
      <c r="AJ1025" t="s">
        <v>65</v>
      </c>
      <c r="AK1025" t="s">
        <v>48</v>
      </c>
      <c r="AL1025" t="s">
        <v>73</v>
      </c>
      <c r="AM1025" t="s">
        <v>85</v>
      </c>
      <c r="AN1025">
        <f t="shared" si="15"/>
        <v>5</v>
      </c>
    </row>
    <row r="1026" spans="1:40">
      <c r="A1026">
        <v>47</v>
      </c>
      <c r="B1026" t="s">
        <v>51</v>
      </c>
      <c r="C1026" t="s">
        <v>39</v>
      </c>
      <c r="D1026">
        <v>359</v>
      </c>
      <c r="E1026" t="s">
        <v>53</v>
      </c>
      <c r="F1026">
        <v>2</v>
      </c>
      <c r="G1026">
        <v>4</v>
      </c>
      <c r="H1026" t="s">
        <v>69</v>
      </c>
      <c r="I1026">
        <v>1443</v>
      </c>
      <c r="J1026">
        <v>1</v>
      </c>
      <c r="K1026" t="s">
        <v>42</v>
      </c>
      <c r="L1026">
        <v>82</v>
      </c>
      <c r="M1026">
        <v>3</v>
      </c>
      <c r="N1026">
        <v>4</v>
      </c>
      <c r="O1026" t="s">
        <v>83</v>
      </c>
      <c r="P1026">
        <v>3</v>
      </c>
      <c r="Q1026" t="s">
        <v>56</v>
      </c>
      <c r="R1026">
        <v>17169</v>
      </c>
      <c r="S1026">
        <v>26703</v>
      </c>
      <c r="T1026">
        <v>3</v>
      </c>
      <c r="U1026" t="s">
        <v>51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  <c r="AG1026" t="s">
        <v>57</v>
      </c>
      <c r="AH1026" t="s">
        <v>46</v>
      </c>
      <c r="AI1026">
        <v>0</v>
      </c>
      <c r="AJ1026" t="s">
        <v>80</v>
      </c>
      <c r="AK1026" t="s">
        <v>68</v>
      </c>
      <c r="AL1026" t="s">
        <v>66</v>
      </c>
      <c r="AM1026" t="s">
        <v>85</v>
      </c>
      <c r="AN1026">
        <f t="shared" si="15"/>
        <v>3</v>
      </c>
    </row>
    <row r="1027" spans="1:40">
      <c r="A1027">
        <v>24</v>
      </c>
      <c r="B1027" t="s">
        <v>51</v>
      </c>
      <c r="C1027" t="s">
        <v>39</v>
      </c>
      <c r="D1027">
        <v>1476</v>
      </c>
      <c r="E1027" t="s">
        <v>40</v>
      </c>
      <c r="F1027">
        <v>4</v>
      </c>
      <c r="G1027">
        <v>1</v>
      </c>
      <c r="H1027" t="s">
        <v>69</v>
      </c>
      <c r="I1027">
        <v>1445</v>
      </c>
      <c r="J1027">
        <v>4</v>
      </c>
      <c r="K1027" t="s">
        <v>42</v>
      </c>
      <c r="L1027">
        <v>42</v>
      </c>
      <c r="M1027">
        <v>3</v>
      </c>
      <c r="N1027">
        <v>2</v>
      </c>
      <c r="O1027" t="s">
        <v>43</v>
      </c>
      <c r="P1027">
        <v>3</v>
      </c>
      <c r="Q1027" t="s">
        <v>56</v>
      </c>
      <c r="R1027">
        <v>4162</v>
      </c>
      <c r="S1027">
        <v>15211</v>
      </c>
      <c r="T1027">
        <v>1</v>
      </c>
      <c r="U1027" t="s">
        <v>38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  <c r="AG1027" t="s">
        <v>78</v>
      </c>
      <c r="AH1027" t="s">
        <v>46</v>
      </c>
      <c r="AI1027">
        <v>0</v>
      </c>
      <c r="AJ1027" t="s">
        <v>65</v>
      </c>
      <c r="AK1027" t="s">
        <v>59</v>
      </c>
      <c r="AL1027" t="s">
        <v>66</v>
      </c>
      <c r="AM1027" t="s">
        <v>61</v>
      </c>
      <c r="AN1027">
        <f t="shared" ref="AN1027:AN1090" si="16">((3-P1027)*3+((3-AB1027)*2+AE1027))</f>
        <v>0</v>
      </c>
    </row>
    <row r="1028" spans="1:40">
      <c r="A1028">
        <v>32</v>
      </c>
      <c r="B1028" t="s">
        <v>51</v>
      </c>
      <c r="C1028" t="s">
        <v>39</v>
      </c>
      <c r="D1028">
        <v>601</v>
      </c>
      <c r="E1028" t="s">
        <v>40</v>
      </c>
      <c r="F1028">
        <v>7</v>
      </c>
      <c r="G1028">
        <v>5</v>
      </c>
      <c r="H1028" t="s">
        <v>84</v>
      </c>
      <c r="I1028">
        <v>1446</v>
      </c>
      <c r="J1028">
        <v>4</v>
      </c>
      <c r="K1028" t="s">
        <v>54</v>
      </c>
      <c r="L1028">
        <v>97</v>
      </c>
      <c r="M1028">
        <v>3</v>
      </c>
      <c r="N1028">
        <v>2</v>
      </c>
      <c r="O1028" t="s">
        <v>43</v>
      </c>
      <c r="P1028">
        <v>4</v>
      </c>
      <c r="Q1028" t="s">
        <v>56</v>
      </c>
      <c r="R1028">
        <v>9204</v>
      </c>
      <c r="S1028">
        <v>23343</v>
      </c>
      <c r="T1028">
        <v>4</v>
      </c>
      <c r="U1028" t="s">
        <v>51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  <c r="AG1028" t="s">
        <v>67</v>
      </c>
      <c r="AH1028" t="s">
        <v>46</v>
      </c>
      <c r="AI1028">
        <v>0</v>
      </c>
      <c r="AJ1028" t="s">
        <v>47</v>
      </c>
      <c r="AK1028" t="s">
        <v>87</v>
      </c>
      <c r="AL1028" t="s">
        <v>49</v>
      </c>
      <c r="AM1028" t="s">
        <v>70</v>
      </c>
      <c r="AN1028">
        <f t="shared" si="16"/>
        <v>-1</v>
      </c>
    </row>
    <row r="1029" spans="1:40">
      <c r="A1029">
        <v>34</v>
      </c>
      <c r="B1029" t="s">
        <v>51</v>
      </c>
      <c r="C1029" t="s">
        <v>39</v>
      </c>
      <c r="D1029">
        <v>401</v>
      </c>
      <c r="E1029" t="s">
        <v>53</v>
      </c>
      <c r="F1029">
        <v>1</v>
      </c>
      <c r="G1029">
        <v>3</v>
      </c>
      <c r="H1029" t="s">
        <v>41</v>
      </c>
      <c r="I1029">
        <v>1447</v>
      </c>
      <c r="J1029">
        <v>4</v>
      </c>
      <c r="K1029" t="s">
        <v>42</v>
      </c>
      <c r="L1029">
        <v>86</v>
      </c>
      <c r="M1029">
        <v>2</v>
      </c>
      <c r="N1029">
        <v>1</v>
      </c>
      <c r="O1029" t="s">
        <v>63</v>
      </c>
      <c r="P1029">
        <v>2</v>
      </c>
      <c r="Q1029" t="s">
        <v>56</v>
      </c>
      <c r="R1029">
        <v>3294</v>
      </c>
      <c r="S1029">
        <v>3708</v>
      </c>
      <c r="T1029">
        <v>5</v>
      </c>
      <c r="U1029" t="s">
        <v>51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  <c r="AG1029" t="s">
        <v>67</v>
      </c>
      <c r="AH1029" t="s">
        <v>81</v>
      </c>
      <c r="AI1029">
        <v>0</v>
      </c>
      <c r="AJ1029" t="s">
        <v>47</v>
      </c>
      <c r="AK1029" t="s">
        <v>72</v>
      </c>
      <c r="AL1029" t="s">
        <v>60</v>
      </c>
      <c r="AM1029" t="s">
        <v>70</v>
      </c>
      <c r="AN1029">
        <f t="shared" si="16"/>
        <v>5</v>
      </c>
    </row>
    <row r="1030" spans="1:40">
      <c r="A1030">
        <v>41</v>
      </c>
      <c r="B1030" t="s">
        <v>51</v>
      </c>
      <c r="C1030" t="s">
        <v>39</v>
      </c>
      <c r="D1030">
        <v>1283</v>
      </c>
      <c r="E1030" t="s">
        <v>53</v>
      </c>
      <c r="F1030">
        <v>5</v>
      </c>
      <c r="G1030">
        <v>5</v>
      </c>
      <c r="H1030" t="s">
        <v>69</v>
      </c>
      <c r="I1030">
        <v>1448</v>
      </c>
      <c r="J1030">
        <v>2</v>
      </c>
      <c r="K1030" t="s">
        <v>54</v>
      </c>
      <c r="L1030">
        <v>90</v>
      </c>
      <c r="M1030">
        <v>4</v>
      </c>
      <c r="N1030">
        <v>1</v>
      </c>
      <c r="O1030" t="s">
        <v>55</v>
      </c>
      <c r="P1030">
        <v>3</v>
      </c>
      <c r="Q1030" t="s">
        <v>56</v>
      </c>
      <c r="R1030">
        <v>2127</v>
      </c>
      <c r="S1030">
        <v>5561</v>
      </c>
      <c r="T1030">
        <v>2</v>
      </c>
      <c r="U1030" t="s">
        <v>38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  <c r="AG1030" t="s">
        <v>45</v>
      </c>
      <c r="AH1030" t="s">
        <v>81</v>
      </c>
      <c r="AI1030">
        <v>0</v>
      </c>
      <c r="AJ1030" t="s">
        <v>47</v>
      </c>
      <c r="AK1030" t="s">
        <v>87</v>
      </c>
      <c r="AL1030" t="s">
        <v>66</v>
      </c>
      <c r="AM1030" t="s">
        <v>70</v>
      </c>
      <c r="AN1030">
        <f t="shared" si="16"/>
        <v>2</v>
      </c>
    </row>
    <row r="1031" spans="1:40">
      <c r="A1031">
        <v>40</v>
      </c>
      <c r="B1031" t="s">
        <v>51</v>
      </c>
      <c r="C1031" t="s">
        <v>77</v>
      </c>
      <c r="D1031">
        <v>663</v>
      </c>
      <c r="E1031" t="s">
        <v>53</v>
      </c>
      <c r="F1031">
        <v>9</v>
      </c>
      <c r="G1031">
        <v>4</v>
      </c>
      <c r="H1031" t="s">
        <v>62</v>
      </c>
      <c r="I1031">
        <v>1449</v>
      </c>
      <c r="J1031">
        <v>3</v>
      </c>
      <c r="K1031" t="s">
        <v>54</v>
      </c>
      <c r="L1031">
        <v>81</v>
      </c>
      <c r="M1031">
        <v>3</v>
      </c>
      <c r="N1031">
        <v>2</v>
      </c>
      <c r="O1031" t="s">
        <v>63</v>
      </c>
      <c r="P1031">
        <v>3</v>
      </c>
      <c r="Q1031" t="s">
        <v>74</v>
      </c>
      <c r="R1031">
        <v>3975</v>
      </c>
      <c r="S1031">
        <v>23099</v>
      </c>
      <c r="T1031">
        <v>3</v>
      </c>
      <c r="U1031" t="s">
        <v>51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  <c r="AG1031" t="s">
        <v>45</v>
      </c>
      <c r="AH1031" t="s">
        <v>46</v>
      </c>
      <c r="AI1031">
        <v>0</v>
      </c>
      <c r="AJ1031" t="s">
        <v>58</v>
      </c>
      <c r="AK1031" t="s">
        <v>68</v>
      </c>
      <c r="AL1031" t="s">
        <v>66</v>
      </c>
      <c r="AM1031" t="s">
        <v>85</v>
      </c>
      <c r="AN1031">
        <f t="shared" si="16"/>
        <v>-2</v>
      </c>
    </row>
    <row r="1032" spans="1:40">
      <c r="A1032">
        <v>31</v>
      </c>
      <c r="B1032" t="s">
        <v>51</v>
      </c>
      <c r="C1032" t="s">
        <v>39</v>
      </c>
      <c r="D1032">
        <v>326</v>
      </c>
      <c r="E1032" t="s">
        <v>40</v>
      </c>
      <c r="F1032">
        <v>8</v>
      </c>
      <c r="G1032">
        <v>2</v>
      </c>
      <c r="H1032" t="s">
        <v>41</v>
      </c>
      <c r="I1032">
        <v>1453</v>
      </c>
      <c r="J1032">
        <v>1</v>
      </c>
      <c r="K1032" t="s">
        <v>54</v>
      </c>
      <c r="L1032">
        <v>31</v>
      </c>
      <c r="M1032">
        <v>3</v>
      </c>
      <c r="N1032">
        <v>3</v>
      </c>
      <c r="O1032" t="s">
        <v>43</v>
      </c>
      <c r="P1032">
        <v>4</v>
      </c>
      <c r="Q1032" t="s">
        <v>74</v>
      </c>
      <c r="R1032">
        <v>10793</v>
      </c>
      <c r="S1032">
        <v>8386</v>
      </c>
      <c r="T1032">
        <v>1</v>
      </c>
      <c r="U1032" t="s">
        <v>51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  <c r="AG1032" t="s">
        <v>67</v>
      </c>
      <c r="AH1032" t="s">
        <v>71</v>
      </c>
      <c r="AI1032">
        <v>0</v>
      </c>
      <c r="AJ1032" t="s">
        <v>80</v>
      </c>
      <c r="AK1032" t="s">
        <v>48</v>
      </c>
      <c r="AL1032" t="s">
        <v>49</v>
      </c>
      <c r="AM1032" t="s">
        <v>61</v>
      </c>
      <c r="AN1032">
        <f t="shared" si="16"/>
        <v>6</v>
      </c>
    </row>
    <row r="1033" spans="1:40">
      <c r="A1033">
        <v>46</v>
      </c>
      <c r="B1033" t="s">
        <v>38</v>
      </c>
      <c r="C1033" t="s">
        <v>39</v>
      </c>
      <c r="D1033">
        <v>377</v>
      </c>
      <c r="E1033" t="s">
        <v>40</v>
      </c>
      <c r="F1033">
        <v>9</v>
      </c>
      <c r="G1033">
        <v>3</v>
      </c>
      <c r="H1033" t="s">
        <v>84</v>
      </c>
      <c r="I1033">
        <v>1457</v>
      </c>
      <c r="J1033">
        <v>1</v>
      </c>
      <c r="K1033" t="s">
        <v>54</v>
      </c>
      <c r="L1033">
        <v>52</v>
      </c>
      <c r="M1033">
        <v>3</v>
      </c>
      <c r="N1033">
        <v>3</v>
      </c>
      <c r="O1033" t="s">
        <v>43</v>
      </c>
      <c r="P1033">
        <v>4</v>
      </c>
      <c r="Q1033" t="s">
        <v>74</v>
      </c>
      <c r="R1033">
        <v>10096</v>
      </c>
      <c r="S1033">
        <v>15986</v>
      </c>
      <c r="T1033">
        <v>4</v>
      </c>
      <c r="U1033" t="s">
        <v>51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  <c r="AG1033" t="s">
        <v>57</v>
      </c>
      <c r="AH1033" t="s">
        <v>46</v>
      </c>
      <c r="AI1033">
        <v>1</v>
      </c>
      <c r="AJ1033" t="s">
        <v>58</v>
      </c>
      <c r="AK1033" t="s">
        <v>72</v>
      </c>
      <c r="AL1033" t="s">
        <v>49</v>
      </c>
      <c r="AM1033" t="s">
        <v>85</v>
      </c>
      <c r="AN1033">
        <f t="shared" si="16"/>
        <v>-1</v>
      </c>
    </row>
    <row r="1034" spans="1:40">
      <c r="A1034">
        <v>39</v>
      </c>
      <c r="B1034" t="s">
        <v>38</v>
      </c>
      <c r="C1034" t="s">
        <v>77</v>
      </c>
      <c r="D1034">
        <v>592</v>
      </c>
      <c r="E1034" t="s">
        <v>53</v>
      </c>
      <c r="F1034">
        <v>2</v>
      </c>
      <c r="G1034">
        <v>3</v>
      </c>
      <c r="H1034" t="s">
        <v>41</v>
      </c>
      <c r="I1034">
        <v>1458</v>
      </c>
      <c r="J1034">
        <v>1</v>
      </c>
      <c r="K1034" t="s">
        <v>42</v>
      </c>
      <c r="L1034">
        <v>54</v>
      </c>
      <c r="M1034">
        <v>2</v>
      </c>
      <c r="N1034">
        <v>1</v>
      </c>
      <c r="O1034" t="s">
        <v>63</v>
      </c>
      <c r="P1034">
        <v>1</v>
      </c>
      <c r="Q1034" t="s">
        <v>44</v>
      </c>
      <c r="R1034">
        <v>3646</v>
      </c>
      <c r="S1034">
        <v>17181</v>
      </c>
      <c r="T1034">
        <v>2</v>
      </c>
      <c r="U1034" t="s">
        <v>38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  <c r="AG1034" t="s">
        <v>45</v>
      </c>
      <c r="AH1034" t="s">
        <v>46</v>
      </c>
      <c r="AI1034">
        <v>1</v>
      </c>
      <c r="AJ1034" t="s">
        <v>65</v>
      </c>
      <c r="AK1034" t="s">
        <v>72</v>
      </c>
      <c r="AL1034" t="s">
        <v>73</v>
      </c>
      <c r="AM1034" t="s">
        <v>85</v>
      </c>
      <c r="AN1034">
        <f t="shared" si="16"/>
        <v>4</v>
      </c>
    </row>
    <row r="1035" spans="1:40">
      <c r="A1035">
        <v>31</v>
      </c>
      <c r="B1035" t="s">
        <v>38</v>
      </c>
      <c r="C1035" t="s">
        <v>52</v>
      </c>
      <c r="D1035">
        <v>1445</v>
      </c>
      <c r="E1035" t="s">
        <v>53</v>
      </c>
      <c r="F1035">
        <v>1</v>
      </c>
      <c r="G1035">
        <v>5</v>
      </c>
      <c r="H1035" t="s">
        <v>41</v>
      </c>
      <c r="I1035">
        <v>1459</v>
      </c>
      <c r="J1035">
        <v>3</v>
      </c>
      <c r="K1035" t="s">
        <v>42</v>
      </c>
      <c r="L1035">
        <v>100</v>
      </c>
      <c r="M1035">
        <v>4</v>
      </c>
      <c r="N1035">
        <v>3</v>
      </c>
      <c r="O1035" t="s">
        <v>75</v>
      </c>
      <c r="P1035">
        <v>2</v>
      </c>
      <c r="Q1035" t="s">
        <v>44</v>
      </c>
      <c r="R1035">
        <v>7446</v>
      </c>
      <c r="S1035">
        <v>8931</v>
      </c>
      <c r="T1035">
        <v>1</v>
      </c>
      <c r="U1035" t="s">
        <v>51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  <c r="AG1035" t="s">
        <v>67</v>
      </c>
      <c r="AH1035" t="s">
        <v>71</v>
      </c>
      <c r="AI1035">
        <v>1</v>
      </c>
      <c r="AJ1035" t="s">
        <v>58</v>
      </c>
      <c r="AK1035" t="s">
        <v>87</v>
      </c>
      <c r="AL1035" t="s">
        <v>60</v>
      </c>
      <c r="AM1035" t="s">
        <v>61</v>
      </c>
      <c r="AN1035">
        <f t="shared" si="16"/>
        <v>7</v>
      </c>
    </row>
    <row r="1036" spans="1:40">
      <c r="A1036">
        <v>45</v>
      </c>
      <c r="B1036" t="s">
        <v>51</v>
      </c>
      <c r="C1036" t="s">
        <v>39</v>
      </c>
      <c r="D1036">
        <v>1038</v>
      </c>
      <c r="E1036" t="s">
        <v>53</v>
      </c>
      <c r="F1036">
        <v>20</v>
      </c>
      <c r="G1036">
        <v>3</v>
      </c>
      <c r="H1036" t="s">
        <v>69</v>
      </c>
      <c r="I1036">
        <v>1460</v>
      </c>
      <c r="J1036">
        <v>2</v>
      </c>
      <c r="K1036" t="s">
        <v>54</v>
      </c>
      <c r="L1036">
        <v>95</v>
      </c>
      <c r="M1036">
        <v>1</v>
      </c>
      <c r="N1036">
        <v>3</v>
      </c>
      <c r="O1036" t="s">
        <v>76</v>
      </c>
      <c r="P1036">
        <v>1</v>
      </c>
      <c r="Q1036" t="s">
        <v>74</v>
      </c>
      <c r="R1036">
        <v>10851</v>
      </c>
      <c r="S1036">
        <v>19863</v>
      </c>
      <c r="T1036">
        <v>2</v>
      </c>
      <c r="U1036" t="s">
        <v>38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  <c r="AG1036" t="s">
        <v>45</v>
      </c>
      <c r="AH1036" t="s">
        <v>46</v>
      </c>
      <c r="AI1036">
        <v>0</v>
      </c>
      <c r="AJ1036" t="s">
        <v>58</v>
      </c>
      <c r="AK1036" t="s">
        <v>72</v>
      </c>
      <c r="AL1036" t="s">
        <v>73</v>
      </c>
      <c r="AM1036" t="s">
        <v>61</v>
      </c>
      <c r="AN1036">
        <f t="shared" si="16"/>
        <v>6</v>
      </c>
    </row>
    <row r="1037" spans="1:40">
      <c r="A1037">
        <v>31</v>
      </c>
      <c r="B1037" t="s">
        <v>51</v>
      </c>
      <c r="C1037" t="s">
        <v>39</v>
      </c>
      <c r="D1037">
        <v>1398</v>
      </c>
      <c r="E1037" t="s">
        <v>88</v>
      </c>
      <c r="F1037">
        <v>8</v>
      </c>
      <c r="G1037">
        <v>2</v>
      </c>
      <c r="H1037" t="s">
        <v>69</v>
      </c>
      <c r="I1037">
        <v>1461</v>
      </c>
      <c r="J1037">
        <v>4</v>
      </c>
      <c r="K1037" t="s">
        <v>42</v>
      </c>
      <c r="L1037">
        <v>96</v>
      </c>
      <c r="M1037">
        <v>4</v>
      </c>
      <c r="N1037">
        <v>1</v>
      </c>
      <c r="O1037" t="s">
        <v>88</v>
      </c>
      <c r="P1037">
        <v>2</v>
      </c>
      <c r="Q1037" t="s">
        <v>44</v>
      </c>
      <c r="R1037">
        <v>2109</v>
      </c>
      <c r="S1037">
        <v>24609</v>
      </c>
      <c r="T1037">
        <v>9</v>
      </c>
      <c r="U1037" t="s">
        <v>51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  <c r="AG1037" t="s">
        <v>67</v>
      </c>
      <c r="AH1037" t="s">
        <v>46</v>
      </c>
      <c r="AI1037">
        <v>0</v>
      </c>
      <c r="AJ1037" t="s">
        <v>65</v>
      </c>
      <c r="AK1037" t="s">
        <v>48</v>
      </c>
      <c r="AL1037" t="s">
        <v>60</v>
      </c>
      <c r="AM1037" t="s">
        <v>61</v>
      </c>
      <c r="AN1037">
        <f t="shared" si="16"/>
        <v>3</v>
      </c>
    </row>
    <row r="1038" spans="1:40">
      <c r="A1038">
        <v>31</v>
      </c>
      <c r="B1038" t="s">
        <v>38</v>
      </c>
      <c r="C1038" t="s">
        <v>52</v>
      </c>
      <c r="D1038">
        <v>523</v>
      </c>
      <c r="E1038" t="s">
        <v>53</v>
      </c>
      <c r="F1038">
        <v>2</v>
      </c>
      <c r="G1038">
        <v>3</v>
      </c>
      <c r="H1038" t="s">
        <v>41</v>
      </c>
      <c r="I1038">
        <v>1464</v>
      </c>
      <c r="J1038">
        <v>2</v>
      </c>
      <c r="K1038" t="s">
        <v>54</v>
      </c>
      <c r="L1038">
        <v>94</v>
      </c>
      <c r="M1038">
        <v>3</v>
      </c>
      <c r="N1038">
        <v>1</v>
      </c>
      <c r="O1038" t="s">
        <v>63</v>
      </c>
      <c r="P1038">
        <v>4</v>
      </c>
      <c r="Q1038" t="s">
        <v>56</v>
      </c>
      <c r="R1038">
        <v>3722</v>
      </c>
      <c r="S1038">
        <v>21081</v>
      </c>
      <c r="T1038">
        <v>6</v>
      </c>
      <c r="U1038" t="s">
        <v>38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  <c r="AG1038" t="s">
        <v>67</v>
      </c>
      <c r="AH1038" t="s">
        <v>46</v>
      </c>
      <c r="AI1038">
        <v>1</v>
      </c>
      <c r="AJ1038" t="s">
        <v>47</v>
      </c>
      <c r="AK1038" t="s">
        <v>72</v>
      </c>
      <c r="AL1038" t="s">
        <v>49</v>
      </c>
      <c r="AM1038" t="s">
        <v>50</v>
      </c>
      <c r="AN1038">
        <f t="shared" si="16"/>
        <v>3</v>
      </c>
    </row>
    <row r="1039" spans="1:40">
      <c r="A1039">
        <v>45</v>
      </c>
      <c r="B1039" t="s">
        <v>51</v>
      </c>
      <c r="C1039" t="s">
        <v>39</v>
      </c>
      <c r="D1039">
        <v>1448</v>
      </c>
      <c r="E1039" t="s">
        <v>53</v>
      </c>
      <c r="F1039">
        <v>29</v>
      </c>
      <c r="G1039">
        <v>3</v>
      </c>
      <c r="H1039" t="s">
        <v>86</v>
      </c>
      <c r="I1039">
        <v>1465</v>
      </c>
      <c r="J1039">
        <v>2</v>
      </c>
      <c r="K1039" t="s">
        <v>54</v>
      </c>
      <c r="L1039">
        <v>55</v>
      </c>
      <c r="M1039">
        <v>3</v>
      </c>
      <c r="N1039">
        <v>3</v>
      </c>
      <c r="O1039" t="s">
        <v>75</v>
      </c>
      <c r="P1039">
        <v>4</v>
      </c>
      <c r="Q1039" t="s">
        <v>56</v>
      </c>
      <c r="R1039">
        <v>9380</v>
      </c>
      <c r="S1039">
        <v>14720</v>
      </c>
      <c r="T1039">
        <v>4</v>
      </c>
      <c r="U1039" t="s">
        <v>38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  <c r="AG1039" t="s">
        <v>45</v>
      </c>
      <c r="AH1039" t="s">
        <v>46</v>
      </c>
      <c r="AI1039">
        <v>0</v>
      </c>
      <c r="AJ1039" t="s">
        <v>65</v>
      </c>
      <c r="AK1039" t="s">
        <v>72</v>
      </c>
      <c r="AL1039" t="s">
        <v>49</v>
      </c>
      <c r="AM1039" t="s">
        <v>85</v>
      </c>
      <c r="AN1039">
        <f t="shared" si="16"/>
        <v>-4</v>
      </c>
    </row>
    <row r="1040" spans="1:40">
      <c r="A1040">
        <v>48</v>
      </c>
      <c r="B1040" t="s">
        <v>51</v>
      </c>
      <c r="C1040" t="s">
        <v>39</v>
      </c>
      <c r="D1040">
        <v>1221</v>
      </c>
      <c r="E1040" t="s">
        <v>40</v>
      </c>
      <c r="F1040">
        <v>7</v>
      </c>
      <c r="G1040">
        <v>3</v>
      </c>
      <c r="H1040" t="s">
        <v>84</v>
      </c>
      <c r="I1040">
        <v>1466</v>
      </c>
      <c r="J1040">
        <v>3</v>
      </c>
      <c r="K1040" t="s">
        <v>54</v>
      </c>
      <c r="L1040">
        <v>96</v>
      </c>
      <c r="M1040">
        <v>3</v>
      </c>
      <c r="N1040">
        <v>2</v>
      </c>
      <c r="O1040" t="s">
        <v>43</v>
      </c>
      <c r="P1040">
        <v>1</v>
      </c>
      <c r="Q1040" t="s">
        <v>74</v>
      </c>
      <c r="R1040">
        <v>5486</v>
      </c>
      <c r="S1040">
        <v>24795</v>
      </c>
      <c r="T1040">
        <v>4</v>
      </c>
      <c r="U1040" t="s">
        <v>51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  <c r="AG1040" t="s">
        <v>57</v>
      </c>
      <c r="AH1040" t="s">
        <v>46</v>
      </c>
      <c r="AI1040">
        <v>0</v>
      </c>
      <c r="AJ1040" t="s">
        <v>65</v>
      </c>
      <c r="AK1040" t="s">
        <v>72</v>
      </c>
      <c r="AL1040" t="s">
        <v>73</v>
      </c>
      <c r="AM1040" t="s">
        <v>61</v>
      </c>
      <c r="AN1040">
        <f t="shared" si="16"/>
        <v>8</v>
      </c>
    </row>
    <row r="1041" spans="1:40">
      <c r="A1041">
        <v>34</v>
      </c>
      <c r="B1041" t="s">
        <v>38</v>
      </c>
      <c r="C1041" t="s">
        <v>39</v>
      </c>
      <c r="D1041">
        <v>1107</v>
      </c>
      <c r="E1041" t="s">
        <v>88</v>
      </c>
      <c r="F1041">
        <v>9</v>
      </c>
      <c r="G1041">
        <v>4</v>
      </c>
      <c r="H1041" t="s">
        <v>86</v>
      </c>
      <c r="I1041">
        <v>1467</v>
      </c>
      <c r="J1041">
        <v>1</v>
      </c>
      <c r="K1041" t="s">
        <v>42</v>
      </c>
      <c r="L1041">
        <v>52</v>
      </c>
      <c r="M1041">
        <v>3</v>
      </c>
      <c r="N1041">
        <v>1</v>
      </c>
      <c r="O1041" t="s">
        <v>88</v>
      </c>
      <c r="P1041">
        <v>3</v>
      </c>
      <c r="Q1041" t="s">
        <v>56</v>
      </c>
      <c r="R1041">
        <v>2742</v>
      </c>
      <c r="S1041">
        <v>3072</v>
      </c>
      <c r="T1041">
        <v>1</v>
      </c>
      <c r="U1041" t="s">
        <v>51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  <c r="AG1041" t="s">
        <v>67</v>
      </c>
      <c r="AH1041" t="s">
        <v>81</v>
      </c>
      <c r="AI1041">
        <v>1</v>
      </c>
      <c r="AJ1041" t="s">
        <v>65</v>
      </c>
      <c r="AK1041" t="s">
        <v>68</v>
      </c>
      <c r="AL1041" t="s">
        <v>66</v>
      </c>
      <c r="AM1041" t="s">
        <v>61</v>
      </c>
      <c r="AN1041">
        <f t="shared" si="16"/>
        <v>2</v>
      </c>
    </row>
    <row r="1042" spans="1:40">
      <c r="A1042">
        <v>40</v>
      </c>
      <c r="B1042" t="s">
        <v>51</v>
      </c>
      <c r="C1042" t="s">
        <v>77</v>
      </c>
      <c r="D1042">
        <v>218</v>
      </c>
      <c r="E1042" t="s">
        <v>53</v>
      </c>
      <c r="F1042">
        <v>8</v>
      </c>
      <c r="G1042">
        <v>1</v>
      </c>
      <c r="H1042" t="s">
        <v>69</v>
      </c>
      <c r="I1042">
        <v>1468</v>
      </c>
      <c r="J1042">
        <v>4</v>
      </c>
      <c r="K1042" t="s">
        <v>54</v>
      </c>
      <c r="L1042">
        <v>55</v>
      </c>
      <c r="M1042">
        <v>2</v>
      </c>
      <c r="N1042">
        <v>3</v>
      </c>
      <c r="O1042" t="s">
        <v>83</v>
      </c>
      <c r="P1042">
        <v>2</v>
      </c>
      <c r="Q1042" t="s">
        <v>74</v>
      </c>
      <c r="R1042">
        <v>13757</v>
      </c>
      <c r="S1042">
        <v>25178</v>
      </c>
      <c r="T1042">
        <v>2</v>
      </c>
      <c r="U1042" t="s">
        <v>51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  <c r="AG1042" t="s">
        <v>45</v>
      </c>
      <c r="AH1042" t="s">
        <v>46</v>
      </c>
      <c r="AI1042">
        <v>0</v>
      </c>
      <c r="AJ1042" t="s">
        <v>58</v>
      </c>
      <c r="AK1042" t="s">
        <v>59</v>
      </c>
      <c r="AL1042" t="s">
        <v>60</v>
      </c>
      <c r="AM1042" t="s">
        <v>61</v>
      </c>
      <c r="AN1042">
        <f t="shared" si="16"/>
        <v>7</v>
      </c>
    </row>
    <row r="1043" spans="1:40">
      <c r="A1043">
        <v>28</v>
      </c>
      <c r="B1043" t="s">
        <v>51</v>
      </c>
      <c r="C1043" t="s">
        <v>39</v>
      </c>
      <c r="D1043">
        <v>866</v>
      </c>
      <c r="E1043" t="s">
        <v>40</v>
      </c>
      <c r="F1043">
        <v>5</v>
      </c>
      <c r="G1043">
        <v>3</v>
      </c>
      <c r="H1043" t="s">
        <v>69</v>
      </c>
      <c r="I1043">
        <v>1469</v>
      </c>
      <c r="J1043">
        <v>4</v>
      </c>
      <c r="K1043" t="s">
        <v>54</v>
      </c>
      <c r="L1043">
        <v>84</v>
      </c>
      <c r="M1043">
        <v>3</v>
      </c>
      <c r="N1043">
        <v>2</v>
      </c>
      <c r="O1043" t="s">
        <v>43</v>
      </c>
      <c r="P1043">
        <v>1</v>
      </c>
      <c r="Q1043" t="s">
        <v>44</v>
      </c>
      <c r="R1043">
        <v>8463</v>
      </c>
      <c r="S1043">
        <v>23490</v>
      </c>
      <c r="T1043">
        <v>0</v>
      </c>
      <c r="U1043" t="s">
        <v>51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  <c r="AG1043" t="s">
        <v>67</v>
      </c>
      <c r="AH1043" t="s">
        <v>46</v>
      </c>
      <c r="AI1043">
        <v>0</v>
      </c>
      <c r="AJ1043" t="s">
        <v>65</v>
      </c>
      <c r="AK1043" t="s">
        <v>72</v>
      </c>
      <c r="AL1043" t="s">
        <v>73</v>
      </c>
      <c r="AM1043" t="s">
        <v>61</v>
      </c>
      <c r="AN1043">
        <f t="shared" si="16"/>
        <v>7</v>
      </c>
    </row>
    <row r="1044" spans="1:40">
      <c r="A1044">
        <v>44</v>
      </c>
      <c r="B1044" t="s">
        <v>51</v>
      </c>
      <c r="C1044" t="s">
        <v>77</v>
      </c>
      <c r="D1044">
        <v>981</v>
      </c>
      <c r="E1044" t="s">
        <v>53</v>
      </c>
      <c r="F1044">
        <v>5</v>
      </c>
      <c r="G1044">
        <v>3</v>
      </c>
      <c r="H1044" t="s">
        <v>41</v>
      </c>
      <c r="I1044">
        <v>1471</v>
      </c>
      <c r="J1044">
        <v>3</v>
      </c>
      <c r="K1044" t="s">
        <v>54</v>
      </c>
      <c r="L1044">
        <v>90</v>
      </c>
      <c r="M1044">
        <v>2</v>
      </c>
      <c r="N1044">
        <v>1</v>
      </c>
      <c r="O1044" t="s">
        <v>63</v>
      </c>
      <c r="P1044">
        <v>3</v>
      </c>
      <c r="Q1044" t="s">
        <v>44</v>
      </c>
      <c r="R1044">
        <v>3162</v>
      </c>
      <c r="S1044">
        <v>7973</v>
      </c>
      <c r="T1044">
        <v>3</v>
      </c>
      <c r="U1044" t="s">
        <v>51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  <c r="AG1044" t="s">
        <v>45</v>
      </c>
      <c r="AH1044" t="s">
        <v>71</v>
      </c>
      <c r="AI1044">
        <v>0</v>
      </c>
      <c r="AJ1044" t="s">
        <v>65</v>
      </c>
      <c r="AK1044" t="s">
        <v>72</v>
      </c>
      <c r="AL1044" t="s">
        <v>66</v>
      </c>
      <c r="AM1044" t="s">
        <v>61</v>
      </c>
      <c r="AN1044">
        <f t="shared" si="16"/>
        <v>0</v>
      </c>
    </row>
    <row r="1045" spans="1:40">
      <c r="A1045">
        <v>53</v>
      </c>
      <c r="B1045" t="s">
        <v>51</v>
      </c>
      <c r="C1045" t="s">
        <v>39</v>
      </c>
      <c r="D1045">
        <v>447</v>
      </c>
      <c r="E1045" t="s">
        <v>53</v>
      </c>
      <c r="F1045">
        <v>2</v>
      </c>
      <c r="G1045">
        <v>3</v>
      </c>
      <c r="H1045" t="s">
        <v>69</v>
      </c>
      <c r="I1045">
        <v>1472</v>
      </c>
      <c r="J1045">
        <v>4</v>
      </c>
      <c r="K1045" t="s">
        <v>54</v>
      </c>
      <c r="L1045">
        <v>39</v>
      </c>
      <c r="M1045">
        <v>4</v>
      </c>
      <c r="N1045">
        <v>4</v>
      </c>
      <c r="O1045" t="s">
        <v>83</v>
      </c>
      <c r="P1045">
        <v>2</v>
      </c>
      <c r="Q1045" t="s">
        <v>44</v>
      </c>
      <c r="R1045">
        <v>16598</v>
      </c>
      <c r="S1045">
        <v>19764</v>
      </c>
      <c r="T1045">
        <v>4</v>
      </c>
      <c r="U1045" t="s">
        <v>51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  <c r="AG1045" t="s">
        <v>57</v>
      </c>
      <c r="AH1045" t="s">
        <v>46</v>
      </c>
      <c r="AI1045">
        <v>0</v>
      </c>
      <c r="AJ1045" t="s">
        <v>47</v>
      </c>
      <c r="AK1045" t="s">
        <v>72</v>
      </c>
      <c r="AL1045" t="s">
        <v>60</v>
      </c>
      <c r="AM1045" t="s">
        <v>70</v>
      </c>
      <c r="AN1045">
        <f t="shared" si="16"/>
        <v>13</v>
      </c>
    </row>
    <row r="1046" spans="1:40">
      <c r="A1046">
        <v>49</v>
      </c>
      <c r="B1046" t="s">
        <v>51</v>
      </c>
      <c r="C1046" t="s">
        <v>39</v>
      </c>
      <c r="D1046">
        <v>1495</v>
      </c>
      <c r="E1046" t="s">
        <v>53</v>
      </c>
      <c r="F1046">
        <v>5</v>
      </c>
      <c r="G1046">
        <v>4</v>
      </c>
      <c r="H1046" t="s">
        <v>86</v>
      </c>
      <c r="I1046">
        <v>1473</v>
      </c>
      <c r="J1046">
        <v>1</v>
      </c>
      <c r="K1046" t="s">
        <v>54</v>
      </c>
      <c r="L1046">
        <v>96</v>
      </c>
      <c r="M1046">
        <v>3</v>
      </c>
      <c r="N1046">
        <v>2</v>
      </c>
      <c r="O1046" t="s">
        <v>76</v>
      </c>
      <c r="P1046">
        <v>3</v>
      </c>
      <c r="Q1046" t="s">
        <v>56</v>
      </c>
      <c r="R1046">
        <v>6651</v>
      </c>
      <c r="S1046">
        <v>21534</v>
      </c>
      <c r="T1046">
        <v>2</v>
      </c>
      <c r="U1046" t="s">
        <v>51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  <c r="AG1046" t="s">
        <v>57</v>
      </c>
      <c r="AH1046" t="s">
        <v>46</v>
      </c>
      <c r="AI1046">
        <v>0</v>
      </c>
      <c r="AJ1046" t="s">
        <v>47</v>
      </c>
      <c r="AK1046" t="s">
        <v>68</v>
      </c>
      <c r="AL1046" t="s">
        <v>66</v>
      </c>
      <c r="AM1046" t="s">
        <v>70</v>
      </c>
      <c r="AN1046">
        <f t="shared" si="16"/>
        <v>3</v>
      </c>
    </row>
    <row r="1047" spans="1:40">
      <c r="A1047">
        <v>40</v>
      </c>
      <c r="B1047" t="s">
        <v>51</v>
      </c>
      <c r="C1047" t="s">
        <v>39</v>
      </c>
      <c r="D1047">
        <v>896</v>
      </c>
      <c r="E1047" t="s">
        <v>53</v>
      </c>
      <c r="F1047">
        <v>2</v>
      </c>
      <c r="G1047">
        <v>3</v>
      </c>
      <c r="H1047" t="s">
        <v>69</v>
      </c>
      <c r="I1047">
        <v>1474</v>
      </c>
      <c r="J1047">
        <v>3</v>
      </c>
      <c r="K1047" t="s">
        <v>54</v>
      </c>
      <c r="L1047">
        <v>68</v>
      </c>
      <c r="M1047">
        <v>3</v>
      </c>
      <c r="N1047">
        <v>1</v>
      </c>
      <c r="O1047" t="s">
        <v>55</v>
      </c>
      <c r="P1047">
        <v>3</v>
      </c>
      <c r="Q1047" t="s">
        <v>74</v>
      </c>
      <c r="R1047">
        <v>2345</v>
      </c>
      <c r="S1047">
        <v>8045</v>
      </c>
      <c r="T1047">
        <v>2</v>
      </c>
      <c r="U1047" t="s">
        <v>51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  <c r="AG1047" t="s">
        <v>45</v>
      </c>
      <c r="AH1047" t="s">
        <v>71</v>
      </c>
      <c r="AI1047">
        <v>0</v>
      </c>
      <c r="AJ1047" t="s">
        <v>65</v>
      </c>
      <c r="AK1047" t="s">
        <v>72</v>
      </c>
      <c r="AL1047" t="s">
        <v>66</v>
      </c>
      <c r="AM1047" t="s">
        <v>85</v>
      </c>
      <c r="AN1047">
        <f t="shared" si="16"/>
        <v>-1</v>
      </c>
    </row>
    <row r="1048" spans="1:40">
      <c r="A1048">
        <v>44</v>
      </c>
      <c r="B1048" t="s">
        <v>51</v>
      </c>
      <c r="C1048" t="s">
        <v>39</v>
      </c>
      <c r="D1048">
        <v>1467</v>
      </c>
      <c r="E1048" t="s">
        <v>53</v>
      </c>
      <c r="F1048">
        <v>20</v>
      </c>
      <c r="G1048">
        <v>3</v>
      </c>
      <c r="H1048" t="s">
        <v>41</v>
      </c>
      <c r="I1048">
        <v>1475</v>
      </c>
      <c r="J1048">
        <v>4</v>
      </c>
      <c r="K1048" t="s">
        <v>54</v>
      </c>
      <c r="L1048">
        <v>49</v>
      </c>
      <c r="M1048">
        <v>3</v>
      </c>
      <c r="N1048">
        <v>1</v>
      </c>
      <c r="O1048" t="s">
        <v>55</v>
      </c>
      <c r="P1048">
        <v>2</v>
      </c>
      <c r="Q1048" t="s">
        <v>44</v>
      </c>
      <c r="R1048">
        <v>3420</v>
      </c>
      <c r="S1048">
        <v>21158</v>
      </c>
      <c r="T1048">
        <v>1</v>
      </c>
      <c r="U1048" t="s">
        <v>51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  <c r="AG1048" t="s">
        <v>45</v>
      </c>
      <c r="AH1048" t="s">
        <v>46</v>
      </c>
      <c r="AI1048">
        <v>0</v>
      </c>
      <c r="AJ1048" t="s">
        <v>47</v>
      </c>
      <c r="AK1048" t="s">
        <v>72</v>
      </c>
      <c r="AL1048" t="s">
        <v>60</v>
      </c>
      <c r="AM1048" t="s">
        <v>70</v>
      </c>
      <c r="AN1048">
        <f t="shared" si="16"/>
        <v>6</v>
      </c>
    </row>
    <row r="1049" spans="1:40">
      <c r="A1049">
        <v>33</v>
      </c>
      <c r="B1049" t="s">
        <v>51</v>
      </c>
      <c r="C1049" t="s">
        <v>52</v>
      </c>
      <c r="D1049">
        <v>430</v>
      </c>
      <c r="E1049" t="s">
        <v>40</v>
      </c>
      <c r="F1049">
        <v>7</v>
      </c>
      <c r="G1049">
        <v>3</v>
      </c>
      <c r="H1049" t="s">
        <v>69</v>
      </c>
      <c r="I1049">
        <v>1477</v>
      </c>
      <c r="J1049">
        <v>4</v>
      </c>
      <c r="K1049" t="s">
        <v>54</v>
      </c>
      <c r="L1049">
        <v>54</v>
      </c>
      <c r="M1049">
        <v>3</v>
      </c>
      <c r="N1049">
        <v>2</v>
      </c>
      <c r="O1049" t="s">
        <v>43</v>
      </c>
      <c r="P1049">
        <v>1</v>
      </c>
      <c r="Q1049" t="s">
        <v>56</v>
      </c>
      <c r="R1049">
        <v>4373</v>
      </c>
      <c r="S1049">
        <v>17456</v>
      </c>
      <c r="T1049">
        <v>0</v>
      </c>
      <c r="U1049" t="s">
        <v>51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  <c r="AG1049" t="s">
        <v>67</v>
      </c>
      <c r="AH1049" t="s">
        <v>46</v>
      </c>
      <c r="AI1049">
        <v>0</v>
      </c>
      <c r="AJ1049" t="s">
        <v>65</v>
      </c>
      <c r="AK1049" t="s">
        <v>72</v>
      </c>
      <c r="AL1049" t="s">
        <v>73</v>
      </c>
      <c r="AM1049" t="s">
        <v>61</v>
      </c>
      <c r="AN1049">
        <f t="shared" si="16"/>
        <v>6</v>
      </c>
    </row>
    <row r="1050" spans="1:40">
      <c r="A1050">
        <v>34</v>
      </c>
      <c r="B1050" t="s">
        <v>51</v>
      </c>
      <c r="C1050" t="s">
        <v>39</v>
      </c>
      <c r="D1050">
        <v>1326</v>
      </c>
      <c r="E1050" t="s">
        <v>40</v>
      </c>
      <c r="F1050">
        <v>3</v>
      </c>
      <c r="G1050">
        <v>3</v>
      </c>
      <c r="H1050" t="s">
        <v>62</v>
      </c>
      <c r="I1050">
        <v>1478</v>
      </c>
      <c r="J1050">
        <v>4</v>
      </c>
      <c r="K1050" t="s">
        <v>54</v>
      </c>
      <c r="L1050">
        <v>81</v>
      </c>
      <c r="M1050">
        <v>1</v>
      </c>
      <c r="N1050">
        <v>2</v>
      </c>
      <c r="O1050" t="s">
        <v>43</v>
      </c>
      <c r="P1050">
        <v>1</v>
      </c>
      <c r="Q1050" t="s">
        <v>44</v>
      </c>
      <c r="R1050">
        <v>4759</v>
      </c>
      <c r="S1050">
        <v>15891</v>
      </c>
      <c r="T1050">
        <v>3</v>
      </c>
      <c r="U1050" t="s">
        <v>51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  <c r="AG1050" t="s">
        <v>67</v>
      </c>
      <c r="AH1050" t="s">
        <v>46</v>
      </c>
      <c r="AI1050">
        <v>0</v>
      </c>
      <c r="AJ1050" t="s">
        <v>80</v>
      </c>
      <c r="AK1050" t="s">
        <v>72</v>
      </c>
      <c r="AL1050" t="s">
        <v>73</v>
      </c>
      <c r="AM1050" t="s">
        <v>61</v>
      </c>
      <c r="AN1050">
        <f t="shared" si="16"/>
        <v>9</v>
      </c>
    </row>
    <row r="1051" spans="1:40">
      <c r="A1051">
        <v>30</v>
      </c>
      <c r="B1051" t="s">
        <v>51</v>
      </c>
      <c r="C1051" t="s">
        <v>39</v>
      </c>
      <c r="D1051">
        <v>1358</v>
      </c>
      <c r="E1051" t="s">
        <v>40</v>
      </c>
      <c r="F1051">
        <v>16</v>
      </c>
      <c r="G1051">
        <v>1</v>
      </c>
      <c r="H1051" t="s">
        <v>41</v>
      </c>
      <c r="I1051">
        <v>1479</v>
      </c>
      <c r="J1051">
        <v>4</v>
      </c>
      <c r="K1051" t="s">
        <v>54</v>
      </c>
      <c r="L1051">
        <v>96</v>
      </c>
      <c r="M1051">
        <v>3</v>
      </c>
      <c r="N1051">
        <v>2</v>
      </c>
      <c r="O1051" t="s">
        <v>43</v>
      </c>
      <c r="P1051">
        <v>3</v>
      </c>
      <c r="Q1051" t="s">
        <v>56</v>
      </c>
      <c r="R1051">
        <v>5301</v>
      </c>
      <c r="S1051">
        <v>2939</v>
      </c>
      <c r="T1051">
        <v>8</v>
      </c>
      <c r="U1051" t="s">
        <v>51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  <c r="AG1051" t="s">
        <v>67</v>
      </c>
      <c r="AH1051" t="s">
        <v>64</v>
      </c>
      <c r="AI1051">
        <v>0</v>
      </c>
      <c r="AJ1051" t="s">
        <v>47</v>
      </c>
      <c r="AK1051" t="s">
        <v>59</v>
      </c>
      <c r="AL1051" t="s">
        <v>66</v>
      </c>
      <c r="AM1051" t="s">
        <v>70</v>
      </c>
      <c r="AN1051">
        <f t="shared" si="16"/>
        <v>4</v>
      </c>
    </row>
    <row r="1052" spans="1:40">
      <c r="A1052">
        <v>42</v>
      </c>
      <c r="B1052" t="s">
        <v>51</v>
      </c>
      <c r="C1052" t="s">
        <v>52</v>
      </c>
      <c r="D1052">
        <v>748</v>
      </c>
      <c r="E1052" t="s">
        <v>53</v>
      </c>
      <c r="F1052">
        <v>9</v>
      </c>
      <c r="G1052">
        <v>2</v>
      </c>
      <c r="H1052" t="s">
        <v>69</v>
      </c>
      <c r="I1052">
        <v>1480</v>
      </c>
      <c r="J1052">
        <v>1</v>
      </c>
      <c r="K1052" t="s">
        <v>42</v>
      </c>
      <c r="L1052">
        <v>74</v>
      </c>
      <c r="M1052">
        <v>3</v>
      </c>
      <c r="N1052">
        <v>1</v>
      </c>
      <c r="O1052" t="s">
        <v>63</v>
      </c>
      <c r="P1052">
        <v>4</v>
      </c>
      <c r="Q1052" t="s">
        <v>44</v>
      </c>
      <c r="R1052">
        <v>3673</v>
      </c>
      <c r="S1052">
        <v>16458</v>
      </c>
      <c r="T1052">
        <v>1</v>
      </c>
      <c r="U1052" t="s">
        <v>51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  <c r="AG1052" t="s">
        <v>45</v>
      </c>
      <c r="AH1052" t="s">
        <v>46</v>
      </c>
      <c r="AI1052">
        <v>0</v>
      </c>
      <c r="AJ1052" t="s">
        <v>80</v>
      </c>
      <c r="AK1052" t="s">
        <v>48</v>
      </c>
      <c r="AL1052" t="s">
        <v>49</v>
      </c>
      <c r="AM1052" t="s">
        <v>61</v>
      </c>
      <c r="AN1052">
        <f t="shared" si="16"/>
        <v>2</v>
      </c>
    </row>
    <row r="1053" spans="1:40">
      <c r="A1053">
        <v>44</v>
      </c>
      <c r="B1053" t="s">
        <v>51</v>
      </c>
      <c r="C1053" t="s">
        <v>52</v>
      </c>
      <c r="D1053">
        <v>383</v>
      </c>
      <c r="E1053" t="s">
        <v>40</v>
      </c>
      <c r="F1053">
        <v>1</v>
      </c>
      <c r="G1053">
        <v>5</v>
      </c>
      <c r="H1053" t="s">
        <v>84</v>
      </c>
      <c r="I1053">
        <v>1481</v>
      </c>
      <c r="J1053">
        <v>1</v>
      </c>
      <c r="K1053" t="s">
        <v>42</v>
      </c>
      <c r="L1053">
        <v>79</v>
      </c>
      <c r="M1053">
        <v>3</v>
      </c>
      <c r="N1053">
        <v>2</v>
      </c>
      <c r="O1053" t="s">
        <v>43</v>
      </c>
      <c r="P1053">
        <v>3</v>
      </c>
      <c r="Q1053" t="s">
        <v>56</v>
      </c>
      <c r="R1053">
        <v>4768</v>
      </c>
      <c r="S1053">
        <v>9282</v>
      </c>
      <c r="T1053">
        <v>7</v>
      </c>
      <c r="U1053" t="s">
        <v>51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  <c r="AG1053" t="s">
        <v>45</v>
      </c>
      <c r="AH1053" t="s">
        <v>71</v>
      </c>
      <c r="AI1053">
        <v>0</v>
      </c>
      <c r="AJ1053" t="s">
        <v>47</v>
      </c>
      <c r="AK1053" t="s">
        <v>87</v>
      </c>
      <c r="AL1053" t="s">
        <v>66</v>
      </c>
      <c r="AM1053" t="s">
        <v>70</v>
      </c>
      <c r="AN1053">
        <f t="shared" si="16"/>
        <v>2</v>
      </c>
    </row>
    <row r="1054" spans="1:40">
      <c r="A1054">
        <v>30</v>
      </c>
      <c r="B1054" t="s">
        <v>51</v>
      </c>
      <c r="C1054" t="s">
        <v>77</v>
      </c>
      <c r="D1054">
        <v>990</v>
      </c>
      <c r="E1054" t="s">
        <v>53</v>
      </c>
      <c r="F1054">
        <v>7</v>
      </c>
      <c r="G1054">
        <v>3</v>
      </c>
      <c r="H1054" t="s">
        <v>86</v>
      </c>
      <c r="I1054">
        <v>1482</v>
      </c>
      <c r="J1054">
        <v>3</v>
      </c>
      <c r="K1054" t="s">
        <v>54</v>
      </c>
      <c r="L1054">
        <v>64</v>
      </c>
      <c r="M1054">
        <v>3</v>
      </c>
      <c r="N1054">
        <v>1</v>
      </c>
      <c r="O1054" t="s">
        <v>55</v>
      </c>
      <c r="P1054">
        <v>3</v>
      </c>
      <c r="Q1054" t="s">
        <v>74</v>
      </c>
      <c r="R1054">
        <v>1274</v>
      </c>
      <c r="S1054">
        <v>7152</v>
      </c>
      <c r="T1054">
        <v>1</v>
      </c>
      <c r="U1054" t="s">
        <v>51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  <c r="AG1054" t="s">
        <v>67</v>
      </c>
      <c r="AH1054" t="s">
        <v>71</v>
      </c>
      <c r="AI1054">
        <v>0</v>
      </c>
      <c r="AJ1054" t="s">
        <v>47</v>
      </c>
      <c r="AK1054" t="s">
        <v>72</v>
      </c>
      <c r="AL1054" t="s">
        <v>66</v>
      </c>
      <c r="AM1054" t="s">
        <v>70</v>
      </c>
      <c r="AN1054">
        <f t="shared" si="16"/>
        <v>2</v>
      </c>
    </row>
    <row r="1055" spans="1:40">
      <c r="A1055">
        <v>57</v>
      </c>
      <c r="B1055" t="s">
        <v>51</v>
      </c>
      <c r="C1055" t="s">
        <v>39</v>
      </c>
      <c r="D1055">
        <v>405</v>
      </c>
      <c r="E1055" t="s">
        <v>53</v>
      </c>
      <c r="F1055">
        <v>1</v>
      </c>
      <c r="G1055">
        <v>2</v>
      </c>
      <c r="H1055" t="s">
        <v>41</v>
      </c>
      <c r="I1055">
        <v>1483</v>
      </c>
      <c r="J1055">
        <v>2</v>
      </c>
      <c r="K1055" t="s">
        <v>54</v>
      </c>
      <c r="L1055">
        <v>93</v>
      </c>
      <c r="M1055">
        <v>4</v>
      </c>
      <c r="N1055">
        <v>2</v>
      </c>
      <c r="O1055" t="s">
        <v>55</v>
      </c>
      <c r="P1055">
        <v>3</v>
      </c>
      <c r="Q1055" t="s">
        <v>56</v>
      </c>
      <c r="R1055">
        <v>4900</v>
      </c>
      <c r="S1055">
        <v>2721</v>
      </c>
      <c r="T1055">
        <v>0</v>
      </c>
      <c r="U1055" t="s">
        <v>51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  <c r="AG1055" t="s">
        <v>57</v>
      </c>
      <c r="AH1055" t="s">
        <v>64</v>
      </c>
      <c r="AI1055">
        <v>0</v>
      </c>
      <c r="AJ1055" t="s">
        <v>47</v>
      </c>
      <c r="AK1055" t="s">
        <v>48</v>
      </c>
      <c r="AL1055" t="s">
        <v>66</v>
      </c>
      <c r="AM1055" t="s">
        <v>70</v>
      </c>
      <c r="AN1055">
        <f t="shared" si="16"/>
        <v>4</v>
      </c>
    </row>
    <row r="1056" spans="1:40">
      <c r="A1056">
        <v>49</v>
      </c>
      <c r="B1056" t="s">
        <v>51</v>
      </c>
      <c r="C1056" t="s">
        <v>39</v>
      </c>
      <c r="D1056">
        <v>1490</v>
      </c>
      <c r="E1056" t="s">
        <v>53</v>
      </c>
      <c r="F1056">
        <v>7</v>
      </c>
      <c r="G1056">
        <v>4</v>
      </c>
      <c r="H1056" t="s">
        <v>41</v>
      </c>
      <c r="I1056">
        <v>1484</v>
      </c>
      <c r="J1056">
        <v>3</v>
      </c>
      <c r="K1056" t="s">
        <v>54</v>
      </c>
      <c r="L1056">
        <v>35</v>
      </c>
      <c r="M1056">
        <v>3</v>
      </c>
      <c r="N1056">
        <v>3</v>
      </c>
      <c r="O1056" t="s">
        <v>76</v>
      </c>
      <c r="P1056">
        <v>2</v>
      </c>
      <c r="Q1056" t="s">
        <v>74</v>
      </c>
      <c r="R1056">
        <v>10466</v>
      </c>
      <c r="S1056">
        <v>20948</v>
      </c>
      <c r="T1056">
        <v>3</v>
      </c>
      <c r="U1056" t="s">
        <v>51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  <c r="AG1056" t="s">
        <v>57</v>
      </c>
      <c r="AH1056" t="s">
        <v>46</v>
      </c>
      <c r="AI1056">
        <v>0</v>
      </c>
      <c r="AJ1056" t="s">
        <v>58</v>
      </c>
      <c r="AK1056" t="s">
        <v>68</v>
      </c>
      <c r="AL1056" t="s">
        <v>60</v>
      </c>
      <c r="AM1056" t="s">
        <v>61</v>
      </c>
      <c r="AN1056">
        <f t="shared" si="16"/>
        <v>3</v>
      </c>
    </row>
    <row r="1057" spans="1:40">
      <c r="A1057">
        <v>34</v>
      </c>
      <c r="B1057" t="s">
        <v>51</v>
      </c>
      <c r="C1057" t="s">
        <v>52</v>
      </c>
      <c r="D1057">
        <v>829</v>
      </c>
      <c r="E1057" t="s">
        <v>53</v>
      </c>
      <c r="F1057">
        <v>15</v>
      </c>
      <c r="G1057">
        <v>3</v>
      </c>
      <c r="H1057" t="s">
        <v>69</v>
      </c>
      <c r="I1057">
        <v>1485</v>
      </c>
      <c r="J1057">
        <v>2</v>
      </c>
      <c r="K1057" t="s">
        <v>54</v>
      </c>
      <c r="L1057">
        <v>71</v>
      </c>
      <c r="M1057">
        <v>3</v>
      </c>
      <c r="N1057">
        <v>4</v>
      </c>
      <c r="O1057" t="s">
        <v>83</v>
      </c>
      <c r="P1057">
        <v>1</v>
      </c>
      <c r="Q1057" t="s">
        <v>74</v>
      </c>
      <c r="R1057">
        <v>17007</v>
      </c>
      <c r="S1057">
        <v>11929</v>
      </c>
      <c r="T1057">
        <v>7</v>
      </c>
      <c r="U1057" t="s">
        <v>51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  <c r="AG1057" t="s">
        <v>67</v>
      </c>
      <c r="AH1057" t="s">
        <v>46</v>
      </c>
      <c r="AI1057">
        <v>0</v>
      </c>
      <c r="AJ1057" t="s">
        <v>47</v>
      </c>
      <c r="AK1057" t="s">
        <v>72</v>
      </c>
      <c r="AL1057" t="s">
        <v>73</v>
      </c>
      <c r="AM1057" t="s">
        <v>70</v>
      </c>
      <c r="AN1057">
        <f t="shared" si="16"/>
        <v>14</v>
      </c>
    </row>
    <row r="1058" spans="1:40">
      <c r="A1058">
        <v>28</v>
      </c>
      <c r="B1058" t="s">
        <v>38</v>
      </c>
      <c r="C1058" t="s">
        <v>52</v>
      </c>
      <c r="D1058">
        <v>1496</v>
      </c>
      <c r="E1058" t="s">
        <v>40</v>
      </c>
      <c r="F1058">
        <v>1</v>
      </c>
      <c r="G1058">
        <v>3</v>
      </c>
      <c r="H1058" t="s">
        <v>86</v>
      </c>
      <c r="I1058">
        <v>1486</v>
      </c>
      <c r="J1058">
        <v>1</v>
      </c>
      <c r="K1058" t="s">
        <v>54</v>
      </c>
      <c r="L1058">
        <v>92</v>
      </c>
      <c r="M1058">
        <v>3</v>
      </c>
      <c r="N1058">
        <v>1</v>
      </c>
      <c r="O1058" t="s">
        <v>82</v>
      </c>
      <c r="P1058">
        <v>3</v>
      </c>
      <c r="Q1058" t="s">
        <v>56</v>
      </c>
      <c r="R1058">
        <v>2909</v>
      </c>
      <c r="S1058">
        <v>15747</v>
      </c>
      <c r="T1058">
        <v>3</v>
      </c>
      <c r="U1058" t="s">
        <v>51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  <c r="AG1058" t="s">
        <v>67</v>
      </c>
      <c r="AH1058" t="s">
        <v>46</v>
      </c>
      <c r="AI1058">
        <v>1</v>
      </c>
      <c r="AJ1058" t="s">
        <v>65</v>
      </c>
      <c r="AK1058" t="s">
        <v>72</v>
      </c>
      <c r="AL1058" t="s">
        <v>66</v>
      </c>
      <c r="AM1058" t="s">
        <v>85</v>
      </c>
      <c r="AN1058">
        <f t="shared" si="16"/>
        <v>-1</v>
      </c>
    </row>
    <row r="1059" spans="1:40">
      <c r="A1059">
        <v>29</v>
      </c>
      <c r="B1059" t="s">
        <v>38</v>
      </c>
      <c r="C1059" t="s">
        <v>52</v>
      </c>
      <c r="D1059">
        <v>115</v>
      </c>
      <c r="E1059" t="s">
        <v>40</v>
      </c>
      <c r="F1059">
        <v>13</v>
      </c>
      <c r="G1059">
        <v>3</v>
      </c>
      <c r="H1059" t="s">
        <v>86</v>
      </c>
      <c r="I1059">
        <v>1487</v>
      </c>
      <c r="J1059">
        <v>1</v>
      </c>
      <c r="K1059" t="s">
        <v>42</v>
      </c>
      <c r="L1059">
        <v>51</v>
      </c>
      <c r="M1059">
        <v>3</v>
      </c>
      <c r="N1059">
        <v>2</v>
      </c>
      <c r="O1059" t="s">
        <v>43</v>
      </c>
      <c r="P1059">
        <v>2</v>
      </c>
      <c r="Q1059" t="s">
        <v>44</v>
      </c>
      <c r="R1059">
        <v>5765</v>
      </c>
      <c r="S1059">
        <v>17485</v>
      </c>
      <c r="T1059">
        <v>5</v>
      </c>
      <c r="U1059" t="s">
        <v>51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  <c r="AG1059" t="s">
        <v>67</v>
      </c>
      <c r="AH1059" t="s">
        <v>46</v>
      </c>
      <c r="AI1059">
        <v>1</v>
      </c>
      <c r="AJ1059" t="s">
        <v>47</v>
      </c>
      <c r="AK1059" t="s">
        <v>72</v>
      </c>
      <c r="AL1059" t="s">
        <v>60</v>
      </c>
      <c r="AM1059" t="s">
        <v>50</v>
      </c>
      <c r="AN1059">
        <f t="shared" si="16"/>
        <v>7</v>
      </c>
    </row>
    <row r="1060" spans="1:40">
      <c r="A1060">
        <v>34</v>
      </c>
      <c r="B1060" t="s">
        <v>38</v>
      </c>
      <c r="C1060" t="s">
        <v>39</v>
      </c>
      <c r="D1060">
        <v>790</v>
      </c>
      <c r="E1060" t="s">
        <v>40</v>
      </c>
      <c r="F1060">
        <v>24</v>
      </c>
      <c r="G1060">
        <v>4</v>
      </c>
      <c r="H1060" t="s">
        <v>69</v>
      </c>
      <c r="I1060">
        <v>1489</v>
      </c>
      <c r="J1060">
        <v>1</v>
      </c>
      <c r="K1060" t="s">
        <v>42</v>
      </c>
      <c r="L1060">
        <v>40</v>
      </c>
      <c r="M1060">
        <v>2</v>
      </c>
      <c r="N1060">
        <v>2</v>
      </c>
      <c r="O1060" t="s">
        <v>43</v>
      </c>
      <c r="P1060">
        <v>2</v>
      </c>
      <c r="Q1060" t="s">
        <v>44</v>
      </c>
      <c r="R1060">
        <v>4599</v>
      </c>
      <c r="S1060">
        <v>7815</v>
      </c>
      <c r="T1060">
        <v>0</v>
      </c>
      <c r="U1060" t="s">
        <v>38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  <c r="AG1060" t="s">
        <v>67</v>
      </c>
      <c r="AH1060" t="s">
        <v>71</v>
      </c>
      <c r="AI1060">
        <v>1</v>
      </c>
      <c r="AJ1060" t="s">
        <v>80</v>
      </c>
      <c r="AK1060" t="s">
        <v>68</v>
      </c>
      <c r="AL1060" t="s">
        <v>60</v>
      </c>
      <c r="AM1060" t="s">
        <v>85</v>
      </c>
      <c r="AN1060">
        <f t="shared" si="16"/>
        <v>11</v>
      </c>
    </row>
    <row r="1061" spans="1:40">
      <c r="A1061">
        <v>35</v>
      </c>
      <c r="B1061" t="s">
        <v>51</v>
      </c>
      <c r="C1061" t="s">
        <v>39</v>
      </c>
      <c r="D1061">
        <v>660</v>
      </c>
      <c r="E1061" t="s">
        <v>40</v>
      </c>
      <c r="F1061">
        <v>7</v>
      </c>
      <c r="G1061">
        <v>1</v>
      </c>
      <c r="H1061" t="s">
        <v>41</v>
      </c>
      <c r="I1061">
        <v>1492</v>
      </c>
      <c r="J1061">
        <v>4</v>
      </c>
      <c r="K1061" t="s">
        <v>54</v>
      </c>
      <c r="L1061">
        <v>76</v>
      </c>
      <c r="M1061">
        <v>3</v>
      </c>
      <c r="N1061">
        <v>1</v>
      </c>
      <c r="O1061" t="s">
        <v>82</v>
      </c>
      <c r="P1061">
        <v>3</v>
      </c>
      <c r="Q1061" t="s">
        <v>56</v>
      </c>
      <c r="R1061">
        <v>2404</v>
      </c>
      <c r="S1061">
        <v>16192</v>
      </c>
      <c r="T1061">
        <v>1</v>
      </c>
      <c r="U1061" t="s">
        <v>51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  <c r="AG1061" t="s">
        <v>67</v>
      </c>
      <c r="AH1061" t="s">
        <v>46</v>
      </c>
      <c r="AI1061">
        <v>0</v>
      </c>
      <c r="AJ1061" t="s">
        <v>65</v>
      </c>
      <c r="AK1061" t="s">
        <v>59</v>
      </c>
      <c r="AL1061" t="s">
        <v>66</v>
      </c>
      <c r="AM1061" t="s">
        <v>61</v>
      </c>
      <c r="AN1061">
        <f t="shared" si="16"/>
        <v>0</v>
      </c>
    </row>
    <row r="1062" spans="1:40">
      <c r="A1062">
        <v>24</v>
      </c>
      <c r="B1062" t="s">
        <v>38</v>
      </c>
      <c r="C1062" t="s">
        <v>52</v>
      </c>
      <c r="D1062">
        <v>381</v>
      </c>
      <c r="E1062" t="s">
        <v>53</v>
      </c>
      <c r="F1062">
        <v>9</v>
      </c>
      <c r="G1062">
        <v>3</v>
      </c>
      <c r="H1062" t="s">
        <v>69</v>
      </c>
      <c r="I1062">
        <v>1494</v>
      </c>
      <c r="J1062">
        <v>2</v>
      </c>
      <c r="K1062" t="s">
        <v>54</v>
      </c>
      <c r="L1062">
        <v>89</v>
      </c>
      <c r="M1062">
        <v>3</v>
      </c>
      <c r="N1062">
        <v>1</v>
      </c>
      <c r="O1062" t="s">
        <v>63</v>
      </c>
      <c r="P1062">
        <v>1</v>
      </c>
      <c r="Q1062" t="s">
        <v>44</v>
      </c>
      <c r="R1062">
        <v>3172</v>
      </c>
      <c r="S1062">
        <v>16998</v>
      </c>
      <c r="T1062">
        <v>2</v>
      </c>
      <c r="U1062" t="s">
        <v>38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  <c r="AG1062" t="s">
        <v>78</v>
      </c>
      <c r="AH1062" t="s">
        <v>46</v>
      </c>
      <c r="AI1062">
        <v>1</v>
      </c>
      <c r="AJ1062" t="s">
        <v>47</v>
      </c>
      <c r="AK1062" t="s">
        <v>72</v>
      </c>
      <c r="AL1062" t="s">
        <v>73</v>
      </c>
      <c r="AM1062" t="s">
        <v>70</v>
      </c>
      <c r="AN1062">
        <f t="shared" si="16"/>
        <v>8</v>
      </c>
    </row>
    <row r="1063" spans="1:40">
      <c r="A1063">
        <v>24</v>
      </c>
      <c r="B1063" t="s">
        <v>51</v>
      </c>
      <c r="C1063" t="s">
        <v>77</v>
      </c>
      <c r="D1063">
        <v>830</v>
      </c>
      <c r="E1063" t="s">
        <v>40</v>
      </c>
      <c r="F1063">
        <v>13</v>
      </c>
      <c r="G1063">
        <v>2</v>
      </c>
      <c r="H1063" t="s">
        <v>41</v>
      </c>
      <c r="I1063">
        <v>1495</v>
      </c>
      <c r="J1063">
        <v>4</v>
      </c>
      <c r="K1063" t="s">
        <v>42</v>
      </c>
      <c r="L1063">
        <v>78</v>
      </c>
      <c r="M1063">
        <v>3</v>
      </c>
      <c r="N1063">
        <v>1</v>
      </c>
      <c r="O1063" t="s">
        <v>82</v>
      </c>
      <c r="P1063">
        <v>2</v>
      </c>
      <c r="Q1063" t="s">
        <v>56</v>
      </c>
      <c r="R1063">
        <v>2033</v>
      </c>
      <c r="S1063">
        <v>7103</v>
      </c>
      <c r="T1063">
        <v>1</v>
      </c>
      <c r="U1063" t="s">
        <v>51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  <c r="AG1063" t="s">
        <v>78</v>
      </c>
      <c r="AH1063" t="s">
        <v>71</v>
      </c>
      <c r="AI1063">
        <v>0</v>
      </c>
      <c r="AJ1063" t="s">
        <v>65</v>
      </c>
      <c r="AK1063" t="s">
        <v>48</v>
      </c>
      <c r="AL1063" t="s">
        <v>60</v>
      </c>
      <c r="AM1063" t="s">
        <v>61</v>
      </c>
      <c r="AN1063">
        <f t="shared" si="16"/>
        <v>3</v>
      </c>
    </row>
    <row r="1064" spans="1:40">
      <c r="A1064">
        <v>44</v>
      </c>
      <c r="B1064" t="s">
        <v>51</v>
      </c>
      <c r="C1064" t="s">
        <v>52</v>
      </c>
      <c r="D1064">
        <v>1193</v>
      </c>
      <c r="E1064" t="s">
        <v>53</v>
      </c>
      <c r="F1064">
        <v>2</v>
      </c>
      <c r="G1064">
        <v>1</v>
      </c>
      <c r="H1064" t="s">
        <v>69</v>
      </c>
      <c r="I1064">
        <v>1496</v>
      </c>
      <c r="J1064">
        <v>2</v>
      </c>
      <c r="K1064" t="s">
        <v>54</v>
      </c>
      <c r="L1064">
        <v>86</v>
      </c>
      <c r="M1064">
        <v>3</v>
      </c>
      <c r="N1064">
        <v>3</v>
      </c>
      <c r="O1064" t="s">
        <v>75</v>
      </c>
      <c r="P1064">
        <v>3</v>
      </c>
      <c r="Q1064" t="s">
        <v>44</v>
      </c>
      <c r="R1064">
        <v>10209</v>
      </c>
      <c r="S1064">
        <v>19719</v>
      </c>
      <c r="T1064">
        <v>5</v>
      </c>
      <c r="U1064" t="s">
        <v>38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 t="s">
        <v>45</v>
      </c>
      <c r="AH1064" t="s">
        <v>46</v>
      </c>
      <c r="AI1064">
        <v>0</v>
      </c>
      <c r="AJ1064" t="s">
        <v>47</v>
      </c>
      <c r="AK1064" t="s">
        <v>59</v>
      </c>
      <c r="AL1064" t="s">
        <v>66</v>
      </c>
      <c r="AM1064" t="s">
        <v>70</v>
      </c>
      <c r="AN1064">
        <f t="shared" si="16"/>
        <v>4</v>
      </c>
    </row>
    <row r="1065" spans="1:40">
      <c r="A1065">
        <v>29</v>
      </c>
      <c r="B1065" t="s">
        <v>51</v>
      </c>
      <c r="C1065" t="s">
        <v>39</v>
      </c>
      <c r="D1065">
        <v>1246</v>
      </c>
      <c r="E1065" t="s">
        <v>40</v>
      </c>
      <c r="F1065">
        <v>19</v>
      </c>
      <c r="G1065">
        <v>3</v>
      </c>
      <c r="H1065" t="s">
        <v>41</v>
      </c>
      <c r="I1065">
        <v>1497</v>
      </c>
      <c r="J1065">
        <v>3</v>
      </c>
      <c r="K1065" t="s">
        <v>54</v>
      </c>
      <c r="L1065">
        <v>77</v>
      </c>
      <c r="M1065">
        <v>2</v>
      </c>
      <c r="N1065">
        <v>2</v>
      </c>
      <c r="O1065" t="s">
        <v>43</v>
      </c>
      <c r="P1065">
        <v>3</v>
      </c>
      <c r="Q1065" t="s">
        <v>74</v>
      </c>
      <c r="R1065">
        <v>8620</v>
      </c>
      <c r="S1065">
        <v>23757</v>
      </c>
      <c r="T1065">
        <v>1</v>
      </c>
      <c r="U1065" t="s">
        <v>51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  <c r="AG1065" t="s">
        <v>67</v>
      </c>
      <c r="AH1065" t="s">
        <v>46</v>
      </c>
      <c r="AI1065">
        <v>0</v>
      </c>
      <c r="AJ1065" t="s">
        <v>58</v>
      </c>
      <c r="AK1065" t="s">
        <v>72</v>
      </c>
      <c r="AL1065" t="s">
        <v>66</v>
      </c>
      <c r="AM1065" t="s">
        <v>61</v>
      </c>
      <c r="AN1065">
        <f t="shared" si="16"/>
        <v>0</v>
      </c>
    </row>
    <row r="1066" spans="1:40">
      <c r="A1066">
        <v>30</v>
      </c>
      <c r="B1066" t="s">
        <v>51</v>
      </c>
      <c r="C1066" t="s">
        <v>39</v>
      </c>
      <c r="D1066">
        <v>330</v>
      </c>
      <c r="E1066" t="s">
        <v>88</v>
      </c>
      <c r="F1066">
        <v>1</v>
      </c>
      <c r="G1066">
        <v>3</v>
      </c>
      <c r="H1066" t="s">
        <v>41</v>
      </c>
      <c r="I1066">
        <v>1499</v>
      </c>
      <c r="J1066">
        <v>3</v>
      </c>
      <c r="K1066" t="s">
        <v>54</v>
      </c>
      <c r="L1066">
        <v>46</v>
      </c>
      <c r="M1066">
        <v>3</v>
      </c>
      <c r="N1066">
        <v>1</v>
      </c>
      <c r="O1066" t="s">
        <v>88</v>
      </c>
      <c r="P1066">
        <v>3</v>
      </c>
      <c r="Q1066" t="s">
        <v>74</v>
      </c>
      <c r="R1066">
        <v>2064</v>
      </c>
      <c r="S1066">
        <v>15428</v>
      </c>
      <c r="T1066">
        <v>0</v>
      </c>
      <c r="U1066" t="s">
        <v>51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  <c r="AG1066" t="s">
        <v>67</v>
      </c>
      <c r="AH1066" t="s">
        <v>46</v>
      </c>
      <c r="AI1066">
        <v>0</v>
      </c>
      <c r="AJ1066" t="s">
        <v>65</v>
      </c>
      <c r="AK1066" t="s">
        <v>72</v>
      </c>
      <c r="AL1066" t="s">
        <v>66</v>
      </c>
      <c r="AM1066" t="s">
        <v>85</v>
      </c>
      <c r="AN1066">
        <f t="shared" si="16"/>
        <v>-1</v>
      </c>
    </row>
    <row r="1067" spans="1:40">
      <c r="A1067">
        <v>55</v>
      </c>
      <c r="B1067" t="s">
        <v>51</v>
      </c>
      <c r="C1067" t="s">
        <v>39</v>
      </c>
      <c r="D1067">
        <v>1229</v>
      </c>
      <c r="E1067" t="s">
        <v>53</v>
      </c>
      <c r="F1067">
        <v>4</v>
      </c>
      <c r="G1067">
        <v>4</v>
      </c>
      <c r="H1067" t="s">
        <v>41</v>
      </c>
      <c r="I1067">
        <v>1501</v>
      </c>
      <c r="J1067">
        <v>4</v>
      </c>
      <c r="K1067" t="s">
        <v>54</v>
      </c>
      <c r="L1067">
        <v>30</v>
      </c>
      <c r="M1067">
        <v>3</v>
      </c>
      <c r="N1067">
        <v>2</v>
      </c>
      <c r="O1067" t="s">
        <v>76</v>
      </c>
      <c r="P1067">
        <v>3</v>
      </c>
      <c r="Q1067" t="s">
        <v>56</v>
      </c>
      <c r="R1067">
        <v>4035</v>
      </c>
      <c r="S1067">
        <v>16143</v>
      </c>
      <c r="T1067">
        <v>0</v>
      </c>
      <c r="U1067" t="s">
        <v>38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  <c r="AG1067" t="s">
        <v>57</v>
      </c>
      <c r="AH1067" t="s">
        <v>46</v>
      </c>
      <c r="AI1067">
        <v>0</v>
      </c>
      <c r="AJ1067" t="s">
        <v>65</v>
      </c>
      <c r="AK1067" t="s">
        <v>68</v>
      </c>
      <c r="AL1067" t="s">
        <v>66</v>
      </c>
      <c r="AM1067" t="s">
        <v>61</v>
      </c>
      <c r="AN1067">
        <f t="shared" si="16"/>
        <v>1</v>
      </c>
    </row>
    <row r="1068" spans="1:40">
      <c r="A1068">
        <v>33</v>
      </c>
      <c r="B1068" t="s">
        <v>51</v>
      </c>
      <c r="C1068" t="s">
        <v>39</v>
      </c>
      <c r="D1068">
        <v>1099</v>
      </c>
      <c r="E1068" t="s">
        <v>53</v>
      </c>
      <c r="F1068">
        <v>4</v>
      </c>
      <c r="G1068">
        <v>4</v>
      </c>
      <c r="H1068" t="s">
        <v>69</v>
      </c>
      <c r="I1068">
        <v>1502</v>
      </c>
      <c r="J1068">
        <v>1</v>
      </c>
      <c r="K1068" t="s">
        <v>42</v>
      </c>
      <c r="L1068">
        <v>82</v>
      </c>
      <c r="M1068">
        <v>2</v>
      </c>
      <c r="N1068">
        <v>1</v>
      </c>
      <c r="O1068" t="s">
        <v>63</v>
      </c>
      <c r="P1068">
        <v>2</v>
      </c>
      <c r="Q1068" t="s">
        <v>56</v>
      </c>
      <c r="R1068">
        <v>3838</v>
      </c>
      <c r="S1068">
        <v>8192</v>
      </c>
      <c r="T1068">
        <v>8</v>
      </c>
      <c r="U1068" t="s">
        <v>51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  <c r="AG1068" t="s">
        <v>67</v>
      </c>
      <c r="AH1068" t="s">
        <v>71</v>
      </c>
      <c r="AI1068">
        <v>0</v>
      </c>
      <c r="AJ1068" t="s">
        <v>65</v>
      </c>
      <c r="AK1068" t="s">
        <v>68</v>
      </c>
      <c r="AL1068" t="s">
        <v>60</v>
      </c>
      <c r="AM1068" t="s">
        <v>61</v>
      </c>
      <c r="AN1068">
        <f t="shared" si="16"/>
        <v>3</v>
      </c>
    </row>
    <row r="1069" spans="1:40">
      <c r="A1069">
        <v>47</v>
      </c>
      <c r="B1069" t="s">
        <v>51</v>
      </c>
      <c r="C1069" t="s">
        <v>39</v>
      </c>
      <c r="D1069">
        <v>571</v>
      </c>
      <c r="E1069" t="s">
        <v>40</v>
      </c>
      <c r="F1069">
        <v>14</v>
      </c>
      <c r="G1069">
        <v>3</v>
      </c>
      <c r="H1069" t="s">
        <v>69</v>
      </c>
      <c r="I1069">
        <v>1503</v>
      </c>
      <c r="J1069">
        <v>3</v>
      </c>
      <c r="K1069" t="s">
        <v>42</v>
      </c>
      <c r="L1069">
        <v>78</v>
      </c>
      <c r="M1069">
        <v>3</v>
      </c>
      <c r="N1069">
        <v>2</v>
      </c>
      <c r="O1069" t="s">
        <v>43</v>
      </c>
      <c r="P1069">
        <v>3</v>
      </c>
      <c r="Q1069" t="s">
        <v>56</v>
      </c>
      <c r="R1069">
        <v>4591</v>
      </c>
      <c r="S1069">
        <v>24200</v>
      </c>
      <c r="T1069">
        <v>3</v>
      </c>
      <c r="U1069" t="s">
        <v>38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  <c r="AG1069" t="s">
        <v>57</v>
      </c>
      <c r="AH1069" t="s">
        <v>46</v>
      </c>
      <c r="AI1069">
        <v>0</v>
      </c>
      <c r="AJ1069" t="s">
        <v>47</v>
      </c>
      <c r="AK1069" t="s">
        <v>72</v>
      </c>
      <c r="AL1069" t="s">
        <v>66</v>
      </c>
      <c r="AM1069" t="s">
        <v>70</v>
      </c>
      <c r="AN1069">
        <f t="shared" si="16"/>
        <v>3</v>
      </c>
    </row>
    <row r="1070" spans="1:40">
      <c r="A1070">
        <v>28</v>
      </c>
      <c r="B1070" t="s">
        <v>38</v>
      </c>
      <c r="C1070" t="s">
        <v>52</v>
      </c>
      <c r="D1070">
        <v>289</v>
      </c>
      <c r="E1070" t="s">
        <v>53</v>
      </c>
      <c r="F1070">
        <v>2</v>
      </c>
      <c r="G1070">
        <v>2</v>
      </c>
      <c r="H1070" t="s">
        <v>69</v>
      </c>
      <c r="I1070">
        <v>1504</v>
      </c>
      <c r="J1070">
        <v>3</v>
      </c>
      <c r="K1070" t="s">
        <v>54</v>
      </c>
      <c r="L1070">
        <v>38</v>
      </c>
      <c r="M1070">
        <v>2</v>
      </c>
      <c r="N1070">
        <v>1</v>
      </c>
      <c r="O1070" t="s">
        <v>63</v>
      </c>
      <c r="P1070">
        <v>1</v>
      </c>
      <c r="Q1070" t="s">
        <v>44</v>
      </c>
      <c r="R1070">
        <v>2561</v>
      </c>
      <c r="S1070">
        <v>5355</v>
      </c>
      <c r="T1070">
        <v>7</v>
      </c>
      <c r="U1070" t="s">
        <v>51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  <c r="AG1070" t="s">
        <v>67</v>
      </c>
      <c r="AH1070" t="s">
        <v>81</v>
      </c>
      <c r="AI1070">
        <v>1</v>
      </c>
      <c r="AJ1070" t="s">
        <v>47</v>
      </c>
      <c r="AK1070" t="s">
        <v>48</v>
      </c>
      <c r="AL1070" t="s">
        <v>73</v>
      </c>
      <c r="AM1070" t="s">
        <v>70</v>
      </c>
      <c r="AN1070">
        <f t="shared" si="16"/>
        <v>8</v>
      </c>
    </row>
    <row r="1071" spans="1:40">
      <c r="A1071">
        <v>28</v>
      </c>
      <c r="B1071" t="s">
        <v>51</v>
      </c>
      <c r="C1071" t="s">
        <v>39</v>
      </c>
      <c r="D1071">
        <v>1423</v>
      </c>
      <c r="E1071" t="s">
        <v>53</v>
      </c>
      <c r="F1071">
        <v>1</v>
      </c>
      <c r="G1071">
        <v>3</v>
      </c>
      <c r="H1071" t="s">
        <v>41</v>
      </c>
      <c r="I1071">
        <v>1506</v>
      </c>
      <c r="J1071">
        <v>1</v>
      </c>
      <c r="K1071" t="s">
        <v>54</v>
      </c>
      <c r="L1071">
        <v>72</v>
      </c>
      <c r="M1071">
        <v>2</v>
      </c>
      <c r="N1071">
        <v>1</v>
      </c>
      <c r="O1071" t="s">
        <v>55</v>
      </c>
      <c r="P1071">
        <v>3</v>
      </c>
      <c r="Q1071" t="s">
        <v>74</v>
      </c>
      <c r="R1071">
        <v>1563</v>
      </c>
      <c r="S1071">
        <v>12530</v>
      </c>
      <c r="T1071">
        <v>1</v>
      </c>
      <c r="U1071" t="s">
        <v>51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 t="s">
        <v>67</v>
      </c>
      <c r="AH1071" t="s">
        <v>46</v>
      </c>
      <c r="AI1071">
        <v>0</v>
      </c>
      <c r="AJ1071" t="s">
        <v>47</v>
      </c>
      <c r="AK1071" t="s">
        <v>72</v>
      </c>
      <c r="AL1071" t="s">
        <v>66</v>
      </c>
      <c r="AM1071" t="s">
        <v>50</v>
      </c>
      <c r="AN1071">
        <f t="shared" si="16"/>
        <v>4</v>
      </c>
    </row>
    <row r="1072" spans="1:40">
      <c r="A1072">
        <v>28</v>
      </c>
      <c r="B1072" t="s">
        <v>51</v>
      </c>
      <c r="C1072" t="s">
        <v>52</v>
      </c>
      <c r="D1072">
        <v>467</v>
      </c>
      <c r="E1072" t="s">
        <v>40</v>
      </c>
      <c r="F1072">
        <v>7</v>
      </c>
      <c r="G1072">
        <v>3</v>
      </c>
      <c r="H1072" t="s">
        <v>41</v>
      </c>
      <c r="I1072">
        <v>1507</v>
      </c>
      <c r="J1072">
        <v>3</v>
      </c>
      <c r="K1072" t="s">
        <v>54</v>
      </c>
      <c r="L1072">
        <v>55</v>
      </c>
      <c r="M1072">
        <v>3</v>
      </c>
      <c r="N1072">
        <v>2</v>
      </c>
      <c r="O1072" t="s">
        <v>43</v>
      </c>
      <c r="P1072">
        <v>1</v>
      </c>
      <c r="Q1072" t="s">
        <v>44</v>
      </c>
      <c r="R1072">
        <v>4898</v>
      </c>
      <c r="S1072">
        <v>11827</v>
      </c>
      <c r="T1072">
        <v>0</v>
      </c>
      <c r="U1072" t="s">
        <v>51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  <c r="AG1072" t="s">
        <v>67</v>
      </c>
      <c r="AH1072" t="s">
        <v>46</v>
      </c>
      <c r="AI1072">
        <v>0</v>
      </c>
      <c r="AJ1072" t="s">
        <v>65</v>
      </c>
      <c r="AK1072" t="s">
        <v>72</v>
      </c>
      <c r="AL1072" t="s">
        <v>73</v>
      </c>
      <c r="AM1072" t="s">
        <v>61</v>
      </c>
      <c r="AN1072">
        <f t="shared" si="16"/>
        <v>7</v>
      </c>
    </row>
    <row r="1073" spans="1:40">
      <c r="A1073">
        <v>49</v>
      </c>
      <c r="B1073" t="s">
        <v>51</v>
      </c>
      <c r="C1073" t="s">
        <v>39</v>
      </c>
      <c r="D1073">
        <v>271</v>
      </c>
      <c r="E1073" t="s">
        <v>53</v>
      </c>
      <c r="F1073">
        <v>3</v>
      </c>
      <c r="G1073">
        <v>2</v>
      </c>
      <c r="H1073" t="s">
        <v>69</v>
      </c>
      <c r="I1073">
        <v>1509</v>
      </c>
      <c r="J1073">
        <v>3</v>
      </c>
      <c r="K1073" t="s">
        <v>42</v>
      </c>
      <c r="L1073">
        <v>43</v>
      </c>
      <c r="M1073">
        <v>2</v>
      </c>
      <c r="N1073">
        <v>2</v>
      </c>
      <c r="O1073" t="s">
        <v>63</v>
      </c>
      <c r="P1073">
        <v>1</v>
      </c>
      <c r="Q1073" t="s">
        <v>56</v>
      </c>
      <c r="R1073">
        <v>4789</v>
      </c>
      <c r="S1073">
        <v>23070</v>
      </c>
      <c r="T1073">
        <v>4</v>
      </c>
      <c r="U1073" t="s">
        <v>51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  <c r="AG1073" t="s">
        <v>57</v>
      </c>
      <c r="AH1073" t="s">
        <v>46</v>
      </c>
      <c r="AI1073">
        <v>0</v>
      </c>
      <c r="AJ1073" t="s">
        <v>65</v>
      </c>
      <c r="AK1073" t="s">
        <v>48</v>
      </c>
      <c r="AL1073" t="s">
        <v>73</v>
      </c>
      <c r="AM1073" t="s">
        <v>61</v>
      </c>
      <c r="AN1073">
        <f t="shared" si="16"/>
        <v>7</v>
      </c>
    </row>
    <row r="1074" spans="1:40">
      <c r="A1074">
        <v>29</v>
      </c>
      <c r="B1074" t="s">
        <v>51</v>
      </c>
      <c r="C1074" t="s">
        <v>52</v>
      </c>
      <c r="D1074">
        <v>410</v>
      </c>
      <c r="E1074" t="s">
        <v>53</v>
      </c>
      <c r="F1074">
        <v>2</v>
      </c>
      <c r="G1074">
        <v>1</v>
      </c>
      <c r="H1074" t="s">
        <v>41</v>
      </c>
      <c r="I1074">
        <v>1513</v>
      </c>
      <c r="J1074">
        <v>4</v>
      </c>
      <c r="K1074" t="s">
        <v>42</v>
      </c>
      <c r="L1074">
        <v>97</v>
      </c>
      <c r="M1074">
        <v>3</v>
      </c>
      <c r="N1074">
        <v>1</v>
      </c>
      <c r="O1074" t="s">
        <v>63</v>
      </c>
      <c r="P1074">
        <v>2</v>
      </c>
      <c r="Q1074" t="s">
        <v>56</v>
      </c>
      <c r="R1074">
        <v>3180</v>
      </c>
      <c r="S1074">
        <v>4668</v>
      </c>
      <c r="T1074">
        <v>0</v>
      </c>
      <c r="U1074" t="s">
        <v>51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  <c r="AG1074" t="s">
        <v>67</v>
      </c>
      <c r="AH1074" t="s">
        <v>81</v>
      </c>
      <c r="AI1074">
        <v>0</v>
      </c>
      <c r="AJ1074" t="s">
        <v>65</v>
      </c>
      <c r="AK1074" t="s">
        <v>59</v>
      </c>
      <c r="AL1074" t="s">
        <v>60</v>
      </c>
      <c r="AM1074" t="s">
        <v>61</v>
      </c>
      <c r="AN1074">
        <f t="shared" si="16"/>
        <v>3</v>
      </c>
    </row>
    <row r="1075" spans="1:40">
      <c r="A1075">
        <v>28</v>
      </c>
      <c r="B1075" t="s">
        <v>51</v>
      </c>
      <c r="C1075" t="s">
        <v>39</v>
      </c>
      <c r="D1075">
        <v>1083</v>
      </c>
      <c r="E1075" t="s">
        <v>53</v>
      </c>
      <c r="F1075">
        <v>29</v>
      </c>
      <c r="G1075">
        <v>1</v>
      </c>
      <c r="H1075" t="s">
        <v>41</v>
      </c>
      <c r="I1075">
        <v>1514</v>
      </c>
      <c r="J1075">
        <v>3</v>
      </c>
      <c r="K1075" t="s">
        <v>54</v>
      </c>
      <c r="L1075">
        <v>96</v>
      </c>
      <c r="M1075">
        <v>1</v>
      </c>
      <c r="N1075">
        <v>2</v>
      </c>
      <c r="O1075" t="s">
        <v>75</v>
      </c>
      <c r="P1075">
        <v>2</v>
      </c>
      <c r="Q1075" t="s">
        <v>56</v>
      </c>
      <c r="R1075">
        <v>6549</v>
      </c>
      <c r="S1075">
        <v>3173</v>
      </c>
      <c r="T1075">
        <v>1</v>
      </c>
      <c r="U1075" t="s">
        <v>51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  <c r="AG1075" t="s">
        <v>67</v>
      </c>
      <c r="AH1075" t="s">
        <v>81</v>
      </c>
      <c r="AI1075">
        <v>0</v>
      </c>
      <c r="AJ1075" t="s">
        <v>47</v>
      </c>
      <c r="AK1075" t="s">
        <v>59</v>
      </c>
      <c r="AL1075" t="s">
        <v>60</v>
      </c>
      <c r="AM1075" t="s">
        <v>70</v>
      </c>
      <c r="AN1075">
        <f t="shared" si="16"/>
        <v>6</v>
      </c>
    </row>
    <row r="1076" spans="1:40">
      <c r="A1076">
        <v>33</v>
      </c>
      <c r="B1076" t="s">
        <v>51</v>
      </c>
      <c r="C1076" t="s">
        <v>39</v>
      </c>
      <c r="D1076">
        <v>516</v>
      </c>
      <c r="E1076" t="s">
        <v>53</v>
      </c>
      <c r="F1076">
        <v>8</v>
      </c>
      <c r="G1076">
        <v>5</v>
      </c>
      <c r="H1076" t="s">
        <v>41</v>
      </c>
      <c r="I1076">
        <v>1515</v>
      </c>
      <c r="J1076">
        <v>4</v>
      </c>
      <c r="K1076" t="s">
        <v>54</v>
      </c>
      <c r="L1076">
        <v>69</v>
      </c>
      <c r="M1076">
        <v>3</v>
      </c>
      <c r="N1076">
        <v>2</v>
      </c>
      <c r="O1076" t="s">
        <v>76</v>
      </c>
      <c r="P1076">
        <v>3</v>
      </c>
      <c r="Q1076" t="s">
        <v>44</v>
      </c>
      <c r="R1076">
        <v>6388</v>
      </c>
      <c r="S1076">
        <v>22049</v>
      </c>
      <c r="T1076">
        <v>2</v>
      </c>
      <c r="U1076" t="s">
        <v>38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  <c r="AG1076" t="s">
        <v>67</v>
      </c>
      <c r="AH1076" t="s">
        <v>46</v>
      </c>
      <c r="AI1076">
        <v>0</v>
      </c>
      <c r="AJ1076" t="s">
        <v>65</v>
      </c>
      <c r="AK1076" t="s">
        <v>87</v>
      </c>
      <c r="AL1076" t="s">
        <v>66</v>
      </c>
      <c r="AM1076" t="s">
        <v>61</v>
      </c>
      <c r="AN1076">
        <f t="shared" si="16"/>
        <v>0</v>
      </c>
    </row>
    <row r="1077" spans="1:40">
      <c r="A1077">
        <v>32</v>
      </c>
      <c r="B1077" t="s">
        <v>51</v>
      </c>
      <c r="C1077" t="s">
        <v>39</v>
      </c>
      <c r="D1077">
        <v>495</v>
      </c>
      <c r="E1077" t="s">
        <v>53</v>
      </c>
      <c r="F1077">
        <v>10</v>
      </c>
      <c r="G1077">
        <v>3</v>
      </c>
      <c r="H1077" t="s">
        <v>69</v>
      </c>
      <c r="I1077">
        <v>1516</v>
      </c>
      <c r="J1077">
        <v>3</v>
      </c>
      <c r="K1077" t="s">
        <v>54</v>
      </c>
      <c r="L1077">
        <v>64</v>
      </c>
      <c r="M1077">
        <v>3</v>
      </c>
      <c r="N1077">
        <v>3</v>
      </c>
      <c r="O1077" t="s">
        <v>79</v>
      </c>
      <c r="P1077">
        <v>4</v>
      </c>
      <c r="Q1077" t="s">
        <v>44</v>
      </c>
      <c r="R1077">
        <v>11244</v>
      </c>
      <c r="S1077">
        <v>21072</v>
      </c>
      <c r="T1077">
        <v>2</v>
      </c>
      <c r="U1077" t="s">
        <v>51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  <c r="AG1077" t="s">
        <v>67</v>
      </c>
      <c r="AH1077" t="s">
        <v>46</v>
      </c>
      <c r="AI1077">
        <v>0</v>
      </c>
      <c r="AJ1077" t="s">
        <v>65</v>
      </c>
      <c r="AK1077" t="s">
        <v>72</v>
      </c>
      <c r="AL1077" t="s">
        <v>49</v>
      </c>
      <c r="AM1077" t="s">
        <v>85</v>
      </c>
      <c r="AN1077">
        <f t="shared" si="16"/>
        <v>-5</v>
      </c>
    </row>
    <row r="1078" spans="1:40">
      <c r="A1078">
        <v>54</v>
      </c>
      <c r="B1078" t="s">
        <v>51</v>
      </c>
      <c r="C1078" t="s">
        <v>52</v>
      </c>
      <c r="D1078">
        <v>1050</v>
      </c>
      <c r="E1078" t="s">
        <v>53</v>
      </c>
      <c r="F1078">
        <v>11</v>
      </c>
      <c r="G1078">
        <v>4</v>
      </c>
      <c r="H1078" t="s">
        <v>69</v>
      </c>
      <c r="I1078">
        <v>1520</v>
      </c>
      <c r="J1078">
        <v>2</v>
      </c>
      <c r="K1078" t="s">
        <v>42</v>
      </c>
      <c r="L1078">
        <v>87</v>
      </c>
      <c r="M1078">
        <v>3</v>
      </c>
      <c r="N1078">
        <v>4</v>
      </c>
      <c r="O1078" t="s">
        <v>79</v>
      </c>
      <c r="P1078">
        <v>4</v>
      </c>
      <c r="Q1078" t="s">
        <v>74</v>
      </c>
      <c r="R1078">
        <v>16032</v>
      </c>
      <c r="S1078">
        <v>24456</v>
      </c>
      <c r="T1078">
        <v>3</v>
      </c>
      <c r="U1078" t="s">
        <v>51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  <c r="AG1078" t="s">
        <v>57</v>
      </c>
      <c r="AH1078" t="s">
        <v>46</v>
      </c>
      <c r="AI1078">
        <v>0</v>
      </c>
      <c r="AJ1078" t="s">
        <v>80</v>
      </c>
      <c r="AK1078" t="s">
        <v>68</v>
      </c>
      <c r="AL1078" t="s">
        <v>49</v>
      </c>
      <c r="AM1078" t="s">
        <v>61</v>
      </c>
      <c r="AN1078">
        <f t="shared" si="16"/>
        <v>-2</v>
      </c>
    </row>
    <row r="1079" spans="1:40">
      <c r="A1079">
        <v>29</v>
      </c>
      <c r="B1079" t="s">
        <v>38</v>
      </c>
      <c r="C1079" t="s">
        <v>39</v>
      </c>
      <c r="D1079">
        <v>224</v>
      </c>
      <c r="E1079" t="s">
        <v>53</v>
      </c>
      <c r="F1079">
        <v>1</v>
      </c>
      <c r="G1079">
        <v>4</v>
      </c>
      <c r="H1079" t="s">
        <v>86</v>
      </c>
      <c r="I1079">
        <v>1522</v>
      </c>
      <c r="J1079">
        <v>1</v>
      </c>
      <c r="K1079" t="s">
        <v>54</v>
      </c>
      <c r="L1079">
        <v>100</v>
      </c>
      <c r="M1079">
        <v>2</v>
      </c>
      <c r="N1079">
        <v>1</v>
      </c>
      <c r="O1079" t="s">
        <v>55</v>
      </c>
      <c r="P1079">
        <v>1</v>
      </c>
      <c r="Q1079" t="s">
        <v>44</v>
      </c>
      <c r="R1079">
        <v>2362</v>
      </c>
      <c r="S1079">
        <v>7568</v>
      </c>
      <c r="T1079">
        <v>6</v>
      </c>
      <c r="U1079" t="s">
        <v>51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  <c r="AG1079" t="s">
        <v>67</v>
      </c>
      <c r="AH1079" t="s">
        <v>71</v>
      </c>
      <c r="AI1079">
        <v>1</v>
      </c>
      <c r="AJ1079" t="s">
        <v>47</v>
      </c>
      <c r="AK1079" t="s">
        <v>68</v>
      </c>
      <c r="AL1079" t="s">
        <v>73</v>
      </c>
      <c r="AM1079" t="s">
        <v>50</v>
      </c>
      <c r="AN1079">
        <f t="shared" si="16"/>
        <v>10</v>
      </c>
    </row>
    <row r="1080" spans="1:40">
      <c r="A1080">
        <v>44</v>
      </c>
      <c r="B1080" t="s">
        <v>51</v>
      </c>
      <c r="C1080" t="s">
        <v>39</v>
      </c>
      <c r="D1080">
        <v>136</v>
      </c>
      <c r="E1080" t="s">
        <v>53</v>
      </c>
      <c r="F1080">
        <v>28</v>
      </c>
      <c r="G1080">
        <v>3</v>
      </c>
      <c r="H1080" t="s">
        <v>41</v>
      </c>
      <c r="I1080">
        <v>1523</v>
      </c>
      <c r="J1080">
        <v>4</v>
      </c>
      <c r="K1080" t="s">
        <v>54</v>
      </c>
      <c r="L1080">
        <v>32</v>
      </c>
      <c r="M1080">
        <v>3</v>
      </c>
      <c r="N1080">
        <v>4</v>
      </c>
      <c r="O1080" t="s">
        <v>83</v>
      </c>
      <c r="P1080">
        <v>1</v>
      </c>
      <c r="Q1080" t="s">
        <v>56</v>
      </c>
      <c r="R1080">
        <v>16328</v>
      </c>
      <c r="S1080">
        <v>22074</v>
      </c>
      <c r="T1080">
        <v>3</v>
      </c>
      <c r="U1080" t="s">
        <v>51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  <c r="AG1080" t="s">
        <v>45</v>
      </c>
      <c r="AH1080" t="s">
        <v>46</v>
      </c>
      <c r="AI1080">
        <v>0</v>
      </c>
      <c r="AJ1080" t="s">
        <v>80</v>
      </c>
      <c r="AK1080" t="s">
        <v>72</v>
      </c>
      <c r="AL1080" t="s">
        <v>73</v>
      </c>
      <c r="AM1080" t="s">
        <v>85</v>
      </c>
      <c r="AN1080">
        <f t="shared" si="16"/>
        <v>18</v>
      </c>
    </row>
    <row r="1081" spans="1:40">
      <c r="A1081">
        <v>39</v>
      </c>
      <c r="B1081" t="s">
        <v>51</v>
      </c>
      <c r="C1081" t="s">
        <v>39</v>
      </c>
      <c r="D1081">
        <v>1089</v>
      </c>
      <c r="E1081" t="s">
        <v>53</v>
      </c>
      <c r="F1081">
        <v>6</v>
      </c>
      <c r="G1081">
        <v>3</v>
      </c>
      <c r="H1081" t="s">
        <v>41</v>
      </c>
      <c r="I1081">
        <v>1525</v>
      </c>
      <c r="J1081">
        <v>2</v>
      </c>
      <c r="K1081" t="s">
        <v>42</v>
      </c>
      <c r="L1081">
        <v>32</v>
      </c>
      <c r="M1081">
        <v>3</v>
      </c>
      <c r="N1081">
        <v>3</v>
      </c>
      <c r="O1081" t="s">
        <v>75</v>
      </c>
      <c r="P1081">
        <v>2</v>
      </c>
      <c r="Q1081" t="s">
        <v>44</v>
      </c>
      <c r="R1081">
        <v>8376</v>
      </c>
      <c r="S1081">
        <v>9150</v>
      </c>
      <c r="T1081">
        <v>4</v>
      </c>
      <c r="U1081" t="s">
        <v>51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  <c r="AG1081" t="s">
        <v>45</v>
      </c>
      <c r="AH1081" t="s">
        <v>71</v>
      </c>
      <c r="AI1081">
        <v>0</v>
      </c>
      <c r="AJ1081" t="s">
        <v>65</v>
      </c>
      <c r="AK1081" t="s">
        <v>72</v>
      </c>
      <c r="AL1081" t="s">
        <v>60</v>
      </c>
      <c r="AM1081" t="s">
        <v>61</v>
      </c>
      <c r="AN1081">
        <f t="shared" si="16"/>
        <v>5</v>
      </c>
    </row>
    <row r="1082" spans="1:40">
      <c r="A1082">
        <v>46</v>
      </c>
      <c r="B1082" t="s">
        <v>51</v>
      </c>
      <c r="C1082" t="s">
        <v>39</v>
      </c>
      <c r="D1082">
        <v>228</v>
      </c>
      <c r="E1082" t="s">
        <v>40</v>
      </c>
      <c r="F1082">
        <v>3</v>
      </c>
      <c r="G1082">
        <v>3</v>
      </c>
      <c r="H1082" t="s">
        <v>41</v>
      </c>
      <c r="I1082">
        <v>1527</v>
      </c>
      <c r="J1082">
        <v>3</v>
      </c>
      <c r="K1082" t="s">
        <v>42</v>
      </c>
      <c r="L1082">
        <v>51</v>
      </c>
      <c r="M1082">
        <v>3</v>
      </c>
      <c r="N1082">
        <v>4</v>
      </c>
      <c r="O1082" t="s">
        <v>79</v>
      </c>
      <c r="P1082">
        <v>2</v>
      </c>
      <c r="Q1082" t="s">
        <v>56</v>
      </c>
      <c r="R1082">
        <v>16606</v>
      </c>
      <c r="S1082">
        <v>11380</v>
      </c>
      <c r="T1082">
        <v>8</v>
      </c>
      <c r="U1082" t="s">
        <v>51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  <c r="AG1082" t="s">
        <v>57</v>
      </c>
      <c r="AH1082" t="s">
        <v>46</v>
      </c>
      <c r="AI1082">
        <v>0</v>
      </c>
      <c r="AJ1082" t="s">
        <v>80</v>
      </c>
      <c r="AK1082" t="s">
        <v>72</v>
      </c>
      <c r="AL1082" t="s">
        <v>60</v>
      </c>
      <c r="AM1082" t="s">
        <v>85</v>
      </c>
      <c r="AN1082">
        <f t="shared" si="16"/>
        <v>6</v>
      </c>
    </row>
    <row r="1083" spans="1:40">
      <c r="A1083">
        <v>35</v>
      </c>
      <c r="B1083" t="s">
        <v>51</v>
      </c>
      <c r="C1083" t="s">
        <v>39</v>
      </c>
      <c r="D1083">
        <v>1029</v>
      </c>
      <c r="E1083" t="s">
        <v>53</v>
      </c>
      <c r="F1083">
        <v>16</v>
      </c>
      <c r="G1083">
        <v>3</v>
      </c>
      <c r="H1083" t="s">
        <v>41</v>
      </c>
      <c r="I1083">
        <v>1529</v>
      </c>
      <c r="J1083">
        <v>4</v>
      </c>
      <c r="K1083" t="s">
        <v>42</v>
      </c>
      <c r="L1083">
        <v>91</v>
      </c>
      <c r="M1083">
        <v>2</v>
      </c>
      <c r="N1083">
        <v>3</v>
      </c>
      <c r="O1083" t="s">
        <v>76</v>
      </c>
      <c r="P1083">
        <v>2</v>
      </c>
      <c r="Q1083" t="s">
        <v>44</v>
      </c>
      <c r="R1083">
        <v>8606</v>
      </c>
      <c r="S1083">
        <v>21195</v>
      </c>
      <c r="T1083">
        <v>1</v>
      </c>
      <c r="U1083" t="s">
        <v>51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  <c r="AG1083" t="s">
        <v>67</v>
      </c>
      <c r="AH1083" t="s">
        <v>46</v>
      </c>
      <c r="AI1083">
        <v>0</v>
      </c>
      <c r="AJ1083" t="s">
        <v>47</v>
      </c>
      <c r="AK1083" t="s">
        <v>72</v>
      </c>
      <c r="AL1083" t="s">
        <v>60</v>
      </c>
      <c r="AM1083" t="s">
        <v>50</v>
      </c>
      <c r="AN1083">
        <f t="shared" si="16"/>
        <v>10</v>
      </c>
    </row>
    <row r="1084" spans="1:40">
      <c r="A1084">
        <v>23</v>
      </c>
      <c r="B1084" t="s">
        <v>51</v>
      </c>
      <c r="C1084" t="s">
        <v>39</v>
      </c>
      <c r="D1084">
        <v>507</v>
      </c>
      <c r="E1084" t="s">
        <v>53</v>
      </c>
      <c r="F1084">
        <v>20</v>
      </c>
      <c r="G1084">
        <v>1</v>
      </c>
      <c r="H1084" t="s">
        <v>41</v>
      </c>
      <c r="I1084">
        <v>1533</v>
      </c>
      <c r="J1084">
        <v>1</v>
      </c>
      <c r="K1084" t="s">
        <v>54</v>
      </c>
      <c r="L1084">
        <v>97</v>
      </c>
      <c r="M1084">
        <v>3</v>
      </c>
      <c r="N1084">
        <v>2</v>
      </c>
      <c r="O1084" t="s">
        <v>63</v>
      </c>
      <c r="P1084">
        <v>3</v>
      </c>
      <c r="Q1084" t="s">
        <v>44</v>
      </c>
      <c r="R1084">
        <v>2272</v>
      </c>
      <c r="S1084">
        <v>24812</v>
      </c>
      <c r="T1084">
        <v>0</v>
      </c>
      <c r="U1084" t="s">
        <v>51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  <c r="AG1084" t="s">
        <v>78</v>
      </c>
      <c r="AH1084" t="s">
        <v>46</v>
      </c>
      <c r="AI1084">
        <v>0</v>
      </c>
      <c r="AJ1084" t="s">
        <v>65</v>
      </c>
      <c r="AK1084" t="s">
        <v>59</v>
      </c>
      <c r="AL1084" t="s">
        <v>66</v>
      </c>
      <c r="AM1084" t="s">
        <v>61</v>
      </c>
      <c r="AN1084">
        <f t="shared" si="16"/>
        <v>1</v>
      </c>
    </row>
    <row r="1085" spans="1:40">
      <c r="A1085">
        <v>40</v>
      </c>
      <c r="B1085" t="s">
        <v>38</v>
      </c>
      <c r="C1085" t="s">
        <v>39</v>
      </c>
      <c r="D1085">
        <v>676</v>
      </c>
      <c r="E1085" t="s">
        <v>53</v>
      </c>
      <c r="F1085">
        <v>9</v>
      </c>
      <c r="G1085">
        <v>4</v>
      </c>
      <c r="H1085" t="s">
        <v>41</v>
      </c>
      <c r="I1085">
        <v>1534</v>
      </c>
      <c r="J1085">
        <v>4</v>
      </c>
      <c r="K1085" t="s">
        <v>54</v>
      </c>
      <c r="L1085">
        <v>86</v>
      </c>
      <c r="M1085">
        <v>3</v>
      </c>
      <c r="N1085">
        <v>1</v>
      </c>
      <c r="O1085" t="s">
        <v>63</v>
      </c>
      <c r="P1085">
        <v>1</v>
      </c>
      <c r="Q1085" t="s">
        <v>44</v>
      </c>
      <c r="R1085">
        <v>2018</v>
      </c>
      <c r="S1085">
        <v>21831</v>
      </c>
      <c r="T1085">
        <v>3</v>
      </c>
      <c r="U1085" t="s">
        <v>51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  <c r="AG1085" t="s">
        <v>45</v>
      </c>
      <c r="AH1085" t="s">
        <v>46</v>
      </c>
      <c r="AI1085">
        <v>1</v>
      </c>
      <c r="AJ1085" t="s">
        <v>47</v>
      </c>
      <c r="AK1085" t="s">
        <v>68</v>
      </c>
      <c r="AL1085" t="s">
        <v>73</v>
      </c>
      <c r="AM1085" t="s">
        <v>50</v>
      </c>
      <c r="AN1085">
        <f t="shared" si="16"/>
        <v>11</v>
      </c>
    </row>
    <row r="1086" spans="1:40">
      <c r="A1086">
        <v>34</v>
      </c>
      <c r="B1086" t="s">
        <v>51</v>
      </c>
      <c r="C1086" t="s">
        <v>39</v>
      </c>
      <c r="D1086">
        <v>971</v>
      </c>
      <c r="E1086" t="s">
        <v>40</v>
      </c>
      <c r="F1086">
        <v>1</v>
      </c>
      <c r="G1086">
        <v>3</v>
      </c>
      <c r="H1086" t="s">
        <v>86</v>
      </c>
      <c r="I1086">
        <v>1535</v>
      </c>
      <c r="J1086">
        <v>4</v>
      </c>
      <c r="K1086" t="s">
        <v>54</v>
      </c>
      <c r="L1086">
        <v>64</v>
      </c>
      <c r="M1086">
        <v>2</v>
      </c>
      <c r="N1086">
        <v>3</v>
      </c>
      <c r="O1086" t="s">
        <v>43</v>
      </c>
      <c r="P1086">
        <v>3</v>
      </c>
      <c r="Q1086" t="s">
        <v>56</v>
      </c>
      <c r="R1086">
        <v>7083</v>
      </c>
      <c r="S1086">
        <v>12288</v>
      </c>
      <c r="T1086">
        <v>1</v>
      </c>
      <c r="U1086" t="s">
        <v>38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  <c r="AG1086" t="s">
        <v>67</v>
      </c>
      <c r="AH1086" t="s">
        <v>46</v>
      </c>
      <c r="AI1086">
        <v>0</v>
      </c>
      <c r="AJ1086" t="s">
        <v>58</v>
      </c>
      <c r="AK1086" t="s">
        <v>72</v>
      </c>
      <c r="AL1086" t="s">
        <v>66</v>
      </c>
      <c r="AM1086" t="s">
        <v>61</v>
      </c>
      <c r="AN1086">
        <f t="shared" si="16"/>
        <v>8</v>
      </c>
    </row>
    <row r="1087" spans="1:40">
      <c r="A1087">
        <v>31</v>
      </c>
      <c r="B1087" t="s">
        <v>38</v>
      </c>
      <c r="C1087" t="s">
        <v>52</v>
      </c>
      <c r="D1087">
        <v>561</v>
      </c>
      <c r="E1087" t="s">
        <v>53</v>
      </c>
      <c r="F1087">
        <v>3</v>
      </c>
      <c r="G1087">
        <v>3</v>
      </c>
      <c r="H1087" t="s">
        <v>41</v>
      </c>
      <c r="I1087">
        <v>1537</v>
      </c>
      <c r="J1087">
        <v>4</v>
      </c>
      <c r="K1087" t="s">
        <v>42</v>
      </c>
      <c r="L1087">
        <v>33</v>
      </c>
      <c r="M1087">
        <v>3</v>
      </c>
      <c r="N1087">
        <v>1</v>
      </c>
      <c r="O1087" t="s">
        <v>55</v>
      </c>
      <c r="P1087">
        <v>3</v>
      </c>
      <c r="Q1087" t="s">
        <v>44</v>
      </c>
      <c r="R1087">
        <v>4084</v>
      </c>
      <c r="S1087">
        <v>4156</v>
      </c>
      <c r="T1087">
        <v>1</v>
      </c>
      <c r="U1087" t="s">
        <v>51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  <c r="AG1087" t="s">
        <v>67</v>
      </c>
      <c r="AH1087" t="s">
        <v>81</v>
      </c>
      <c r="AI1087">
        <v>1</v>
      </c>
      <c r="AJ1087" t="s">
        <v>47</v>
      </c>
      <c r="AK1087" t="s">
        <v>72</v>
      </c>
      <c r="AL1087" t="s">
        <v>66</v>
      </c>
      <c r="AM1087" t="s">
        <v>50</v>
      </c>
      <c r="AN1087">
        <f t="shared" si="16"/>
        <v>11</v>
      </c>
    </row>
    <row r="1088" spans="1:40">
      <c r="A1088">
        <v>50</v>
      </c>
      <c r="B1088" t="s">
        <v>51</v>
      </c>
      <c r="C1088" t="s">
        <v>52</v>
      </c>
      <c r="D1088">
        <v>333</v>
      </c>
      <c r="E1088" t="s">
        <v>53</v>
      </c>
      <c r="F1088">
        <v>22</v>
      </c>
      <c r="G1088">
        <v>5</v>
      </c>
      <c r="H1088" t="s">
        <v>69</v>
      </c>
      <c r="I1088">
        <v>1539</v>
      </c>
      <c r="J1088">
        <v>3</v>
      </c>
      <c r="K1088" t="s">
        <v>54</v>
      </c>
      <c r="L1088">
        <v>88</v>
      </c>
      <c r="M1088">
        <v>1</v>
      </c>
      <c r="N1088">
        <v>4</v>
      </c>
      <c r="O1088" t="s">
        <v>83</v>
      </c>
      <c r="P1088">
        <v>4</v>
      </c>
      <c r="Q1088" t="s">
        <v>44</v>
      </c>
      <c r="R1088">
        <v>14411</v>
      </c>
      <c r="S1088">
        <v>24450</v>
      </c>
      <c r="T1088">
        <v>1</v>
      </c>
      <c r="U1088" t="s">
        <v>38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  <c r="AG1088" t="s">
        <v>57</v>
      </c>
      <c r="AH1088" t="s">
        <v>46</v>
      </c>
      <c r="AI1088">
        <v>0</v>
      </c>
      <c r="AJ1088" t="s">
        <v>80</v>
      </c>
      <c r="AK1088" t="s">
        <v>87</v>
      </c>
      <c r="AL1088" t="s">
        <v>49</v>
      </c>
      <c r="AM1088" t="s">
        <v>61</v>
      </c>
      <c r="AN1088">
        <f t="shared" si="16"/>
        <v>10</v>
      </c>
    </row>
    <row r="1089" spans="1:40">
      <c r="A1089">
        <v>34</v>
      </c>
      <c r="B1089" t="s">
        <v>51</v>
      </c>
      <c r="C1089" t="s">
        <v>39</v>
      </c>
      <c r="D1089">
        <v>1440</v>
      </c>
      <c r="E1089" t="s">
        <v>40</v>
      </c>
      <c r="F1089">
        <v>7</v>
      </c>
      <c r="G1089">
        <v>2</v>
      </c>
      <c r="H1089" t="s">
        <v>86</v>
      </c>
      <c r="I1089">
        <v>1541</v>
      </c>
      <c r="J1089">
        <v>2</v>
      </c>
      <c r="K1089" t="s">
        <v>54</v>
      </c>
      <c r="L1089">
        <v>55</v>
      </c>
      <c r="M1089">
        <v>3</v>
      </c>
      <c r="N1089">
        <v>1</v>
      </c>
      <c r="O1089" t="s">
        <v>82</v>
      </c>
      <c r="P1089">
        <v>3</v>
      </c>
      <c r="Q1089" t="s">
        <v>56</v>
      </c>
      <c r="R1089">
        <v>2308</v>
      </c>
      <c r="S1089">
        <v>4944</v>
      </c>
      <c r="T1089">
        <v>0</v>
      </c>
      <c r="U1089" t="s">
        <v>38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  <c r="AG1089" t="s">
        <v>67</v>
      </c>
      <c r="AH1089" t="s">
        <v>81</v>
      </c>
      <c r="AI1089">
        <v>0</v>
      </c>
      <c r="AJ1089" t="s">
        <v>80</v>
      </c>
      <c r="AK1089" t="s">
        <v>48</v>
      </c>
      <c r="AL1089" t="s">
        <v>66</v>
      </c>
      <c r="AM1089" t="s">
        <v>61</v>
      </c>
      <c r="AN1089">
        <f t="shared" si="16"/>
        <v>5</v>
      </c>
    </row>
    <row r="1090" spans="1:40">
      <c r="A1090">
        <v>42</v>
      </c>
      <c r="B1090" t="s">
        <v>51</v>
      </c>
      <c r="C1090" t="s">
        <v>39</v>
      </c>
      <c r="D1090">
        <v>1210</v>
      </c>
      <c r="E1090" t="s">
        <v>53</v>
      </c>
      <c r="F1090">
        <v>2</v>
      </c>
      <c r="G1090">
        <v>3</v>
      </c>
      <c r="H1090" t="s">
        <v>69</v>
      </c>
      <c r="I1090">
        <v>1542</v>
      </c>
      <c r="J1090">
        <v>3</v>
      </c>
      <c r="K1090" t="s">
        <v>54</v>
      </c>
      <c r="L1090">
        <v>68</v>
      </c>
      <c r="M1090">
        <v>2</v>
      </c>
      <c r="N1090">
        <v>1</v>
      </c>
      <c r="O1090" t="s">
        <v>63</v>
      </c>
      <c r="P1090">
        <v>2</v>
      </c>
      <c r="Q1090" t="s">
        <v>56</v>
      </c>
      <c r="R1090">
        <v>4841</v>
      </c>
      <c r="S1090">
        <v>24052</v>
      </c>
      <c r="T1090">
        <v>4</v>
      </c>
      <c r="U1090" t="s">
        <v>51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  <c r="AG1090" t="s">
        <v>45</v>
      </c>
      <c r="AH1090" t="s">
        <v>46</v>
      </c>
      <c r="AI1090">
        <v>0</v>
      </c>
      <c r="AJ1090" t="s">
        <v>65</v>
      </c>
      <c r="AK1090" t="s">
        <v>72</v>
      </c>
      <c r="AL1090" t="s">
        <v>60</v>
      </c>
      <c r="AM1090" t="s">
        <v>61</v>
      </c>
      <c r="AN1090">
        <f t="shared" si="16"/>
        <v>3</v>
      </c>
    </row>
    <row r="1091" spans="1:40">
      <c r="A1091">
        <v>37</v>
      </c>
      <c r="B1091" t="s">
        <v>51</v>
      </c>
      <c r="C1091" t="s">
        <v>39</v>
      </c>
      <c r="D1091">
        <v>674</v>
      </c>
      <c r="E1091" t="s">
        <v>53</v>
      </c>
      <c r="F1091">
        <v>13</v>
      </c>
      <c r="G1091">
        <v>3</v>
      </c>
      <c r="H1091" t="s">
        <v>69</v>
      </c>
      <c r="I1091">
        <v>1543</v>
      </c>
      <c r="J1091">
        <v>1</v>
      </c>
      <c r="K1091" t="s">
        <v>54</v>
      </c>
      <c r="L1091">
        <v>47</v>
      </c>
      <c r="M1091">
        <v>3</v>
      </c>
      <c r="N1091">
        <v>2</v>
      </c>
      <c r="O1091" t="s">
        <v>55</v>
      </c>
      <c r="P1091">
        <v>4</v>
      </c>
      <c r="Q1091" t="s">
        <v>56</v>
      </c>
      <c r="R1091">
        <v>4285</v>
      </c>
      <c r="S1091">
        <v>3031</v>
      </c>
      <c r="T1091">
        <v>1</v>
      </c>
      <c r="U1091" t="s">
        <v>51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  <c r="AG1091" t="s">
        <v>45</v>
      </c>
      <c r="AH1091" t="s">
        <v>81</v>
      </c>
      <c r="AI1091">
        <v>0</v>
      </c>
      <c r="AJ1091" t="s">
        <v>58</v>
      </c>
      <c r="AK1091" t="s">
        <v>72</v>
      </c>
      <c r="AL1091" t="s">
        <v>49</v>
      </c>
      <c r="AM1091" t="s">
        <v>61</v>
      </c>
      <c r="AN1091">
        <f t="shared" ref="AN1091:AN1154" si="17">((3-P1091)*3+((3-AB1091)*2+AE1091))</f>
        <v>0</v>
      </c>
    </row>
    <row r="1092" spans="1:40">
      <c r="A1092">
        <v>29</v>
      </c>
      <c r="B1092" t="s">
        <v>51</v>
      </c>
      <c r="C1092" t="s">
        <v>39</v>
      </c>
      <c r="D1092">
        <v>441</v>
      </c>
      <c r="E1092" t="s">
        <v>53</v>
      </c>
      <c r="F1092">
        <v>8</v>
      </c>
      <c r="G1092">
        <v>1</v>
      </c>
      <c r="H1092" t="s">
        <v>62</v>
      </c>
      <c r="I1092">
        <v>1544</v>
      </c>
      <c r="J1092">
        <v>3</v>
      </c>
      <c r="K1092" t="s">
        <v>42</v>
      </c>
      <c r="L1092">
        <v>39</v>
      </c>
      <c r="M1092">
        <v>1</v>
      </c>
      <c r="N1092">
        <v>2</v>
      </c>
      <c r="O1092" t="s">
        <v>76</v>
      </c>
      <c r="P1092">
        <v>1</v>
      </c>
      <c r="Q1092" t="s">
        <v>56</v>
      </c>
      <c r="R1092">
        <v>9715</v>
      </c>
      <c r="S1092">
        <v>7288</v>
      </c>
      <c r="T1092">
        <v>3</v>
      </c>
      <c r="U1092" t="s">
        <v>51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  <c r="AG1092" t="s">
        <v>67</v>
      </c>
      <c r="AH1092" t="s">
        <v>71</v>
      </c>
      <c r="AI1092">
        <v>0</v>
      </c>
      <c r="AJ1092" t="s">
        <v>58</v>
      </c>
      <c r="AK1092" t="s">
        <v>59</v>
      </c>
      <c r="AL1092" t="s">
        <v>73</v>
      </c>
      <c r="AM1092" t="s">
        <v>61</v>
      </c>
      <c r="AN1092">
        <f t="shared" si="17"/>
        <v>6</v>
      </c>
    </row>
    <row r="1093" spans="1:40">
      <c r="A1093">
        <v>33</v>
      </c>
      <c r="B1093" t="s">
        <v>51</v>
      </c>
      <c r="C1093" t="s">
        <v>39</v>
      </c>
      <c r="D1093">
        <v>575</v>
      </c>
      <c r="E1093" t="s">
        <v>53</v>
      </c>
      <c r="F1093">
        <v>25</v>
      </c>
      <c r="G1093">
        <v>3</v>
      </c>
      <c r="H1093" t="s">
        <v>41</v>
      </c>
      <c r="I1093">
        <v>1545</v>
      </c>
      <c r="J1093">
        <v>4</v>
      </c>
      <c r="K1093" t="s">
        <v>54</v>
      </c>
      <c r="L1093">
        <v>44</v>
      </c>
      <c r="M1093">
        <v>2</v>
      </c>
      <c r="N1093">
        <v>2</v>
      </c>
      <c r="O1093" t="s">
        <v>75</v>
      </c>
      <c r="P1093">
        <v>2</v>
      </c>
      <c r="Q1093" t="s">
        <v>44</v>
      </c>
      <c r="R1093">
        <v>4320</v>
      </c>
      <c r="S1093">
        <v>24152</v>
      </c>
      <c r="T1093">
        <v>1</v>
      </c>
      <c r="U1093" t="s">
        <v>51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  <c r="AG1093" t="s">
        <v>67</v>
      </c>
      <c r="AH1093" t="s">
        <v>46</v>
      </c>
      <c r="AI1093">
        <v>0</v>
      </c>
      <c r="AJ1093" t="s">
        <v>65</v>
      </c>
      <c r="AK1093" t="s">
        <v>72</v>
      </c>
      <c r="AL1093" t="s">
        <v>60</v>
      </c>
      <c r="AM1093" t="s">
        <v>61</v>
      </c>
      <c r="AN1093">
        <f t="shared" si="17"/>
        <v>3</v>
      </c>
    </row>
    <row r="1094" spans="1:40">
      <c r="A1094">
        <v>45</v>
      </c>
      <c r="B1094" t="s">
        <v>51</v>
      </c>
      <c r="C1094" t="s">
        <v>39</v>
      </c>
      <c r="D1094">
        <v>950</v>
      </c>
      <c r="E1094" t="s">
        <v>53</v>
      </c>
      <c r="F1094">
        <v>28</v>
      </c>
      <c r="G1094">
        <v>3</v>
      </c>
      <c r="H1094" t="s">
        <v>86</v>
      </c>
      <c r="I1094">
        <v>1546</v>
      </c>
      <c r="J1094">
        <v>4</v>
      </c>
      <c r="K1094" t="s">
        <v>54</v>
      </c>
      <c r="L1094">
        <v>97</v>
      </c>
      <c r="M1094">
        <v>3</v>
      </c>
      <c r="N1094">
        <v>1</v>
      </c>
      <c r="O1094" t="s">
        <v>55</v>
      </c>
      <c r="P1094">
        <v>4</v>
      </c>
      <c r="Q1094" t="s">
        <v>56</v>
      </c>
      <c r="R1094">
        <v>2132</v>
      </c>
      <c r="S1094">
        <v>4585</v>
      </c>
      <c r="T1094">
        <v>4</v>
      </c>
      <c r="U1094" t="s">
        <v>51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  <c r="AG1094" t="s">
        <v>45</v>
      </c>
      <c r="AH1094" t="s">
        <v>81</v>
      </c>
      <c r="AI1094">
        <v>0</v>
      </c>
      <c r="AJ1094" t="s">
        <v>65</v>
      </c>
      <c r="AK1094" t="s">
        <v>72</v>
      </c>
      <c r="AL1094" t="s">
        <v>49</v>
      </c>
      <c r="AM1094" t="s">
        <v>61</v>
      </c>
      <c r="AN1094">
        <f t="shared" si="17"/>
        <v>-3</v>
      </c>
    </row>
    <row r="1095" spans="1:40">
      <c r="A1095">
        <v>42</v>
      </c>
      <c r="B1095" t="s">
        <v>51</v>
      </c>
      <c r="C1095" t="s">
        <v>52</v>
      </c>
      <c r="D1095">
        <v>288</v>
      </c>
      <c r="E1095" t="s">
        <v>53</v>
      </c>
      <c r="F1095">
        <v>2</v>
      </c>
      <c r="G1095">
        <v>3</v>
      </c>
      <c r="H1095" t="s">
        <v>41</v>
      </c>
      <c r="I1095">
        <v>1547</v>
      </c>
      <c r="J1095">
        <v>4</v>
      </c>
      <c r="K1095" t="s">
        <v>54</v>
      </c>
      <c r="L1095">
        <v>40</v>
      </c>
      <c r="M1095">
        <v>3</v>
      </c>
      <c r="N1095">
        <v>3</v>
      </c>
      <c r="O1095" t="s">
        <v>76</v>
      </c>
      <c r="P1095">
        <v>4</v>
      </c>
      <c r="Q1095" t="s">
        <v>56</v>
      </c>
      <c r="R1095">
        <v>10124</v>
      </c>
      <c r="S1095">
        <v>18611</v>
      </c>
      <c r="T1095">
        <v>2</v>
      </c>
      <c r="U1095" t="s">
        <v>38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  <c r="AG1095" t="s">
        <v>45</v>
      </c>
      <c r="AH1095" t="s">
        <v>46</v>
      </c>
      <c r="AI1095">
        <v>0</v>
      </c>
      <c r="AJ1095" t="s">
        <v>47</v>
      </c>
      <c r="AK1095" t="s">
        <v>72</v>
      </c>
      <c r="AL1095" t="s">
        <v>49</v>
      </c>
      <c r="AM1095" t="s">
        <v>50</v>
      </c>
      <c r="AN1095">
        <f t="shared" si="17"/>
        <v>14</v>
      </c>
    </row>
    <row r="1096" spans="1:40">
      <c r="A1096">
        <v>40</v>
      </c>
      <c r="B1096" t="s">
        <v>51</v>
      </c>
      <c r="C1096" t="s">
        <v>39</v>
      </c>
      <c r="D1096">
        <v>1342</v>
      </c>
      <c r="E1096" t="s">
        <v>40</v>
      </c>
      <c r="F1096">
        <v>9</v>
      </c>
      <c r="G1096">
        <v>2</v>
      </c>
      <c r="H1096" t="s">
        <v>69</v>
      </c>
      <c r="I1096">
        <v>1548</v>
      </c>
      <c r="J1096">
        <v>1</v>
      </c>
      <c r="K1096" t="s">
        <v>54</v>
      </c>
      <c r="L1096">
        <v>47</v>
      </c>
      <c r="M1096">
        <v>3</v>
      </c>
      <c r="N1096">
        <v>2</v>
      </c>
      <c r="O1096" t="s">
        <v>43</v>
      </c>
      <c r="P1096">
        <v>1</v>
      </c>
      <c r="Q1096" t="s">
        <v>56</v>
      </c>
      <c r="R1096">
        <v>5473</v>
      </c>
      <c r="S1096">
        <v>19345</v>
      </c>
      <c r="T1096">
        <v>0</v>
      </c>
      <c r="U1096" t="s">
        <v>51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  <c r="AG1096" t="s">
        <v>45</v>
      </c>
      <c r="AH1096" t="s">
        <v>46</v>
      </c>
      <c r="AI1096">
        <v>0</v>
      </c>
      <c r="AJ1096" t="s">
        <v>58</v>
      </c>
      <c r="AK1096" t="s">
        <v>48</v>
      </c>
      <c r="AL1096" t="s">
        <v>73</v>
      </c>
      <c r="AM1096" t="s">
        <v>85</v>
      </c>
      <c r="AN1096">
        <f t="shared" si="17"/>
        <v>11</v>
      </c>
    </row>
    <row r="1097" spans="1:40">
      <c r="A1097">
        <v>33</v>
      </c>
      <c r="B1097" t="s">
        <v>51</v>
      </c>
      <c r="C1097" t="s">
        <v>39</v>
      </c>
      <c r="D1097">
        <v>589</v>
      </c>
      <c r="E1097" t="s">
        <v>53</v>
      </c>
      <c r="F1097">
        <v>28</v>
      </c>
      <c r="G1097">
        <v>4</v>
      </c>
      <c r="H1097" t="s">
        <v>41</v>
      </c>
      <c r="I1097">
        <v>1549</v>
      </c>
      <c r="J1097">
        <v>2</v>
      </c>
      <c r="K1097" t="s">
        <v>54</v>
      </c>
      <c r="L1097">
        <v>79</v>
      </c>
      <c r="M1097">
        <v>3</v>
      </c>
      <c r="N1097">
        <v>2</v>
      </c>
      <c r="O1097" t="s">
        <v>63</v>
      </c>
      <c r="P1097">
        <v>3</v>
      </c>
      <c r="Q1097" t="s">
        <v>56</v>
      </c>
      <c r="R1097">
        <v>5207</v>
      </c>
      <c r="S1097">
        <v>22949</v>
      </c>
      <c r="T1097">
        <v>1</v>
      </c>
      <c r="U1097" t="s">
        <v>38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  <c r="AG1097" t="s">
        <v>67</v>
      </c>
      <c r="AH1097" t="s">
        <v>46</v>
      </c>
      <c r="AI1097">
        <v>0</v>
      </c>
      <c r="AJ1097" t="s">
        <v>80</v>
      </c>
      <c r="AK1097" t="s">
        <v>68</v>
      </c>
      <c r="AL1097" t="s">
        <v>66</v>
      </c>
      <c r="AM1097" t="s">
        <v>61</v>
      </c>
      <c r="AN1097">
        <f t="shared" si="17"/>
        <v>5</v>
      </c>
    </row>
    <row r="1098" spans="1:40">
      <c r="A1098">
        <v>40</v>
      </c>
      <c r="B1098" t="s">
        <v>51</v>
      </c>
      <c r="C1098" t="s">
        <v>39</v>
      </c>
      <c r="D1098">
        <v>898</v>
      </c>
      <c r="E1098" t="s">
        <v>88</v>
      </c>
      <c r="F1098">
        <v>6</v>
      </c>
      <c r="G1098">
        <v>2</v>
      </c>
      <c r="H1098" t="s">
        <v>69</v>
      </c>
      <c r="I1098">
        <v>1550</v>
      </c>
      <c r="J1098">
        <v>3</v>
      </c>
      <c r="K1098" t="s">
        <v>54</v>
      </c>
      <c r="L1098">
        <v>38</v>
      </c>
      <c r="M1098">
        <v>3</v>
      </c>
      <c r="N1098">
        <v>4</v>
      </c>
      <c r="O1098" t="s">
        <v>79</v>
      </c>
      <c r="P1098">
        <v>4</v>
      </c>
      <c r="Q1098" t="s">
        <v>44</v>
      </c>
      <c r="R1098">
        <v>16437</v>
      </c>
      <c r="S1098">
        <v>17381</v>
      </c>
      <c r="T1098">
        <v>1</v>
      </c>
      <c r="U1098" t="s">
        <v>38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  <c r="AG1098" t="s">
        <v>45</v>
      </c>
      <c r="AH1098" t="s">
        <v>46</v>
      </c>
      <c r="AI1098">
        <v>0</v>
      </c>
      <c r="AJ1098" t="s">
        <v>80</v>
      </c>
      <c r="AK1098" t="s">
        <v>48</v>
      </c>
      <c r="AL1098" t="s">
        <v>49</v>
      </c>
      <c r="AM1098" t="s">
        <v>61</v>
      </c>
      <c r="AN1098">
        <f t="shared" si="17"/>
        <v>4</v>
      </c>
    </row>
    <row r="1099" spans="1:40">
      <c r="A1099">
        <v>24</v>
      </c>
      <c r="B1099" t="s">
        <v>51</v>
      </c>
      <c r="C1099" t="s">
        <v>39</v>
      </c>
      <c r="D1099">
        <v>350</v>
      </c>
      <c r="E1099" t="s">
        <v>53</v>
      </c>
      <c r="F1099">
        <v>21</v>
      </c>
      <c r="G1099">
        <v>2</v>
      </c>
      <c r="H1099" t="s">
        <v>86</v>
      </c>
      <c r="I1099">
        <v>1551</v>
      </c>
      <c r="J1099">
        <v>3</v>
      </c>
      <c r="K1099" t="s">
        <v>54</v>
      </c>
      <c r="L1099">
        <v>57</v>
      </c>
      <c r="M1099">
        <v>2</v>
      </c>
      <c r="N1099">
        <v>1</v>
      </c>
      <c r="O1099" t="s">
        <v>63</v>
      </c>
      <c r="P1099">
        <v>1</v>
      </c>
      <c r="Q1099" t="s">
        <v>74</v>
      </c>
      <c r="R1099">
        <v>2296</v>
      </c>
      <c r="S1099">
        <v>10036</v>
      </c>
      <c r="T1099">
        <v>0</v>
      </c>
      <c r="U1099" t="s">
        <v>51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  <c r="AG1099" t="s">
        <v>78</v>
      </c>
      <c r="AH1099" t="s">
        <v>46</v>
      </c>
      <c r="AI1099">
        <v>0</v>
      </c>
      <c r="AJ1099" t="s">
        <v>65</v>
      </c>
      <c r="AK1099" t="s">
        <v>48</v>
      </c>
      <c r="AL1099" t="s">
        <v>73</v>
      </c>
      <c r="AM1099" t="s">
        <v>61</v>
      </c>
      <c r="AN1099">
        <f t="shared" si="17"/>
        <v>6</v>
      </c>
    </row>
    <row r="1100" spans="1:40">
      <c r="A1100">
        <v>40</v>
      </c>
      <c r="B1100" t="s">
        <v>51</v>
      </c>
      <c r="C1100" t="s">
        <v>77</v>
      </c>
      <c r="D1100">
        <v>1142</v>
      </c>
      <c r="E1100" t="s">
        <v>53</v>
      </c>
      <c r="F1100">
        <v>8</v>
      </c>
      <c r="G1100">
        <v>2</v>
      </c>
      <c r="H1100" t="s">
        <v>41</v>
      </c>
      <c r="I1100">
        <v>1552</v>
      </c>
      <c r="J1100">
        <v>4</v>
      </c>
      <c r="K1100" t="s">
        <v>54</v>
      </c>
      <c r="L1100">
        <v>72</v>
      </c>
      <c r="M1100">
        <v>3</v>
      </c>
      <c r="N1100">
        <v>2</v>
      </c>
      <c r="O1100" t="s">
        <v>76</v>
      </c>
      <c r="P1100">
        <v>4</v>
      </c>
      <c r="Q1100" t="s">
        <v>74</v>
      </c>
      <c r="R1100">
        <v>4069</v>
      </c>
      <c r="S1100">
        <v>8841</v>
      </c>
      <c r="T1100">
        <v>3</v>
      </c>
      <c r="U1100" t="s">
        <v>38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  <c r="AG1100" t="s">
        <v>45</v>
      </c>
      <c r="AH1100" t="s">
        <v>71</v>
      </c>
      <c r="AI1100">
        <v>0</v>
      </c>
      <c r="AJ1100" t="s">
        <v>65</v>
      </c>
      <c r="AK1100" t="s">
        <v>48</v>
      </c>
      <c r="AL1100" t="s">
        <v>49</v>
      </c>
      <c r="AM1100" t="s">
        <v>61</v>
      </c>
      <c r="AN1100">
        <f t="shared" si="17"/>
        <v>-1</v>
      </c>
    </row>
    <row r="1101" spans="1:40">
      <c r="A1101">
        <v>45</v>
      </c>
      <c r="B1101" t="s">
        <v>51</v>
      </c>
      <c r="C1101" t="s">
        <v>39</v>
      </c>
      <c r="D1101">
        <v>538</v>
      </c>
      <c r="E1101" t="s">
        <v>53</v>
      </c>
      <c r="F1101">
        <v>1</v>
      </c>
      <c r="G1101">
        <v>4</v>
      </c>
      <c r="H1101" t="s">
        <v>86</v>
      </c>
      <c r="I1101">
        <v>1553</v>
      </c>
      <c r="J1101">
        <v>1</v>
      </c>
      <c r="K1101" t="s">
        <v>54</v>
      </c>
      <c r="L1101">
        <v>66</v>
      </c>
      <c r="M1101">
        <v>3</v>
      </c>
      <c r="N1101">
        <v>3</v>
      </c>
      <c r="O1101" t="s">
        <v>76</v>
      </c>
      <c r="P1101">
        <v>2</v>
      </c>
      <c r="Q1101" t="s">
        <v>74</v>
      </c>
      <c r="R1101">
        <v>7441</v>
      </c>
      <c r="S1101">
        <v>20933</v>
      </c>
      <c r="T1101">
        <v>1</v>
      </c>
      <c r="U1101" t="s">
        <v>51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  <c r="AG1101" t="s">
        <v>45</v>
      </c>
      <c r="AH1101" t="s">
        <v>46</v>
      </c>
      <c r="AI1101">
        <v>0</v>
      </c>
      <c r="AJ1101" t="s">
        <v>58</v>
      </c>
      <c r="AK1101" t="s">
        <v>68</v>
      </c>
      <c r="AL1101" t="s">
        <v>60</v>
      </c>
      <c r="AM1101" t="s">
        <v>61</v>
      </c>
      <c r="AN1101">
        <f t="shared" si="17"/>
        <v>10</v>
      </c>
    </row>
    <row r="1102" spans="1:40">
      <c r="A1102">
        <v>35</v>
      </c>
      <c r="B1102" t="s">
        <v>51</v>
      </c>
      <c r="C1102" t="s">
        <v>39</v>
      </c>
      <c r="D1102">
        <v>1402</v>
      </c>
      <c r="E1102" t="s">
        <v>40</v>
      </c>
      <c r="F1102">
        <v>28</v>
      </c>
      <c r="G1102">
        <v>4</v>
      </c>
      <c r="H1102" t="s">
        <v>41</v>
      </c>
      <c r="I1102">
        <v>1554</v>
      </c>
      <c r="J1102">
        <v>2</v>
      </c>
      <c r="K1102" t="s">
        <v>42</v>
      </c>
      <c r="L1102">
        <v>98</v>
      </c>
      <c r="M1102">
        <v>2</v>
      </c>
      <c r="N1102">
        <v>1</v>
      </c>
      <c r="O1102" t="s">
        <v>82</v>
      </c>
      <c r="P1102">
        <v>3</v>
      </c>
      <c r="Q1102" t="s">
        <v>56</v>
      </c>
      <c r="R1102">
        <v>2430</v>
      </c>
      <c r="S1102">
        <v>26204</v>
      </c>
      <c r="T1102">
        <v>0</v>
      </c>
      <c r="U1102" t="s">
        <v>51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  <c r="AG1102" t="s">
        <v>67</v>
      </c>
      <c r="AH1102" t="s">
        <v>46</v>
      </c>
      <c r="AI1102">
        <v>0</v>
      </c>
      <c r="AJ1102" t="s">
        <v>65</v>
      </c>
      <c r="AK1102" t="s">
        <v>68</v>
      </c>
      <c r="AL1102" t="s">
        <v>66</v>
      </c>
      <c r="AM1102" t="s">
        <v>61</v>
      </c>
      <c r="AN1102">
        <f t="shared" si="17"/>
        <v>4</v>
      </c>
    </row>
    <row r="1103" spans="1:40">
      <c r="A1103">
        <v>32</v>
      </c>
      <c r="B1103" t="s">
        <v>51</v>
      </c>
      <c r="C1103" t="s">
        <v>39</v>
      </c>
      <c r="D1103">
        <v>824</v>
      </c>
      <c r="E1103" t="s">
        <v>53</v>
      </c>
      <c r="F1103">
        <v>5</v>
      </c>
      <c r="G1103">
        <v>2</v>
      </c>
      <c r="H1103" t="s">
        <v>41</v>
      </c>
      <c r="I1103">
        <v>1555</v>
      </c>
      <c r="J1103">
        <v>4</v>
      </c>
      <c r="K1103" t="s">
        <v>42</v>
      </c>
      <c r="L1103">
        <v>67</v>
      </c>
      <c r="M1103">
        <v>2</v>
      </c>
      <c r="N1103">
        <v>2</v>
      </c>
      <c r="O1103" t="s">
        <v>55</v>
      </c>
      <c r="P1103">
        <v>2</v>
      </c>
      <c r="Q1103" t="s">
        <v>56</v>
      </c>
      <c r="R1103">
        <v>5878</v>
      </c>
      <c r="S1103">
        <v>15624</v>
      </c>
      <c r="T1103">
        <v>3</v>
      </c>
      <c r="U1103" t="s">
        <v>51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  <c r="AG1103" t="s">
        <v>67</v>
      </c>
      <c r="AH1103" t="s">
        <v>46</v>
      </c>
      <c r="AI1103">
        <v>0</v>
      </c>
      <c r="AJ1103" t="s">
        <v>58</v>
      </c>
      <c r="AK1103" t="s">
        <v>48</v>
      </c>
      <c r="AL1103" t="s">
        <v>60</v>
      </c>
      <c r="AM1103" t="s">
        <v>61</v>
      </c>
      <c r="AN1103">
        <f t="shared" si="17"/>
        <v>5</v>
      </c>
    </row>
    <row r="1104" spans="1:40">
      <c r="A1104">
        <v>36</v>
      </c>
      <c r="B1104" t="s">
        <v>51</v>
      </c>
      <c r="C1104" t="s">
        <v>39</v>
      </c>
      <c r="D1104">
        <v>1157</v>
      </c>
      <c r="E1104" t="s">
        <v>40</v>
      </c>
      <c r="F1104">
        <v>2</v>
      </c>
      <c r="G1104">
        <v>4</v>
      </c>
      <c r="H1104" t="s">
        <v>41</v>
      </c>
      <c r="I1104">
        <v>1556</v>
      </c>
      <c r="J1104">
        <v>3</v>
      </c>
      <c r="K1104" t="s">
        <v>54</v>
      </c>
      <c r="L1104">
        <v>70</v>
      </c>
      <c r="M1104">
        <v>3</v>
      </c>
      <c r="N1104">
        <v>1</v>
      </c>
      <c r="O1104" t="s">
        <v>82</v>
      </c>
      <c r="P1104">
        <v>4</v>
      </c>
      <c r="Q1104" t="s">
        <v>44</v>
      </c>
      <c r="R1104">
        <v>2644</v>
      </c>
      <c r="S1104">
        <v>17001</v>
      </c>
      <c r="T1104">
        <v>3</v>
      </c>
      <c r="U1104" t="s">
        <v>38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  <c r="AG1104" t="s">
        <v>45</v>
      </c>
      <c r="AH1104" t="s">
        <v>46</v>
      </c>
      <c r="AI1104">
        <v>0</v>
      </c>
      <c r="AJ1104" t="s">
        <v>47</v>
      </c>
      <c r="AK1104" t="s">
        <v>68</v>
      </c>
      <c r="AL1104" t="s">
        <v>49</v>
      </c>
      <c r="AM1104" t="s">
        <v>70</v>
      </c>
      <c r="AN1104">
        <f t="shared" si="17"/>
        <v>0</v>
      </c>
    </row>
    <row r="1105" spans="1:40">
      <c r="A1105">
        <v>48</v>
      </c>
      <c r="B1105" t="s">
        <v>51</v>
      </c>
      <c r="C1105" t="s">
        <v>39</v>
      </c>
      <c r="D1105">
        <v>492</v>
      </c>
      <c r="E1105" t="s">
        <v>40</v>
      </c>
      <c r="F1105">
        <v>16</v>
      </c>
      <c r="G1105">
        <v>4</v>
      </c>
      <c r="H1105" t="s">
        <v>41</v>
      </c>
      <c r="I1105">
        <v>1557</v>
      </c>
      <c r="J1105">
        <v>3</v>
      </c>
      <c r="K1105" t="s">
        <v>42</v>
      </c>
      <c r="L1105">
        <v>96</v>
      </c>
      <c r="M1105">
        <v>3</v>
      </c>
      <c r="N1105">
        <v>2</v>
      </c>
      <c r="O1105" t="s">
        <v>43</v>
      </c>
      <c r="P1105">
        <v>3</v>
      </c>
      <c r="Q1105" t="s">
        <v>74</v>
      </c>
      <c r="R1105">
        <v>6439</v>
      </c>
      <c r="S1105">
        <v>13693</v>
      </c>
      <c r="T1105">
        <v>8</v>
      </c>
      <c r="U1105" t="s">
        <v>51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  <c r="AG1105" t="s">
        <v>57</v>
      </c>
      <c r="AH1105" t="s">
        <v>46</v>
      </c>
      <c r="AI1105">
        <v>0</v>
      </c>
      <c r="AJ1105" t="s">
        <v>58</v>
      </c>
      <c r="AK1105" t="s">
        <v>68</v>
      </c>
      <c r="AL1105" t="s">
        <v>66</v>
      </c>
      <c r="AM1105" t="s">
        <v>61</v>
      </c>
      <c r="AN1105">
        <f t="shared" si="17"/>
        <v>7</v>
      </c>
    </row>
    <row r="1106" spans="1:40">
      <c r="A1106">
        <v>29</v>
      </c>
      <c r="B1106" t="s">
        <v>51</v>
      </c>
      <c r="C1106" t="s">
        <v>39</v>
      </c>
      <c r="D1106">
        <v>598</v>
      </c>
      <c r="E1106" t="s">
        <v>53</v>
      </c>
      <c r="F1106">
        <v>9</v>
      </c>
      <c r="G1106">
        <v>3</v>
      </c>
      <c r="H1106" t="s">
        <v>41</v>
      </c>
      <c r="I1106">
        <v>1558</v>
      </c>
      <c r="J1106">
        <v>3</v>
      </c>
      <c r="K1106" t="s">
        <v>54</v>
      </c>
      <c r="L1106">
        <v>91</v>
      </c>
      <c r="M1106">
        <v>4</v>
      </c>
      <c r="N1106">
        <v>1</v>
      </c>
      <c r="O1106" t="s">
        <v>55</v>
      </c>
      <c r="P1106">
        <v>3</v>
      </c>
      <c r="Q1106" t="s">
        <v>56</v>
      </c>
      <c r="R1106">
        <v>2451</v>
      </c>
      <c r="S1106">
        <v>22376</v>
      </c>
      <c r="T1106">
        <v>6</v>
      </c>
      <c r="U1106" t="s">
        <v>51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  <c r="AG1106" t="s">
        <v>67</v>
      </c>
      <c r="AH1106" t="s">
        <v>46</v>
      </c>
      <c r="AI1106">
        <v>0</v>
      </c>
      <c r="AJ1106" t="s">
        <v>47</v>
      </c>
      <c r="AK1106" t="s">
        <v>72</v>
      </c>
      <c r="AL1106" t="s">
        <v>66</v>
      </c>
      <c r="AM1106" t="s">
        <v>70</v>
      </c>
      <c r="AN1106">
        <f t="shared" si="17"/>
        <v>2</v>
      </c>
    </row>
    <row r="1107" spans="1:40">
      <c r="A1107">
        <v>33</v>
      </c>
      <c r="B1107" t="s">
        <v>51</v>
      </c>
      <c r="C1107" t="s">
        <v>39</v>
      </c>
      <c r="D1107">
        <v>1242</v>
      </c>
      <c r="E1107" t="s">
        <v>40</v>
      </c>
      <c r="F1107">
        <v>8</v>
      </c>
      <c r="G1107">
        <v>4</v>
      </c>
      <c r="H1107" t="s">
        <v>41</v>
      </c>
      <c r="I1107">
        <v>1560</v>
      </c>
      <c r="J1107">
        <v>1</v>
      </c>
      <c r="K1107" t="s">
        <v>54</v>
      </c>
      <c r="L1107">
        <v>46</v>
      </c>
      <c r="M1107">
        <v>3</v>
      </c>
      <c r="N1107">
        <v>2</v>
      </c>
      <c r="O1107" t="s">
        <v>43</v>
      </c>
      <c r="P1107">
        <v>1</v>
      </c>
      <c r="Q1107" t="s">
        <v>56</v>
      </c>
      <c r="R1107">
        <v>6392</v>
      </c>
      <c r="S1107">
        <v>10589</v>
      </c>
      <c r="T1107">
        <v>2</v>
      </c>
      <c r="U1107" t="s">
        <v>51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  <c r="AG1107" t="s">
        <v>67</v>
      </c>
      <c r="AH1107" t="s">
        <v>46</v>
      </c>
      <c r="AI1107">
        <v>0</v>
      </c>
      <c r="AJ1107" t="s">
        <v>47</v>
      </c>
      <c r="AK1107" t="s">
        <v>68</v>
      </c>
      <c r="AL1107" t="s">
        <v>73</v>
      </c>
      <c r="AM1107" t="s">
        <v>50</v>
      </c>
      <c r="AN1107">
        <f t="shared" si="17"/>
        <v>12</v>
      </c>
    </row>
    <row r="1108" spans="1:40">
      <c r="A1108">
        <v>30</v>
      </c>
      <c r="B1108" t="s">
        <v>38</v>
      </c>
      <c r="C1108" t="s">
        <v>39</v>
      </c>
      <c r="D1108">
        <v>740</v>
      </c>
      <c r="E1108" t="s">
        <v>40</v>
      </c>
      <c r="F1108">
        <v>1</v>
      </c>
      <c r="G1108">
        <v>3</v>
      </c>
      <c r="H1108" t="s">
        <v>41</v>
      </c>
      <c r="I1108">
        <v>1562</v>
      </c>
      <c r="J1108">
        <v>2</v>
      </c>
      <c r="K1108" t="s">
        <v>54</v>
      </c>
      <c r="L1108">
        <v>64</v>
      </c>
      <c r="M1108">
        <v>2</v>
      </c>
      <c r="N1108">
        <v>2</v>
      </c>
      <c r="O1108" t="s">
        <v>43</v>
      </c>
      <c r="P1108">
        <v>1</v>
      </c>
      <c r="Q1108" t="s">
        <v>56</v>
      </c>
      <c r="R1108">
        <v>9714</v>
      </c>
      <c r="S1108">
        <v>5323</v>
      </c>
      <c r="T1108">
        <v>1</v>
      </c>
      <c r="U1108" t="s">
        <v>51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  <c r="AG1108" t="s">
        <v>67</v>
      </c>
      <c r="AH1108" t="s">
        <v>81</v>
      </c>
      <c r="AI1108">
        <v>1</v>
      </c>
      <c r="AJ1108" t="s">
        <v>58</v>
      </c>
      <c r="AK1108" t="s">
        <v>72</v>
      </c>
      <c r="AL1108" t="s">
        <v>73</v>
      </c>
      <c r="AM1108" t="s">
        <v>61</v>
      </c>
      <c r="AN1108">
        <f t="shared" si="17"/>
        <v>12</v>
      </c>
    </row>
    <row r="1109" spans="1:40">
      <c r="A1109">
        <v>38</v>
      </c>
      <c r="B1109" t="s">
        <v>51</v>
      </c>
      <c r="C1109" t="s">
        <v>52</v>
      </c>
      <c r="D1109">
        <v>888</v>
      </c>
      <c r="E1109" t="s">
        <v>88</v>
      </c>
      <c r="F1109">
        <v>10</v>
      </c>
      <c r="G1109">
        <v>4</v>
      </c>
      <c r="H1109" t="s">
        <v>88</v>
      </c>
      <c r="I1109">
        <v>1563</v>
      </c>
      <c r="J1109">
        <v>3</v>
      </c>
      <c r="K1109" t="s">
        <v>54</v>
      </c>
      <c r="L1109">
        <v>71</v>
      </c>
      <c r="M1109">
        <v>3</v>
      </c>
      <c r="N1109">
        <v>2</v>
      </c>
      <c r="O1109" t="s">
        <v>88</v>
      </c>
      <c r="P1109">
        <v>3</v>
      </c>
      <c r="Q1109" t="s">
        <v>56</v>
      </c>
      <c r="R1109">
        <v>6077</v>
      </c>
      <c r="S1109">
        <v>14814</v>
      </c>
      <c r="T1109">
        <v>3</v>
      </c>
      <c r="U1109" t="s">
        <v>51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  <c r="AG1109" t="s">
        <v>45</v>
      </c>
      <c r="AH1109" t="s">
        <v>46</v>
      </c>
      <c r="AI1109">
        <v>0</v>
      </c>
      <c r="AJ1109" t="s">
        <v>58</v>
      </c>
      <c r="AK1109" t="s">
        <v>68</v>
      </c>
      <c r="AL1109" t="s">
        <v>66</v>
      </c>
      <c r="AM1109" t="s">
        <v>61</v>
      </c>
      <c r="AN1109">
        <f t="shared" si="17"/>
        <v>1</v>
      </c>
    </row>
    <row r="1110" spans="1:40">
      <c r="A1110">
        <v>35</v>
      </c>
      <c r="B1110" t="s">
        <v>51</v>
      </c>
      <c r="C1110" t="s">
        <v>39</v>
      </c>
      <c r="D1110">
        <v>992</v>
      </c>
      <c r="E1110" t="s">
        <v>53</v>
      </c>
      <c r="F1110">
        <v>1</v>
      </c>
      <c r="G1110">
        <v>3</v>
      </c>
      <c r="H1110" t="s">
        <v>69</v>
      </c>
      <c r="I1110">
        <v>1564</v>
      </c>
      <c r="J1110">
        <v>4</v>
      </c>
      <c r="K1110" t="s">
        <v>54</v>
      </c>
      <c r="L1110">
        <v>68</v>
      </c>
      <c r="M1110">
        <v>2</v>
      </c>
      <c r="N1110">
        <v>1</v>
      </c>
      <c r="O1110" t="s">
        <v>63</v>
      </c>
      <c r="P1110">
        <v>1</v>
      </c>
      <c r="Q1110" t="s">
        <v>44</v>
      </c>
      <c r="R1110">
        <v>2450</v>
      </c>
      <c r="S1110">
        <v>21731</v>
      </c>
      <c r="T1110">
        <v>1</v>
      </c>
      <c r="U1110" t="s">
        <v>51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  <c r="AG1110" t="s">
        <v>67</v>
      </c>
      <c r="AH1110" t="s">
        <v>46</v>
      </c>
      <c r="AI1110">
        <v>0</v>
      </c>
      <c r="AJ1110" t="s">
        <v>65</v>
      </c>
      <c r="AK1110" t="s">
        <v>72</v>
      </c>
      <c r="AL1110" t="s">
        <v>73</v>
      </c>
      <c r="AM1110" t="s">
        <v>61</v>
      </c>
      <c r="AN1110">
        <f t="shared" si="17"/>
        <v>7</v>
      </c>
    </row>
    <row r="1111" spans="1:40">
      <c r="A1111">
        <v>30</v>
      </c>
      <c r="B1111" t="s">
        <v>51</v>
      </c>
      <c r="C1111" t="s">
        <v>39</v>
      </c>
      <c r="D1111">
        <v>1288</v>
      </c>
      <c r="E1111" t="s">
        <v>40</v>
      </c>
      <c r="F1111">
        <v>29</v>
      </c>
      <c r="G1111">
        <v>4</v>
      </c>
      <c r="H1111" t="s">
        <v>86</v>
      </c>
      <c r="I1111">
        <v>1568</v>
      </c>
      <c r="J1111">
        <v>3</v>
      </c>
      <c r="K1111" t="s">
        <v>54</v>
      </c>
      <c r="L1111">
        <v>33</v>
      </c>
      <c r="M1111">
        <v>3</v>
      </c>
      <c r="N1111">
        <v>3</v>
      </c>
      <c r="O1111" t="s">
        <v>43</v>
      </c>
      <c r="P1111">
        <v>2</v>
      </c>
      <c r="Q1111" t="s">
        <v>56</v>
      </c>
      <c r="R1111">
        <v>9250</v>
      </c>
      <c r="S1111">
        <v>17799</v>
      </c>
      <c r="T1111">
        <v>3</v>
      </c>
      <c r="U1111" t="s">
        <v>51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  <c r="AG1111" t="s">
        <v>67</v>
      </c>
      <c r="AH1111" t="s">
        <v>46</v>
      </c>
      <c r="AI1111">
        <v>0</v>
      </c>
      <c r="AJ1111" t="s">
        <v>65</v>
      </c>
      <c r="AK1111" t="s">
        <v>68</v>
      </c>
      <c r="AL1111" t="s">
        <v>60</v>
      </c>
      <c r="AM1111" t="s">
        <v>61</v>
      </c>
      <c r="AN1111">
        <f t="shared" si="17"/>
        <v>4</v>
      </c>
    </row>
    <row r="1112" spans="1:40">
      <c r="A1112">
        <v>35</v>
      </c>
      <c r="B1112" t="s">
        <v>38</v>
      </c>
      <c r="C1112" t="s">
        <v>39</v>
      </c>
      <c r="D1112">
        <v>104</v>
      </c>
      <c r="E1112" t="s">
        <v>53</v>
      </c>
      <c r="F1112">
        <v>2</v>
      </c>
      <c r="G1112">
        <v>3</v>
      </c>
      <c r="H1112" t="s">
        <v>41</v>
      </c>
      <c r="I1112">
        <v>1569</v>
      </c>
      <c r="J1112">
        <v>1</v>
      </c>
      <c r="K1112" t="s">
        <v>42</v>
      </c>
      <c r="L1112">
        <v>69</v>
      </c>
      <c r="M1112">
        <v>3</v>
      </c>
      <c r="N1112">
        <v>1</v>
      </c>
      <c r="O1112" t="s">
        <v>63</v>
      </c>
      <c r="P1112">
        <v>1</v>
      </c>
      <c r="Q1112" t="s">
        <v>74</v>
      </c>
      <c r="R1112">
        <v>2074</v>
      </c>
      <c r="S1112">
        <v>26619</v>
      </c>
      <c r="T1112">
        <v>1</v>
      </c>
      <c r="U1112" t="s">
        <v>38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  <c r="AG1112" t="s">
        <v>67</v>
      </c>
      <c r="AH1112" t="s">
        <v>46</v>
      </c>
      <c r="AI1112">
        <v>1</v>
      </c>
      <c r="AJ1112" t="s">
        <v>65</v>
      </c>
      <c r="AK1112" t="s">
        <v>72</v>
      </c>
      <c r="AL1112" t="s">
        <v>73</v>
      </c>
      <c r="AM1112" t="s">
        <v>61</v>
      </c>
      <c r="AN1112">
        <f t="shared" si="17"/>
        <v>6</v>
      </c>
    </row>
    <row r="1113" spans="1:40">
      <c r="A1113">
        <v>53</v>
      </c>
      <c r="B1113" t="s">
        <v>38</v>
      </c>
      <c r="C1113" t="s">
        <v>39</v>
      </c>
      <c r="D1113">
        <v>607</v>
      </c>
      <c r="E1113" t="s">
        <v>53</v>
      </c>
      <c r="F1113">
        <v>2</v>
      </c>
      <c r="G1113">
        <v>5</v>
      </c>
      <c r="H1113" t="s">
        <v>86</v>
      </c>
      <c r="I1113">
        <v>1572</v>
      </c>
      <c r="J1113">
        <v>3</v>
      </c>
      <c r="K1113" t="s">
        <v>42</v>
      </c>
      <c r="L1113">
        <v>78</v>
      </c>
      <c r="M1113">
        <v>2</v>
      </c>
      <c r="N1113">
        <v>3</v>
      </c>
      <c r="O1113" t="s">
        <v>75</v>
      </c>
      <c r="P1113">
        <v>4</v>
      </c>
      <c r="Q1113" t="s">
        <v>56</v>
      </c>
      <c r="R1113">
        <v>10169</v>
      </c>
      <c r="S1113">
        <v>14618</v>
      </c>
      <c r="T1113">
        <v>0</v>
      </c>
      <c r="U1113" t="s">
        <v>51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  <c r="AG1113" t="s">
        <v>57</v>
      </c>
      <c r="AH1113" t="s">
        <v>46</v>
      </c>
      <c r="AI1113">
        <v>1</v>
      </c>
      <c r="AJ1113" t="s">
        <v>80</v>
      </c>
      <c r="AK1113" t="s">
        <v>87</v>
      </c>
      <c r="AL1113" t="s">
        <v>49</v>
      </c>
      <c r="AM1113" t="s">
        <v>61</v>
      </c>
      <c r="AN1113">
        <f t="shared" si="17"/>
        <v>-2</v>
      </c>
    </row>
    <row r="1114" spans="1:40">
      <c r="A1114">
        <v>38</v>
      </c>
      <c r="B1114" t="s">
        <v>38</v>
      </c>
      <c r="C1114" t="s">
        <v>39</v>
      </c>
      <c r="D1114">
        <v>903</v>
      </c>
      <c r="E1114" t="s">
        <v>53</v>
      </c>
      <c r="F1114">
        <v>2</v>
      </c>
      <c r="G1114">
        <v>3</v>
      </c>
      <c r="H1114" t="s">
        <v>69</v>
      </c>
      <c r="I1114">
        <v>1573</v>
      </c>
      <c r="J1114">
        <v>3</v>
      </c>
      <c r="K1114" t="s">
        <v>54</v>
      </c>
      <c r="L1114">
        <v>81</v>
      </c>
      <c r="M1114">
        <v>3</v>
      </c>
      <c r="N1114">
        <v>2</v>
      </c>
      <c r="O1114" t="s">
        <v>75</v>
      </c>
      <c r="P1114">
        <v>2</v>
      </c>
      <c r="Q1114" t="s">
        <v>56</v>
      </c>
      <c r="R1114">
        <v>4855</v>
      </c>
      <c r="S1114">
        <v>7653</v>
      </c>
      <c r="T1114">
        <v>4</v>
      </c>
      <c r="U1114" t="s">
        <v>51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  <c r="AG1114" t="s">
        <v>45</v>
      </c>
      <c r="AH1114" t="s">
        <v>71</v>
      </c>
      <c r="AI1114">
        <v>1</v>
      </c>
      <c r="AJ1114" t="s">
        <v>65</v>
      </c>
      <c r="AK1114" t="s">
        <v>72</v>
      </c>
      <c r="AL1114" t="s">
        <v>60</v>
      </c>
      <c r="AM1114" t="s">
        <v>61</v>
      </c>
      <c r="AN1114">
        <f t="shared" si="17"/>
        <v>4</v>
      </c>
    </row>
    <row r="1115" spans="1:40">
      <c r="A1115">
        <v>32</v>
      </c>
      <c r="B1115" t="s">
        <v>51</v>
      </c>
      <c r="C1115" t="s">
        <v>77</v>
      </c>
      <c r="D1115">
        <v>1200</v>
      </c>
      <c r="E1115" t="s">
        <v>53</v>
      </c>
      <c r="F1115">
        <v>1</v>
      </c>
      <c r="G1115">
        <v>4</v>
      </c>
      <c r="H1115" t="s">
        <v>86</v>
      </c>
      <c r="I1115">
        <v>1574</v>
      </c>
      <c r="J1115">
        <v>4</v>
      </c>
      <c r="K1115" t="s">
        <v>54</v>
      </c>
      <c r="L1115">
        <v>62</v>
      </c>
      <c r="M1115">
        <v>3</v>
      </c>
      <c r="N1115">
        <v>2</v>
      </c>
      <c r="O1115" t="s">
        <v>55</v>
      </c>
      <c r="P1115">
        <v>1</v>
      </c>
      <c r="Q1115" t="s">
        <v>56</v>
      </c>
      <c r="R1115">
        <v>4087</v>
      </c>
      <c r="S1115">
        <v>25174</v>
      </c>
      <c r="T1115">
        <v>4</v>
      </c>
      <c r="U1115" t="s">
        <v>51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  <c r="AG1115" t="s">
        <v>67</v>
      </c>
      <c r="AH1115" t="s">
        <v>46</v>
      </c>
      <c r="AI1115">
        <v>0</v>
      </c>
      <c r="AJ1115" t="s">
        <v>47</v>
      </c>
      <c r="AK1115" t="s">
        <v>68</v>
      </c>
      <c r="AL1115" t="s">
        <v>73</v>
      </c>
      <c r="AM1115" t="s">
        <v>70</v>
      </c>
      <c r="AN1115">
        <f t="shared" si="17"/>
        <v>9</v>
      </c>
    </row>
    <row r="1116" spans="1:40">
      <c r="A1116">
        <v>48</v>
      </c>
      <c r="B1116" t="s">
        <v>51</v>
      </c>
      <c r="C1116" t="s">
        <v>39</v>
      </c>
      <c r="D1116">
        <v>1108</v>
      </c>
      <c r="E1116" t="s">
        <v>53</v>
      </c>
      <c r="F1116">
        <v>15</v>
      </c>
      <c r="G1116">
        <v>4</v>
      </c>
      <c r="H1116" t="s">
        <v>62</v>
      </c>
      <c r="I1116">
        <v>1576</v>
      </c>
      <c r="J1116">
        <v>3</v>
      </c>
      <c r="K1116" t="s">
        <v>42</v>
      </c>
      <c r="L1116">
        <v>65</v>
      </c>
      <c r="M1116">
        <v>3</v>
      </c>
      <c r="N1116">
        <v>1</v>
      </c>
      <c r="O1116" t="s">
        <v>55</v>
      </c>
      <c r="P1116">
        <v>1</v>
      </c>
      <c r="Q1116" t="s">
        <v>56</v>
      </c>
      <c r="R1116">
        <v>2367</v>
      </c>
      <c r="S1116">
        <v>16530</v>
      </c>
      <c r="T1116">
        <v>8</v>
      </c>
      <c r="U1116" t="s">
        <v>51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  <c r="AG1116" t="s">
        <v>57</v>
      </c>
      <c r="AH1116" t="s">
        <v>46</v>
      </c>
      <c r="AI1116">
        <v>0</v>
      </c>
      <c r="AJ1116" t="s">
        <v>47</v>
      </c>
      <c r="AK1116" t="s">
        <v>68</v>
      </c>
      <c r="AL1116" t="s">
        <v>73</v>
      </c>
      <c r="AM1116" t="s">
        <v>70</v>
      </c>
      <c r="AN1116">
        <f t="shared" si="17"/>
        <v>15</v>
      </c>
    </row>
    <row r="1117" spans="1:40">
      <c r="A1117">
        <v>34</v>
      </c>
      <c r="B1117" t="s">
        <v>51</v>
      </c>
      <c r="C1117" t="s">
        <v>39</v>
      </c>
      <c r="D1117">
        <v>479</v>
      </c>
      <c r="E1117" t="s">
        <v>53</v>
      </c>
      <c r="F1117">
        <v>7</v>
      </c>
      <c r="G1117">
        <v>4</v>
      </c>
      <c r="H1117" t="s">
        <v>69</v>
      </c>
      <c r="I1117">
        <v>1577</v>
      </c>
      <c r="J1117">
        <v>1</v>
      </c>
      <c r="K1117" t="s">
        <v>54</v>
      </c>
      <c r="L1117">
        <v>35</v>
      </c>
      <c r="M1117">
        <v>3</v>
      </c>
      <c r="N1117">
        <v>1</v>
      </c>
      <c r="O1117" t="s">
        <v>55</v>
      </c>
      <c r="P1117">
        <v>4</v>
      </c>
      <c r="Q1117" t="s">
        <v>44</v>
      </c>
      <c r="R1117">
        <v>2972</v>
      </c>
      <c r="S1117">
        <v>22061</v>
      </c>
      <c r="T1117">
        <v>1</v>
      </c>
      <c r="U1117" t="s">
        <v>51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  <c r="AG1117" t="s">
        <v>67</v>
      </c>
      <c r="AH1117" t="s">
        <v>46</v>
      </c>
      <c r="AI1117">
        <v>0</v>
      </c>
      <c r="AJ1117" t="s">
        <v>47</v>
      </c>
      <c r="AK1117" t="s">
        <v>68</v>
      </c>
      <c r="AL1117" t="s">
        <v>49</v>
      </c>
      <c r="AM1117" t="s">
        <v>50</v>
      </c>
      <c r="AN1117">
        <f t="shared" si="17"/>
        <v>1</v>
      </c>
    </row>
    <row r="1118" spans="1:40">
      <c r="A1118">
        <v>55</v>
      </c>
      <c r="B1118" t="s">
        <v>51</v>
      </c>
      <c r="C1118" t="s">
        <v>39</v>
      </c>
      <c r="D1118">
        <v>685</v>
      </c>
      <c r="E1118" t="s">
        <v>40</v>
      </c>
      <c r="F1118">
        <v>26</v>
      </c>
      <c r="G1118">
        <v>5</v>
      </c>
      <c r="H1118" t="s">
        <v>84</v>
      </c>
      <c r="I1118">
        <v>1578</v>
      </c>
      <c r="J1118">
        <v>3</v>
      </c>
      <c r="K1118" t="s">
        <v>54</v>
      </c>
      <c r="L1118">
        <v>60</v>
      </c>
      <c r="M1118">
        <v>2</v>
      </c>
      <c r="N1118">
        <v>5</v>
      </c>
      <c r="O1118" t="s">
        <v>79</v>
      </c>
      <c r="P1118">
        <v>4</v>
      </c>
      <c r="Q1118" t="s">
        <v>56</v>
      </c>
      <c r="R1118">
        <v>19586</v>
      </c>
      <c r="S1118">
        <v>23037</v>
      </c>
      <c r="T1118">
        <v>1</v>
      </c>
      <c r="U1118" t="s">
        <v>51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  <c r="AG1118" t="s">
        <v>57</v>
      </c>
      <c r="AH1118" t="s">
        <v>46</v>
      </c>
      <c r="AI1118">
        <v>0</v>
      </c>
      <c r="AJ1118" t="s">
        <v>80</v>
      </c>
      <c r="AK1118" t="s">
        <v>87</v>
      </c>
      <c r="AL1118" t="s">
        <v>49</v>
      </c>
      <c r="AM1118" t="s">
        <v>61</v>
      </c>
      <c r="AN1118">
        <f t="shared" si="17"/>
        <v>-1</v>
      </c>
    </row>
    <row r="1119" spans="1:40">
      <c r="A1119">
        <v>34</v>
      </c>
      <c r="B1119" t="s">
        <v>51</v>
      </c>
      <c r="C1119" t="s">
        <v>39</v>
      </c>
      <c r="D1119">
        <v>1351</v>
      </c>
      <c r="E1119" t="s">
        <v>53</v>
      </c>
      <c r="F1119">
        <v>1</v>
      </c>
      <c r="G1119">
        <v>4</v>
      </c>
      <c r="H1119" t="s">
        <v>41</v>
      </c>
      <c r="I1119">
        <v>1580</v>
      </c>
      <c r="J1119">
        <v>2</v>
      </c>
      <c r="K1119" t="s">
        <v>54</v>
      </c>
      <c r="L1119">
        <v>45</v>
      </c>
      <c r="M1119">
        <v>3</v>
      </c>
      <c r="N1119">
        <v>2</v>
      </c>
      <c r="O1119" t="s">
        <v>55</v>
      </c>
      <c r="P1119">
        <v>4</v>
      </c>
      <c r="Q1119" t="s">
        <v>56</v>
      </c>
      <c r="R1119">
        <v>5484</v>
      </c>
      <c r="S1119">
        <v>13008</v>
      </c>
      <c r="T1119">
        <v>9</v>
      </c>
      <c r="U1119" t="s">
        <v>51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  <c r="AG1119" t="s">
        <v>67</v>
      </c>
      <c r="AH1119" t="s">
        <v>46</v>
      </c>
      <c r="AI1119">
        <v>0</v>
      </c>
      <c r="AJ1119" t="s">
        <v>47</v>
      </c>
      <c r="AK1119" t="s">
        <v>68</v>
      </c>
      <c r="AL1119" t="s">
        <v>49</v>
      </c>
      <c r="AM1119" t="s">
        <v>70</v>
      </c>
      <c r="AN1119">
        <f t="shared" si="17"/>
        <v>1</v>
      </c>
    </row>
    <row r="1120" spans="1:40">
      <c r="A1120">
        <v>26</v>
      </c>
      <c r="B1120" t="s">
        <v>51</v>
      </c>
      <c r="C1120" t="s">
        <v>39</v>
      </c>
      <c r="D1120">
        <v>474</v>
      </c>
      <c r="E1120" t="s">
        <v>53</v>
      </c>
      <c r="F1120">
        <v>3</v>
      </c>
      <c r="G1120">
        <v>3</v>
      </c>
      <c r="H1120" t="s">
        <v>41</v>
      </c>
      <c r="I1120">
        <v>1581</v>
      </c>
      <c r="J1120">
        <v>1</v>
      </c>
      <c r="K1120" t="s">
        <v>42</v>
      </c>
      <c r="L1120">
        <v>89</v>
      </c>
      <c r="M1120">
        <v>3</v>
      </c>
      <c r="N1120">
        <v>1</v>
      </c>
      <c r="O1120" t="s">
        <v>55</v>
      </c>
      <c r="P1120">
        <v>4</v>
      </c>
      <c r="Q1120" t="s">
        <v>56</v>
      </c>
      <c r="R1120">
        <v>2061</v>
      </c>
      <c r="S1120">
        <v>11133</v>
      </c>
      <c r="T1120">
        <v>1</v>
      </c>
      <c r="U1120" t="s">
        <v>51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  <c r="AG1120" t="s">
        <v>67</v>
      </c>
      <c r="AH1120" t="s">
        <v>46</v>
      </c>
      <c r="AI1120">
        <v>0</v>
      </c>
      <c r="AJ1120" t="s">
        <v>65</v>
      </c>
      <c r="AK1120" t="s">
        <v>72</v>
      </c>
      <c r="AL1120" t="s">
        <v>49</v>
      </c>
      <c r="AM1120" t="s">
        <v>61</v>
      </c>
      <c r="AN1120">
        <f t="shared" si="17"/>
        <v>-3</v>
      </c>
    </row>
    <row r="1121" spans="1:40">
      <c r="A1121">
        <v>38</v>
      </c>
      <c r="B1121" t="s">
        <v>51</v>
      </c>
      <c r="C1121" t="s">
        <v>39</v>
      </c>
      <c r="D1121">
        <v>1245</v>
      </c>
      <c r="E1121" t="s">
        <v>40</v>
      </c>
      <c r="F1121">
        <v>14</v>
      </c>
      <c r="G1121">
        <v>3</v>
      </c>
      <c r="H1121" t="s">
        <v>41</v>
      </c>
      <c r="I1121">
        <v>1582</v>
      </c>
      <c r="J1121">
        <v>3</v>
      </c>
      <c r="K1121" t="s">
        <v>54</v>
      </c>
      <c r="L1121">
        <v>80</v>
      </c>
      <c r="M1121">
        <v>3</v>
      </c>
      <c r="N1121">
        <v>2</v>
      </c>
      <c r="O1121" t="s">
        <v>43</v>
      </c>
      <c r="P1121">
        <v>2</v>
      </c>
      <c r="Q1121" t="s">
        <v>56</v>
      </c>
      <c r="R1121">
        <v>9924</v>
      </c>
      <c r="S1121">
        <v>12355</v>
      </c>
      <c r="T1121">
        <v>0</v>
      </c>
      <c r="U1121" t="s">
        <v>51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  <c r="AG1121" t="s">
        <v>45</v>
      </c>
      <c r="AH1121" t="s">
        <v>46</v>
      </c>
      <c r="AI1121">
        <v>0</v>
      </c>
      <c r="AJ1121" t="s">
        <v>58</v>
      </c>
      <c r="AK1121" t="s">
        <v>72</v>
      </c>
      <c r="AL1121" t="s">
        <v>60</v>
      </c>
      <c r="AM1121" t="s">
        <v>61</v>
      </c>
      <c r="AN1121">
        <f t="shared" si="17"/>
        <v>10</v>
      </c>
    </row>
    <row r="1122" spans="1:40">
      <c r="A1122">
        <v>38</v>
      </c>
      <c r="B1122" t="s">
        <v>51</v>
      </c>
      <c r="C1122" t="s">
        <v>39</v>
      </c>
      <c r="D1122">
        <v>437</v>
      </c>
      <c r="E1122" t="s">
        <v>40</v>
      </c>
      <c r="F1122">
        <v>16</v>
      </c>
      <c r="G1122">
        <v>3</v>
      </c>
      <c r="H1122" t="s">
        <v>41</v>
      </c>
      <c r="I1122">
        <v>1583</v>
      </c>
      <c r="J1122">
        <v>2</v>
      </c>
      <c r="K1122" t="s">
        <v>42</v>
      </c>
      <c r="L1122">
        <v>90</v>
      </c>
      <c r="M1122">
        <v>3</v>
      </c>
      <c r="N1122">
        <v>2</v>
      </c>
      <c r="O1122" t="s">
        <v>43</v>
      </c>
      <c r="P1122">
        <v>2</v>
      </c>
      <c r="Q1122" t="s">
        <v>44</v>
      </c>
      <c r="R1122">
        <v>4198</v>
      </c>
      <c r="S1122">
        <v>16379</v>
      </c>
      <c r="T1122">
        <v>2</v>
      </c>
      <c r="U1122" t="s">
        <v>51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  <c r="AG1122" t="s">
        <v>45</v>
      </c>
      <c r="AH1122" t="s">
        <v>46</v>
      </c>
      <c r="AI1122">
        <v>0</v>
      </c>
      <c r="AJ1122" t="s">
        <v>65</v>
      </c>
      <c r="AK1122" t="s">
        <v>72</v>
      </c>
      <c r="AL1122" t="s">
        <v>60</v>
      </c>
      <c r="AM1122" t="s">
        <v>85</v>
      </c>
      <c r="AN1122">
        <f t="shared" si="17"/>
        <v>2</v>
      </c>
    </row>
    <row r="1123" spans="1:40">
      <c r="A1123">
        <v>36</v>
      </c>
      <c r="B1123" t="s">
        <v>51</v>
      </c>
      <c r="C1123" t="s">
        <v>39</v>
      </c>
      <c r="D1123">
        <v>884</v>
      </c>
      <c r="E1123" t="s">
        <v>40</v>
      </c>
      <c r="F1123">
        <v>1</v>
      </c>
      <c r="G1123">
        <v>4</v>
      </c>
      <c r="H1123" t="s">
        <v>41</v>
      </c>
      <c r="I1123">
        <v>1585</v>
      </c>
      <c r="J1123">
        <v>2</v>
      </c>
      <c r="K1123" t="s">
        <v>42</v>
      </c>
      <c r="L1123">
        <v>73</v>
      </c>
      <c r="M1123">
        <v>3</v>
      </c>
      <c r="N1123">
        <v>2</v>
      </c>
      <c r="O1123" t="s">
        <v>43</v>
      </c>
      <c r="P1123">
        <v>3</v>
      </c>
      <c r="Q1123" t="s">
        <v>44</v>
      </c>
      <c r="R1123">
        <v>6815</v>
      </c>
      <c r="S1123">
        <v>21447</v>
      </c>
      <c r="T1123">
        <v>6</v>
      </c>
      <c r="U1123" t="s">
        <v>51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  <c r="AG1123" t="s">
        <v>45</v>
      </c>
      <c r="AH1123" t="s">
        <v>46</v>
      </c>
      <c r="AI1123">
        <v>0</v>
      </c>
      <c r="AJ1123" t="s">
        <v>65</v>
      </c>
      <c r="AK1123" t="s">
        <v>68</v>
      </c>
      <c r="AL1123" t="s">
        <v>66</v>
      </c>
      <c r="AM1123" t="s">
        <v>61</v>
      </c>
      <c r="AN1123">
        <f t="shared" si="17"/>
        <v>0</v>
      </c>
    </row>
    <row r="1124" spans="1:40">
      <c r="A1124">
        <v>29</v>
      </c>
      <c r="B1124" t="s">
        <v>51</v>
      </c>
      <c r="C1124" t="s">
        <v>39</v>
      </c>
      <c r="D1124">
        <v>1370</v>
      </c>
      <c r="E1124" t="s">
        <v>53</v>
      </c>
      <c r="F1124">
        <v>3</v>
      </c>
      <c r="G1124">
        <v>1</v>
      </c>
      <c r="H1124" t="s">
        <v>69</v>
      </c>
      <c r="I1124">
        <v>1586</v>
      </c>
      <c r="J1124">
        <v>2</v>
      </c>
      <c r="K1124" t="s">
        <v>54</v>
      </c>
      <c r="L1124">
        <v>87</v>
      </c>
      <c r="M1124">
        <v>3</v>
      </c>
      <c r="N1124">
        <v>1</v>
      </c>
      <c r="O1124" t="s">
        <v>63</v>
      </c>
      <c r="P1124">
        <v>1</v>
      </c>
      <c r="Q1124" t="s">
        <v>44</v>
      </c>
      <c r="R1124">
        <v>4723</v>
      </c>
      <c r="S1124">
        <v>16213</v>
      </c>
      <c r="T1124">
        <v>1</v>
      </c>
      <c r="U1124" t="s">
        <v>38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  <c r="AG1124" t="s">
        <v>67</v>
      </c>
      <c r="AH1124" t="s">
        <v>46</v>
      </c>
      <c r="AI1124">
        <v>0</v>
      </c>
      <c r="AJ1124" t="s">
        <v>58</v>
      </c>
      <c r="AK1124" t="s">
        <v>59</v>
      </c>
      <c r="AL1124" t="s">
        <v>73</v>
      </c>
      <c r="AM1124" t="s">
        <v>61</v>
      </c>
      <c r="AN1124">
        <f t="shared" si="17"/>
        <v>7</v>
      </c>
    </row>
    <row r="1125" spans="1:40">
      <c r="A1125">
        <v>35</v>
      </c>
      <c r="B1125" t="s">
        <v>51</v>
      </c>
      <c r="C1125" t="s">
        <v>39</v>
      </c>
      <c r="D1125">
        <v>670</v>
      </c>
      <c r="E1125" t="s">
        <v>53</v>
      </c>
      <c r="F1125">
        <v>10</v>
      </c>
      <c r="G1125">
        <v>4</v>
      </c>
      <c r="H1125" t="s">
        <v>69</v>
      </c>
      <c r="I1125">
        <v>1587</v>
      </c>
      <c r="J1125">
        <v>1</v>
      </c>
      <c r="K1125" t="s">
        <v>42</v>
      </c>
      <c r="L1125">
        <v>51</v>
      </c>
      <c r="M1125">
        <v>3</v>
      </c>
      <c r="N1125">
        <v>2</v>
      </c>
      <c r="O1125" t="s">
        <v>76</v>
      </c>
      <c r="P1125">
        <v>3</v>
      </c>
      <c r="Q1125" t="s">
        <v>44</v>
      </c>
      <c r="R1125">
        <v>6142</v>
      </c>
      <c r="S1125">
        <v>4223</v>
      </c>
      <c r="T1125">
        <v>3</v>
      </c>
      <c r="U1125" t="s">
        <v>38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  <c r="AG1125" t="s">
        <v>67</v>
      </c>
      <c r="AH1125" t="s">
        <v>81</v>
      </c>
      <c r="AI1125">
        <v>0</v>
      </c>
      <c r="AJ1125" t="s">
        <v>65</v>
      </c>
      <c r="AK1125" t="s">
        <v>68</v>
      </c>
      <c r="AL1125" t="s">
        <v>66</v>
      </c>
      <c r="AM1125" t="s">
        <v>61</v>
      </c>
      <c r="AN1125">
        <f t="shared" si="17"/>
        <v>0</v>
      </c>
    </row>
    <row r="1126" spans="1:40">
      <c r="A1126">
        <v>39</v>
      </c>
      <c r="B1126" t="s">
        <v>51</v>
      </c>
      <c r="C1126" t="s">
        <v>39</v>
      </c>
      <c r="D1126">
        <v>1462</v>
      </c>
      <c r="E1126" t="s">
        <v>40</v>
      </c>
      <c r="F1126">
        <v>6</v>
      </c>
      <c r="G1126">
        <v>3</v>
      </c>
      <c r="H1126" t="s">
        <v>69</v>
      </c>
      <c r="I1126">
        <v>1588</v>
      </c>
      <c r="J1126">
        <v>4</v>
      </c>
      <c r="K1126" t="s">
        <v>54</v>
      </c>
      <c r="L1126">
        <v>38</v>
      </c>
      <c r="M1126">
        <v>4</v>
      </c>
      <c r="N1126">
        <v>3</v>
      </c>
      <c r="O1126" t="s">
        <v>43</v>
      </c>
      <c r="P1126">
        <v>3</v>
      </c>
      <c r="Q1126" t="s">
        <v>56</v>
      </c>
      <c r="R1126">
        <v>8237</v>
      </c>
      <c r="S1126">
        <v>4658</v>
      </c>
      <c r="T1126">
        <v>2</v>
      </c>
      <c r="U1126" t="s">
        <v>51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  <c r="AG1126" t="s">
        <v>45</v>
      </c>
      <c r="AH1126" t="s">
        <v>81</v>
      </c>
      <c r="AI1126">
        <v>0</v>
      </c>
      <c r="AJ1126" t="s">
        <v>58</v>
      </c>
      <c r="AK1126" t="s">
        <v>72</v>
      </c>
      <c r="AL1126" t="s">
        <v>66</v>
      </c>
      <c r="AM1126" t="s">
        <v>61</v>
      </c>
      <c r="AN1126">
        <f t="shared" si="17"/>
        <v>7</v>
      </c>
    </row>
    <row r="1127" spans="1:40">
      <c r="A1127">
        <v>29</v>
      </c>
      <c r="B1127" t="s">
        <v>51</v>
      </c>
      <c r="C1127" t="s">
        <v>52</v>
      </c>
      <c r="D1127">
        <v>995</v>
      </c>
      <c r="E1127" t="s">
        <v>53</v>
      </c>
      <c r="F1127">
        <v>2</v>
      </c>
      <c r="G1127">
        <v>1</v>
      </c>
      <c r="H1127" t="s">
        <v>41</v>
      </c>
      <c r="I1127">
        <v>1590</v>
      </c>
      <c r="J1127">
        <v>1</v>
      </c>
      <c r="K1127" t="s">
        <v>54</v>
      </c>
      <c r="L1127">
        <v>87</v>
      </c>
      <c r="M1127">
        <v>3</v>
      </c>
      <c r="N1127">
        <v>2</v>
      </c>
      <c r="O1127" t="s">
        <v>76</v>
      </c>
      <c r="P1127">
        <v>4</v>
      </c>
      <c r="Q1127" t="s">
        <v>74</v>
      </c>
      <c r="R1127">
        <v>8853</v>
      </c>
      <c r="S1127">
        <v>24483</v>
      </c>
      <c r="T1127">
        <v>1</v>
      </c>
      <c r="U1127" t="s">
        <v>51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  <c r="AG1127" t="s">
        <v>67</v>
      </c>
      <c r="AH1127" t="s">
        <v>46</v>
      </c>
      <c r="AI1127">
        <v>0</v>
      </c>
      <c r="AJ1127" t="s">
        <v>58</v>
      </c>
      <c r="AK1127" t="s">
        <v>59</v>
      </c>
      <c r="AL1127" t="s">
        <v>49</v>
      </c>
      <c r="AM1127" t="s">
        <v>85</v>
      </c>
      <c r="AN1127">
        <f t="shared" si="17"/>
        <v>-4</v>
      </c>
    </row>
    <row r="1128" spans="1:40">
      <c r="A1128">
        <v>50</v>
      </c>
      <c r="B1128" t="s">
        <v>51</v>
      </c>
      <c r="C1128" t="s">
        <v>39</v>
      </c>
      <c r="D1128">
        <v>264</v>
      </c>
      <c r="E1128" t="s">
        <v>40</v>
      </c>
      <c r="F1128">
        <v>9</v>
      </c>
      <c r="G1128">
        <v>3</v>
      </c>
      <c r="H1128" t="s">
        <v>84</v>
      </c>
      <c r="I1128">
        <v>1591</v>
      </c>
      <c r="J1128">
        <v>3</v>
      </c>
      <c r="K1128" t="s">
        <v>54</v>
      </c>
      <c r="L1128">
        <v>59</v>
      </c>
      <c r="M1128">
        <v>3</v>
      </c>
      <c r="N1128">
        <v>5</v>
      </c>
      <c r="O1128" t="s">
        <v>79</v>
      </c>
      <c r="P1128">
        <v>3</v>
      </c>
      <c r="Q1128" t="s">
        <v>56</v>
      </c>
      <c r="R1128">
        <v>19331</v>
      </c>
      <c r="S1128">
        <v>19519</v>
      </c>
      <c r="T1128">
        <v>4</v>
      </c>
      <c r="U1128" t="s">
        <v>38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  <c r="AG1128" t="s">
        <v>57</v>
      </c>
      <c r="AH1128" t="s">
        <v>46</v>
      </c>
      <c r="AI1128">
        <v>0</v>
      </c>
      <c r="AJ1128" t="s">
        <v>65</v>
      </c>
      <c r="AK1128" t="s">
        <v>72</v>
      </c>
      <c r="AL1128" t="s">
        <v>66</v>
      </c>
      <c r="AM1128" t="s">
        <v>61</v>
      </c>
      <c r="AN1128">
        <f t="shared" si="17"/>
        <v>0</v>
      </c>
    </row>
    <row r="1129" spans="1:40">
      <c r="A1129">
        <v>23</v>
      </c>
      <c r="B1129" t="s">
        <v>51</v>
      </c>
      <c r="C1129" t="s">
        <v>39</v>
      </c>
      <c r="D1129">
        <v>977</v>
      </c>
      <c r="E1129" t="s">
        <v>53</v>
      </c>
      <c r="F1129">
        <v>10</v>
      </c>
      <c r="G1129">
        <v>3</v>
      </c>
      <c r="H1129" t="s">
        <v>86</v>
      </c>
      <c r="I1129">
        <v>1592</v>
      </c>
      <c r="J1129">
        <v>4</v>
      </c>
      <c r="K1129" t="s">
        <v>54</v>
      </c>
      <c r="L1129">
        <v>45</v>
      </c>
      <c r="M1129">
        <v>4</v>
      </c>
      <c r="N1129">
        <v>1</v>
      </c>
      <c r="O1129" t="s">
        <v>55</v>
      </c>
      <c r="P1129">
        <v>3</v>
      </c>
      <c r="Q1129" t="s">
        <v>56</v>
      </c>
      <c r="R1129">
        <v>2073</v>
      </c>
      <c r="S1129">
        <v>12826</v>
      </c>
      <c r="T1129">
        <v>2</v>
      </c>
      <c r="U1129" t="s">
        <v>51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  <c r="AG1129" t="s">
        <v>78</v>
      </c>
      <c r="AH1129" t="s">
        <v>46</v>
      </c>
      <c r="AI1129">
        <v>0</v>
      </c>
      <c r="AJ1129" t="s">
        <v>65</v>
      </c>
      <c r="AK1129" t="s">
        <v>72</v>
      </c>
      <c r="AL1129" t="s">
        <v>66</v>
      </c>
      <c r="AM1129" t="s">
        <v>61</v>
      </c>
      <c r="AN1129">
        <f t="shared" si="17"/>
        <v>2</v>
      </c>
    </row>
    <row r="1130" spans="1:40">
      <c r="A1130">
        <v>36</v>
      </c>
      <c r="B1130" t="s">
        <v>51</v>
      </c>
      <c r="C1130" t="s">
        <v>52</v>
      </c>
      <c r="D1130">
        <v>1302</v>
      </c>
      <c r="E1130" t="s">
        <v>53</v>
      </c>
      <c r="F1130">
        <v>6</v>
      </c>
      <c r="G1130">
        <v>4</v>
      </c>
      <c r="H1130" t="s">
        <v>41</v>
      </c>
      <c r="I1130">
        <v>1594</v>
      </c>
      <c r="J1130">
        <v>1</v>
      </c>
      <c r="K1130" t="s">
        <v>54</v>
      </c>
      <c r="L1130">
        <v>80</v>
      </c>
      <c r="M1130">
        <v>4</v>
      </c>
      <c r="N1130">
        <v>2</v>
      </c>
      <c r="O1130" t="s">
        <v>63</v>
      </c>
      <c r="P1130">
        <v>1</v>
      </c>
      <c r="Q1130" t="s">
        <v>56</v>
      </c>
      <c r="R1130">
        <v>5562</v>
      </c>
      <c r="S1130">
        <v>19711</v>
      </c>
      <c r="T1130">
        <v>3</v>
      </c>
      <c r="U1130" t="s">
        <v>38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  <c r="AG1130" t="s">
        <v>45</v>
      </c>
      <c r="AH1130" t="s">
        <v>46</v>
      </c>
      <c r="AI1130">
        <v>0</v>
      </c>
      <c r="AJ1130" t="s">
        <v>65</v>
      </c>
      <c r="AK1130" t="s">
        <v>68</v>
      </c>
      <c r="AL1130" t="s">
        <v>73</v>
      </c>
      <c r="AM1130" t="s">
        <v>61</v>
      </c>
      <c r="AN1130">
        <f t="shared" si="17"/>
        <v>6</v>
      </c>
    </row>
    <row r="1131" spans="1:40">
      <c r="A1131">
        <v>42</v>
      </c>
      <c r="B1131" t="s">
        <v>51</v>
      </c>
      <c r="C1131" t="s">
        <v>39</v>
      </c>
      <c r="D1131">
        <v>1059</v>
      </c>
      <c r="E1131" t="s">
        <v>53</v>
      </c>
      <c r="F1131">
        <v>9</v>
      </c>
      <c r="G1131">
        <v>2</v>
      </c>
      <c r="H1131" t="s">
        <v>62</v>
      </c>
      <c r="I1131">
        <v>1595</v>
      </c>
      <c r="J1131">
        <v>4</v>
      </c>
      <c r="K1131" t="s">
        <v>54</v>
      </c>
      <c r="L1131">
        <v>93</v>
      </c>
      <c r="M1131">
        <v>2</v>
      </c>
      <c r="N1131">
        <v>5</v>
      </c>
      <c r="O1131" t="s">
        <v>79</v>
      </c>
      <c r="P1131">
        <v>4</v>
      </c>
      <c r="Q1131" t="s">
        <v>44</v>
      </c>
      <c r="R1131">
        <v>19613</v>
      </c>
      <c r="S1131">
        <v>26362</v>
      </c>
      <c r="T1131">
        <v>8</v>
      </c>
      <c r="U1131" t="s">
        <v>51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  <c r="AG1131" t="s">
        <v>45</v>
      </c>
      <c r="AH1131" t="s">
        <v>46</v>
      </c>
      <c r="AI1131">
        <v>0</v>
      </c>
      <c r="AJ1131" t="s">
        <v>65</v>
      </c>
      <c r="AK1131" t="s">
        <v>48</v>
      </c>
      <c r="AL1131" t="s">
        <v>49</v>
      </c>
      <c r="AM1131" t="s">
        <v>61</v>
      </c>
      <c r="AN1131">
        <f t="shared" si="17"/>
        <v>-3</v>
      </c>
    </row>
    <row r="1132" spans="1:40">
      <c r="A1132">
        <v>35</v>
      </c>
      <c r="B1132" t="s">
        <v>51</v>
      </c>
      <c r="C1132" t="s">
        <v>39</v>
      </c>
      <c r="D1132">
        <v>750</v>
      </c>
      <c r="E1132" t="s">
        <v>53</v>
      </c>
      <c r="F1132">
        <v>28</v>
      </c>
      <c r="G1132">
        <v>3</v>
      </c>
      <c r="H1132" t="s">
        <v>41</v>
      </c>
      <c r="I1132">
        <v>1596</v>
      </c>
      <c r="J1132">
        <v>2</v>
      </c>
      <c r="K1132" t="s">
        <v>54</v>
      </c>
      <c r="L1132">
        <v>46</v>
      </c>
      <c r="M1132">
        <v>4</v>
      </c>
      <c r="N1132">
        <v>2</v>
      </c>
      <c r="O1132" t="s">
        <v>63</v>
      </c>
      <c r="P1132">
        <v>3</v>
      </c>
      <c r="Q1132" t="s">
        <v>56</v>
      </c>
      <c r="R1132">
        <v>3407</v>
      </c>
      <c r="S1132">
        <v>25348</v>
      </c>
      <c r="T1132">
        <v>1</v>
      </c>
      <c r="U1132" t="s">
        <v>51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  <c r="AG1132" t="s">
        <v>67</v>
      </c>
      <c r="AH1132" t="s">
        <v>46</v>
      </c>
      <c r="AI1132">
        <v>0</v>
      </c>
      <c r="AJ1132" t="s">
        <v>47</v>
      </c>
      <c r="AK1132" t="s">
        <v>72</v>
      </c>
      <c r="AL1132" t="s">
        <v>66</v>
      </c>
      <c r="AM1132" t="s">
        <v>70</v>
      </c>
      <c r="AN1132">
        <f t="shared" si="17"/>
        <v>8</v>
      </c>
    </row>
    <row r="1133" spans="1:40">
      <c r="A1133">
        <v>34</v>
      </c>
      <c r="B1133" t="s">
        <v>51</v>
      </c>
      <c r="C1133" t="s">
        <v>52</v>
      </c>
      <c r="D1133">
        <v>653</v>
      </c>
      <c r="E1133" t="s">
        <v>53</v>
      </c>
      <c r="F1133">
        <v>10</v>
      </c>
      <c r="G1133">
        <v>4</v>
      </c>
      <c r="H1133" t="s">
        <v>86</v>
      </c>
      <c r="I1133">
        <v>1597</v>
      </c>
      <c r="J1133">
        <v>4</v>
      </c>
      <c r="K1133" t="s">
        <v>54</v>
      </c>
      <c r="L1133">
        <v>92</v>
      </c>
      <c r="M1133">
        <v>2</v>
      </c>
      <c r="N1133">
        <v>2</v>
      </c>
      <c r="O1133" t="s">
        <v>76</v>
      </c>
      <c r="P1133">
        <v>3</v>
      </c>
      <c r="Q1133" t="s">
        <v>56</v>
      </c>
      <c r="R1133">
        <v>5063</v>
      </c>
      <c r="S1133">
        <v>15332</v>
      </c>
      <c r="T1133">
        <v>1</v>
      </c>
      <c r="U1133" t="s">
        <v>51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  <c r="AG1133" t="s">
        <v>67</v>
      </c>
      <c r="AH1133" t="s">
        <v>46</v>
      </c>
      <c r="AI1133">
        <v>0</v>
      </c>
      <c r="AJ1133" t="s">
        <v>47</v>
      </c>
      <c r="AK1133" t="s">
        <v>68</v>
      </c>
      <c r="AL1133" t="s">
        <v>66</v>
      </c>
      <c r="AM1133" t="s">
        <v>70</v>
      </c>
      <c r="AN1133">
        <f t="shared" si="17"/>
        <v>9</v>
      </c>
    </row>
    <row r="1134" spans="1:40">
      <c r="A1134">
        <v>40</v>
      </c>
      <c r="B1134" t="s">
        <v>51</v>
      </c>
      <c r="C1134" t="s">
        <v>39</v>
      </c>
      <c r="D1134">
        <v>118</v>
      </c>
      <c r="E1134" t="s">
        <v>40</v>
      </c>
      <c r="F1134">
        <v>14</v>
      </c>
      <c r="G1134">
        <v>2</v>
      </c>
      <c r="H1134" t="s">
        <v>41</v>
      </c>
      <c r="I1134">
        <v>1598</v>
      </c>
      <c r="J1134">
        <v>4</v>
      </c>
      <c r="K1134" t="s">
        <v>42</v>
      </c>
      <c r="L1134">
        <v>84</v>
      </c>
      <c r="M1134">
        <v>3</v>
      </c>
      <c r="N1134">
        <v>2</v>
      </c>
      <c r="O1134" t="s">
        <v>43</v>
      </c>
      <c r="P1134">
        <v>1</v>
      </c>
      <c r="Q1134" t="s">
        <v>56</v>
      </c>
      <c r="R1134">
        <v>4639</v>
      </c>
      <c r="S1134">
        <v>11262</v>
      </c>
      <c r="T1134">
        <v>1</v>
      </c>
      <c r="U1134" t="s">
        <v>51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  <c r="AG1134" t="s">
        <v>45</v>
      </c>
      <c r="AH1134" t="s">
        <v>46</v>
      </c>
      <c r="AI1134">
        <v>0</v>
      </c>
      <c r="AJ1134" t="s">
        <v>65</v>
      </c>
      <c r="AK1134" t="s">
        <v>48</v>
      </c>
      <c r="AL1134" t="s">
        <v>73</v>
      </c>
      <c r="AM1134" t="s">
        <v>61</v>
      </c>
      <c r="AN1134">
        <f t="shared" si="17"/>
        <v>7</v>
      </c>
    </row>
    <row r="1135" spans="1:40">
      <c r="A1135">
        <v>43</v>
      </c>
      <c r="B1135" t="s">
        <v>51</v>
      </c>
      <c r="C1135" t="s">
        <v>39</v>
      </c>
      <c r="D1135">
        <v>990</v>
      </c>
      <c r="E1135" t="s">
        <v>53</v>
      </c>
      <c r="F1135">
        <v>27</v>
      </c>
      <c r="G1135">
        <v>3</v>
      </c>
      <c r="H1135" t="s">
        <v>86</v>
      </c>
      <c r="I1135">
        <v>1599</v>
      </c>
      <c r="J1135">
        <v>4</v>
      </c>
      <c r="K1135" t="s">
        <v>54</v>
      </c>
      <c r="L1135">
        <v>87</v>
      </c>
      <c r="M1135">
        <v>4</v>
      </c>
      <c r="N1135">
        <v>1</v>
      </c>
      <c r="O1135" t="s">
        <v>63</v>
      </c>
      <c r="P1135">
        <v>2</v>
      </c>
      <c r="Q1135" t="s">
        <v>74</v>
      </c>
      <c r="R1135">
        <v>4876</v>
      </c>
      <c r="S1135">
        <v>5855</v>
      </c>
      <c r="T1135">
        <v>5</v>
      </c>
      <c r="U1135" t="s">
        <v>51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  <c r="AG1135" t="s">
        <v>45</v>
      </c>
      <c r="AH1135" t="s">
        <v>81</v>
      </c>
      <c r="AI1135">
        <v>0</v>
      </c>
      <c r="AJ1135" t="s">
        <v>58</v>
      </c>
      <c r="AK1135" t="s">
        <v>72</v>
      </c>
      <c r="AL1135" t="s">
        <v>60</v>
      </c>
      <c r="AM1135" t="s">
        <v>61</v>
      </c>
      <c r="AN1135">
        <f t="shared" si="17"/>
        <v>3</v>
      </c>
    </row>
    <row r="1136" spans="1:40">
      <c r="A1136">
        <v>35</v>
      </c>
      <c r="B1136" t="s">
        <v>51</v>
      </c>
      <c r="C1136" t="s">
        <v>39</v>
      </c>
      <c r="D1136">
        <v>1349</v>
      </c>
      <c r="E1136" t="s">
        <v>53</v>
      </c>
      <c r="F1136">
        <v>7</v>
      </c>
      <c r="G1136">
        <v>2</v>
      </c>
      <c r="H1136" t="s">
        <v>41</v>
      </c>
      <c r="I1136">
        <v>1601</v>
      </c>
      <c r="J1136">
        <v>3</v>
      </c>
      <c r="K1136" t="s">
        <v>54</v>
      </c>
      <c r="L1136">
        <v>63</v>
      </c>
      <c r="M1136">
        <v>2</v>
      </c>
      <c r="N1136">
        <v>1</v>
      </c>
      <c r="O1136" t="s">
        <v>63</v>
      </c>
      <c r="P1136">
        <v>4</v>
      </c>
      <c r="Q1136" t="s">
        <v>56</v>
      </c>
      <c r="R1136">
        <v>2690</v>
      </c>
      <c r="S1136">
        <v>7713</v>
      </c>
      <c r="T1136">
        <v>1</v>
      </c>
      <c r="U1136" t="s">
        <v>51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  <c r="AG1136" t="s">
        <v>67</v>
      </c>
      <c r="AH1136" t="s">
        <v>71</v>
      </c>
      <c r="AI1136">
        <v>0</v>
      </c>
      <c r="AJ1136" t="s">
        <v>47</v>
      </c>
      <c r="AK1136" t="s">
        <v>48</v>
      </c>
      <c r="AL1136" t="s">
        <v>49</v>
      </c>
      <c r="AM1136" t="s">
        <v>70</v>
      </c>
      <c r="AN1136">
        <f t="shared" si="17"/>
        <v>-1</v>
      </c>
    </row>
    <row r="1137" spans="1:40">
      <c r="A1137">
        <v>46</v>
      </c>
      <c r="B1137" t="s">
        <v>51</v>
      </c>
      <c r="C1137" t="s">
        <v>39</v>
      </c>
      <c r="D1137">
        <v>563</v>
      </c>
      <c r="E1137" t="s">
        <v>40</v>
      </c>
      <c r="F1137">
        <v>1</v>
      </c>
      <c r="G1137">
        <v>4</v>
      </c>
      <c r="H1137" t="s">
        <v>41</v>
      </c>
      <c r="I1137">
        <v>1602</v>
      </c>
      <c r="J1137">
        <v>4</v>
      </c>
      <c r="K1137" t="s">
        <v>54</v>
      </c>
      <c r="L1137">
        <v>56</v>
      </c>
      <c r="M1137">
        <v>4</v>
      </c>
      <c r="N1137">
        <v>4</v>
      </c>
      <c r="O1137" t="s">
        <v>79</v>
      </c>
      <c r="P1137">
        <v>1</v>
      </c>
      <c r="Q1137" t="s">
        <v>44</v>
      </c>
      <c r="R1137">
        <v>17567</v>
      </c>
      <c r="S1137">
        <v>3156</v>
      </c>
      <c r="T1137">
        <v>1</v>
      </c>
      <c r="U1137" t="s">
        <v>51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  <c r="AG1137" t="s">
        <v>57</v>
      </c>
      <c r="AH1137" t="s">
        <v>81</v>
      </c>
      <c r="AI1137">
        <v>0</v>
      </c>
      <c r="AJ1137" t="s">
        <v>47</v>
      </c>
      <c r="AK1137" t="s">
        <v>68</v>
      </c>
      <c r="AL1137" t="s">
        <v>73</v>
      </c>
      <c r="AM1137" t="s">
        <v>50</v>
      </c>
      <c r="AN1137">
        <f t="shared" si="17"/>
        <v>10</v>
      </c>
    </row>
    <row r="1138" spans="1:40">
      <c r="A1138">
        <v>28</v>
      </c>
      <c r="B1138" t="s">
        <v>38</v>
      </c>
      <c r="C1138" t="s">
        <v>39</v>
      </c>
      <c r="D1138">
        <v>329</v>
      </c>
      <c r="E1138" t="s">
        <v>53</v>
      </c>
      <c r="F1138">
        <v>24</v>
      </c>
      <c r="G1138">
        <v>3</v>
      </c>
      <c r="H1138" t="s">
        <v>69</v>
      </c>
      <c r="I1138">
        <v>1604</v>
      </c>
      <c r="J1138">
        <v>3</v>
      </c>
      <c r="K1138" t="s">
        <v>54</v>
      </c>
      <c r="L1138">
        <v>51</v>
      </c>
      <c r="M1138">
        <v>3</v>
      </c>
      <c r="N1138">
        <v>1</v>
      </c>
      <c r="O1138" t="s">
        <v>63</v>
      </c>
      <c r="P1138">
        <v>2</v>
      </c>
      <c r="Q1138" t="s">
        <v>56</v>
      </c>
      <c r="R1138">
        <v>2408</v>
      </c>
      <c r="S1138">
        <v>7324</v>
      </c>
      <c r="T1138">
        <v>1</v>
      </c>
      <c r="U1138" t="s">
        <v>38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  <c r="AG1138" t="s">
        <v>67</v>
      </c>
      <c r="AH1138" t="s">
        <v>71</v>
      </c>
      <c r="AI1138">
        <v>1</v>
      </c>
      <c r="AJ1138" t="s">
        <v>65</v>
      </c>
      <c r="AK1138" t="s">
        <v>72</v>
      </c>
      <c r="AL1138" t="s">
        <v>60</v>
      </c>
      <c r="AM1138" t="s">
        <v>61</v>
      </c>
      <c r="AN1138">
        <f t="shared" si="17"/>
        <v>3</v>
      </c>
    </row>
    <row r="1139" spans="1:40">
      <c r="A1139">
        <v>22</v>
      </c>
      <c r="B1139" t="s">
        <v>51</v>
      </c>
      <c r="C1139" t="s">
        <v>77</v>
      </c>
      <c r="D1139">
        <v>457</v>
      </c>
      <c r="E1139" t="s">
        <v>53</v>
      </c>
      <c r="F1139">
        <v>26</v>
      </c>
      <c r="G1139">
        <v>2</v>
      </c>
      <c r="H1139" t="s">
        <v>62</v>
      </c>
      <c r="I1139">
        <v>1605</v>
      </c>
      <c r="J1139">
        <v>2</v>
      </c>
      <c r="K1139" t="s">
        <v>42</v>
      </c>
      <c r="L1139">
        <v>85</v>
      </c>
      <c r="M1139">
        <v>2</v>
      </c>
      <c r="N1139">
        <v>1</v>
      </c>
      <c r="O1139" t="s">
        <v>55</v>
      </c>
      <c r="P1139">
        <v>3</v>
      </c>
      <c r="Q1139" t="s">
        <v>56</v>
      </c>
      <c r="R1139">
        <v>2814</v>
      </c>
      <c r="S1139">
        <v>10293</v>
      </c>
      <c r="T1139">
        <v>1</v>
      </c>
      <c r="U1139" t="s">
        <v>38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  <c r="AG1139" t="s">
        <v>78</v>
      </c>
      <c r="AH1139" t="s">
        <v>46</v>
      </c>
      <c r="AI1139">
        <v>0</v>
      </c>
      <c r="AJ1139" t="s">
        <v>47</v>
      </c>
      <c r="AK1139" t="s">
        <v>48</v>
      </c>
      <c r="AL1139" t="s">
        <v>66</v>
      </c>
      <c r="AM1139" t="s">
        <v>70</v>
      </c>
      <c r="AN1139">
        <f t="shared" si="17"/>
        <v>3</v>
      </c>
    </row>
    <row r="1140" spans="1:40">
      <c r="A1140">
        <v>50</v>
      </c>
      <c r="B1140" t="s">
        <v>51</v>
      </c>
      <c r="C1140" t="s">
        <v>52</v>
      </c>
      <c r="D1140">
        <v>1234</v>
      </c>
      <c r="E1140" t="s">
        <v>53</v>
      </c>
      <c r="F1140">
        <v>20</v>
      </c>
      <c r="G1140">
        <v>5</v>
      </c>
      <c r="H1140" t="s">
        <v>69</v>
      </c>
      <c r="I1140">
        <v>1606</v>
      </c>
      <c r="J1140">
        <v>2</v>
      </c>
      <c r="K1140" t="s">
        <v>54</v>
      </c>
      <c r="L1140">
        <v>41</v>
      </c>
      <c r="M1140">
        <v>3</v>
      </c>
      <c r="N1140">
        <v>4</v>
      </c>
      <c r="O1140" t="s">
        <v>76</v>
      </c>
      <c r="P1140">
        <v>3</v>
      </c>
      <c r="Q1140" t="s">
        <v>56</v>
      </c>
      <c r="R1140">
        <v>11245</v>
      </c>
      <c r="S1140">
        <v>20689</v>
      </c>
      <c r="T1140">
        <v>2</v>
      </c>
      <c r="U1140" t="s">
        <v>38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  <c r="AG1140" t="s">
        <v>57</v>
      </c>
      <c r="AH1140" t="s">
        <v>46</v>
      </c>
      <c r="AI1140">
        <v>0</v>
      </c>
      <c r="AJ1140" t="s">
        <v>80</v>
      </c>
      <c r="AK1140" t="s">
        <v>87</v>
      </c>
      <c r="AL1140" t="s">
        <v>66</v>
      </c>
      <c r="AM1140" t="s">
        <v>61</v>
      </c>
      <c r="AN1140">
        <f t="shared" si="17"/>
        <v>12</v>
      </c>
    </row>
    <row r="1141" spans="1:40">
      <c r="A1141">
        <v>32</v>
      </c>
      <c r="B1141" t="s">
        <v>51</v>
      </c>
      <c r="C1141" t="s">
        <v>39</v>
      </c>
      <c r="D1141">
        <v>634</v>
      </c>
      <c r="E1141" t="s">
        <v>53</v>
      </c>
      <c r="F1141">
        <v>5</v>
      </c>
      <c r="G1141">
        <v>4</v>
      </c>
      <c r="H1141" t="s">
        <v>62</v>
      </c>
      <c r="I1141">
        <v>1607</v>
      </c>
      <c r="J1141">
        <v>2</v>
      </c>
      <c r="K1141" t="s">
        <v>42</v>
      </c>
      <c r="L1141">
        <v>35</v>
      </c>
      <c r="M1141">
        <v>4</v>
      </c>
      <c r="N1141">
        <v>1</v>
      </c>
      <c r="O1141" t="s">
        <v>55</v>
      </c>
      <c r="P1141">
        <v>4</v>
      </c>
      <c r="Q1141" t="s">
        <v>56</v>
      </c>
      <c r="R1141">
        <v>3312</v>
      </c>
      <c r="S1141">
        <v>18783</v>
      </c>
      <c r="T1141">
        <v>3</v>
      </c>
      <c r="U1141" t="s">
        <v>51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  <c r="AG1141" t="s">
        <v>67</v>
      </c>
      <c r="AH1141" t="s">
        <v>46</v>
      </c>
      <c r="AI1141">
        <v>0</v>
      </c>
      <c r="AJ1141" t="s">
        <v>65</v>
      </c>
      <c r="AK1141" t="s">
        <v>68</v>
      </c>
      <c r="AL1141" t="s">
        <v>49</v>
      </c>
      <c r="AM1141" t="s">
        <v>61</v>
      </c>
      <c r="AN1141">
        <f t="shared" si="17"/>
        <v>-3</v>
      </c>
    </row>
    <row r="1142" spans="1:40">
      <c r="A1142">
        <v>44</v>
      </c>
      <c r="B1142" t="s">
        <v>51</v>
      </c>
      <c r="C1142" t="s">
        <v>39</v>
      </c>
      <c r="D1142">
        <v>1313</v>
      </c>
      <c r="E1142" t="s">
        <v>53</v>
      </c>
      <c r="F1142">
        <v>7</v>
      </c>
      <c r="G1142">
        <v>3</v>
      </c>
      <c r="H1142" t="s">
        <v>69</v>
      </c>
      <c r="I1142">
        <v>1608</v>
      </c>
      <c r="J1142">
        <v>2</v>
      </c>
      <c r="K1142" t="s">
        <v>42</v>
      </c>
      <c r="L1142">
        <v>31</v>
      </c>
      <c r="M1142">
        <v>3</v>
      </c>
      <c r="N1142">
        <v>5</v>
      </c>
      <c r="O1142" t="s">
        <v>83</v>
      </c>
      <c r="P1142">
        <v>4</v>
      </c>
      <c r="Q1142" t="s">
        <v>74</v>
      </c>
      <c r="R1142">
        <v>19049</v>
      </c>
      <c r="S1142">
        <v>3549</v>
      </c>
      <c r="T1142">
        <v>0</v>
      </c>
      <c r="U1142" t="s">
        <v>38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  <c r="AG1142" t="s">
        <v>45</v>
      </c>
      <c r="AH1142" t="s">
        <v>81</v>
      </c>
      <c r="AI1142">
        <v>0</v>
      </c>
      <c r="AJ1142" t="s">
        <v>47</v>
      </c>
      <c r="AK1142" t="s">
        <v>72</v>
      </c>
      <c r="AL1142" t="s">
        <v>49</v>
      </c>
      <c r="AM1142" t="s">
        <v>70</v>
      </c>
      <c r="AN1142">
        <f t="shared" si="17"/>
        <v>0</v>
      </c>
    </row>
    <row r="1143" spans="1:40">
      <c r="A1143">
        <v>30</v>
      </c>
      <c r="B1143" t="s">
        <v>51</v>
      </c>
      <c r="C1143" t="s">
        <v>39</v>
      </c>
      <c r="D1143">
        <v>241</v>
      </c>
      <c r="E1143" t="s">
        <v>53</v>
      </c>
      <c r="F1143">
        <v>7</v>
      </c>
      <c r="G1143">
        <v>3</v>
      </c>
      <c r="H1143" t="s">
        <v>69</v>
      </c>
      <c r="I1143">
        <v>1609</v>
      </c>
      <c r="J1143">
        <v>2</v>
      </c>
      <c r="K1143" t="s">
        <v>54</v>
      </c>
      <c r="L1143">
        <v>48</v>
      </c>
      <c r="M1143">
        <v>2</v>
      </c>
      <c r="N1143">
        <v>1</v>
      </c>
      <c r="O1143" t="s">
        <v>55</v>
      </c>
      <c r="P1143">
        <v>2</v>
      </c>
      <c r="Q1143" t="s">
        <v>56</v>
      </c>
      <c r="R1143">
        <v>2141</v>
      </c>
      <c r="S1143">
        <v>5348</v>
      </c>
      <c r="T1143">
        <v>1</v>
      </c>
      <c r="U1143" t="s">
        <v>51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  <c r="AG1143" t="s">
        <v>67</v>
      </c>
      <c r="AH1143" t="s">
        <v>81</v>
      </c>
      <c r="AI1143">
        <v>0</v>
      </c>
      <c r="AJ1143" t="s">
        <v>47</v>
      </c>
      <c r="AK1143" t="s">
        <v>72</v>
      </c>
      <c r="AL1143" t="s">
        <v>60</v>
      </c>
      <c r="AM1143" t="s">
        <v>70</v>
      </c>
      <c r="AN1143">
        <f t="shared" si="17"/>
        <v>6</v>
      </c>
    </row>
    <row r="1144" spans="1:40">
      <c r="A1144">
        <v>45</v>
      </c>
      <c r="B1144" t="s">
        <v>51</v>
      </c>
      <c r="C1144" t="s">
        <v>39</v>
      </c>
      <c r="D1144">
        <v>1015</v>
      </c>
      <c r="E1144" t="s">
        <v>53</v>
      </c>
      <c r="F1144">
        <v>5</v>
      </c>
      <c r="G1144">
        <v>5</v>
      </c>
      <c r="H1144" t="s">
        <v>69</v>
      </c>
      <c r="I1144">
        <v>1611</v>
      </c>
      <c r="J1144">
        <v>3</v>
      </c>
      <c r="K1144" t="s">
        <v>42</v>
      </c>
      <c r="L1144">
        <v>50</v>
      </c>
      <c r="M1144">
        <v>1</v>
      </c>
      <c r="N1144">
        <v>2</v>
      </c>
      <c r="O1144" t="s">
        <v>63</v>
      </c>
      <c r="P1144">
        <v>1</v>
      </c>
      <c r="Q1144" t="s">
        <v>44</v>
      </c>
      <c r="R1144">
        <v>5769</v>
      </c>
      <c r="S1144">
        <v>23447</v>
      </c>
      <c r="T1144">
        <v>1</v>
      </c>
      <c r="U1144" t="s">
        <v>38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  <c r="AG1144" t="s">
        <v>45</v>
      </c>
      <c r="AH1144" t="s">
        <v>46</v>
      </c>
      <c r="AI1144">
        <v>0</v>
      </c>
      <c r="AJ1144" t="s">
        <v>58</v>
      </c>
      <c r="AK1144" t="s">
        <v>87</v>
      </c>
      <c r="AL1144" t="s">
        <v>73</v>
      </c>
      <c r="AM1144" t="s">
        <v>61</v>
      </c>
      <c r="AN1144">
        <f t="shared" si="17"/>
        <v>7</v>
      </c>
    </row>
    <row r="1145" spans="1:40">
      <c r="A1145">
        <v>45</v>
      </c>
      <c r="B1145" t="s">
        <v>51</v>
      </c>
      <c r="C1145" t="s">
        <v>77</v>
      </c>
      <c r="D1145">
        <v>336</v>
      </c>
      <c r="E1145" t="s">
        <v>40</v>
      </c>
      <c r="F1145">
        <v>26</v>
      </c>
      <c r="G1145">
        <v>3</v>
      </c>
      <c r="H1145" t="s">
        <v>84</v>
      </c>
      <c r="I1145">
        <v>1612</v>
      </c>
      <c r="J1145">
        <v>1</v>
      </c>
      <c r="K1145" t="s">
        <v>54</v>
      </c>
      <c r="L1145">
        <v>52</v>
      </c>
      <c r="M1145">
        <v>2</v>
      </c>
      <c r="N1145">
        <v>2</v>
      </c>
      <c r="O1145" t="s">
        <v>43</v>
      </c>
      <c r="P1145">
        <v>1</v>
      </c>
      <c r="Q1145" t="s">
        <v>56</v>
      </c>
      <c r="R1145">
        <v>4385</v>
      </c>
      <c r="S1145">
        <v>24162</v>
      </c>
      <c r="T1145">
        <v>1</v>
      </c>
      <c r="U1145" t="s">
        <v>51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  <c r="AG1145" t="s">
        <v>45</v>
      </c>
      <c r="AH1145" t="s">
        <v>46</v>
      </c>
      <c r="AI1145">
        <v>0</v>
      </c>
      <c r="AJ1145" t="s">
        <v>58</v>
      </c>
      <c r="AK1145" t="s">
        <v>72</v>
      </c>
      <c r="AL1145" t="s">
        <v>73</v>
      </c>
      <c r="AM1145" t="s">
        <v>61</v>
      </c>
      <c r="AN1145">
        <f t="shared" si="17"/>
        <v>10</v>
      </c>
    </row>
    <row r="1146" spans="1:40">
      <c r="A1146">
        <v>31</v>
      </c>
      <c r="B1146" t="s">
        <v>51</v>
      </c>
      <c r="C1146" t="s">
        <v>52</v>
      </c>
      <c r="D1146">
        <v>715</v>
      </c>
      <c r="E1146" t="s">
        <v>40</v>
      </c>
      <c r="F1146">
        <v>2</v>
      </c>
      <c r="G1146">
        <v>4</v>
      </c>
      <c r="H1146" t="s">
        <v>62</v>
      </c>
      <c r="I1146">
        <v>1613</v>
      </c>
      <c r="J1146">
        <v>4</v>
      </c>
      <c r="K1146" t="s">
        <v>54</v>
      </c>
      <c r="L1146">
        <v>54</v>
      </c>
      <c r="M1146">
        <v>3</v>
      </c>
      <c r="N1146">
        <v>2</v>
      </c>
      <c r="O1146" t="s">
        <v>43</v>
      </c>
      <c r="P1146">
        <v>1</v>
      </c>
      <c r="Q1146" t="s">
        <v>44</v>
      </c>
      <c r="R1146">
        <v>5332</v>
      </c>
      <c r="S1146">
        <v>21602</v>
      </c>
      <c r="T1146">
        <v>7</v>
      </c>
      <c r="U1146" t="s">
        <v>51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  <c r="AG1146" t="s">
        <v>67</v>
      </c>
      <c r="AH1146" t="s">
        <v>46</v>
      </c>
      <c r="AI1146">
        <v>0</v>
      </c>
      <c r="AJ1146" t="s">
        <v>65</v>
      </c>
      <c r="AK1146" t="s">
        <v>68</v>
      </c>
      <c r="AL1146" t="s">
        <v>73</v>
      </c>
      <c r="AM1146" t="s">
        <v>61</v>
      </c>
      <c r="AN1146">
        <f t="shared" si="17"/>
        <v>6</v>
      </c>
    </row>
    <row r="1147" spans="1:40">
      <c r="A1147">
        <v>36</v>
      </c>
      <c r="B1147" t="s">
        <v>51</v>
      </c>
      <c r="C1147" t="s">
        <v>39</v>
      </c>
      <c r="D1147">
        <v>559</v>
      </c>
      <c r="E1147" t="s">
        <v>53</v>
      </c>
      <c r="F1147">
        <v>12</v>
      </c>
      <c r="G1147">
        <v>4</v>
      </c>
      <c r="H1147" t="s">
        <v>41</v>
      </c>
      <c r="I1147">
        <v>1614</v>
      </c>
      <c r="J1147">
        <v>3</v>
      </c>
      <c r="K1147" t="s">
        <v>42</v>
      </c>
      <c r="L1147">
        <v>76</v>
      </c>
      <c r="M1147">
        <v>3</v>
      </c>
      <c r="N1147">
        <v>2</v>
      </c>
      <c r="O1147" t="s">
        <v>75</v>
      </c>
      <c r="P1147">
        <v>3</v>
      </c>
      <c r="Q1147" t="s">
        <v>56</v>
      </c>
      <c r="R1147">
        <v>4663</v>
      </c>
      <c r="S1147">
        <v>12421</v>
      </c>
      <c r="T1147">
        <v>9</v>
      </c>
      <c r="U1147" t="s">
        <v>38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  <c r="AG1147" t="s">
        <v>45</v>
      </c>
      <c r="AH1147" t="s">
        <v>46</v>
      </c>
      <c r="AI1147">
        <v>0</v>
      </c>
      <c r="AJ1147" t="s">
        <v>65</v>
      </c>
      <c r="AK1147" t="s">
        <v>68</v>
      </c>
      <c r="AL1147" t="s">
        <v>66</v>
      </c>
      <c r="AM1147" t="s">
        <v>61</v>
      </c>
      <c r="AN1147">
        <f t="shared" si="17"/>
        <v>1</v>
      </c>
    </row>
    <row r="1148" spans="1:40">
      <c r="A1148">
        <v>34</v>
      </c>
      <c r="B1148" t="s">
        <v>51</v>
      </c>
      <c r="C1148" t="s">
        <v>52</v>
      </c>
      <c r="D1148">
        <v>426</v>
      </c>
      <c r="E1148" t="s">
        <v>53</v>
      </c>
      <c r="F1148">
        <v>10</v>
      </c>
      <c r="G1148">
        <v>4</v>
      </c>
      <c r="H1148" t="s">
        <v>41</v>
      </c>
      <c r="I1148">
        <v>1615</v>
      </c>
      <c r="J1148">
        <v>3</v>
      </c>
      <c r="K1148" t="s">
        <v>54</v>
      </c>
      <c r="L1148">
        <v>42</v>
      </c>
      <c r="M1148">
        <v>4</v>
      </c>
      <c r="N1148">
        <v>2</v>
      </c>
      <c r="O1148" t="s">
        <v>75</v>
      </c>
      <c r="P1148">
        <v>4</v>
      </c>
      <c r="Q1148" t="s">
        <v>74</v>
      </c>
      <c r="R1148">
        <v>4724</v>
      </c>
      <c r="S1148">
        <v>17000</v>
      </c>
      <c r="T1148">
        <v>1</v>
      </c>
      <c r="U1148" t="s">
        <v>51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  <c r="AG1148" t="s">
        <v>67</v>
      </c>
      <c r="AH1148" t="s">
        <v>46</v>
      </c>
      <c r="AI1148">
        <v>0</v>
      </c>
      <c r="AJ1148" t="s">
        <v>58</v>
      </c>
      <c r="AK1148" t="s">
        <v>68</v>
      </c>
      <c r="AL1148" t="s">
        <v>49</v>
      </c>
      <c r="AM1148" t="s">
        <v>61</v>
      </c>
      <c r="AN1148">
        <f t="shared" si="17"/>
        <v>4</v>
      </c>
    </row>
    <row r="1149" spans="1:40">
      <c r="A1149">
        <v>49</v>
      </c>
      <c r="B1149" t="s">
        <v>51</v>
      </c>
      <c r="C1149" t="s">
        <v>39</v>
      </c>
      <c r="D1149">
        <v>722</v>
      </c>
      <c r="E1149" t="s">
        <v>53</v>
      </c>
      <c r="F1149">
        <v>25</v>
      </c>
      <c r="G1149">
        <v>4</v>
      </c>
      <c r="H1149" t="s">
        <v>41</v>
      </c>
      <c r="I1149">
        <v>1617</v>
      </c>
      <c r="J1149">
        <v>3</v>
      </c>
      <c r="K1149" t="s">
        <v>42</v>
      </c>
      <c r="L1149">
        <v>84</v>
      </c>
      <c r="M1149">
        <v>3</v>
      </c>
      <c r="N1149">
        <v>1</v>
      </c>
      <c r="O1149" t="s">
        <v>63</v>
      </c>
      <c r="P1149">
        <v>1</v>
      </c>
      <c r="Q1149" t="s">
        <v>56</v>
      </c>
      <c r="R1149">
        <v>3211</v>
      </c>
      <c r="S1149">
        <v>22102</v>
      </c>
      <c r="T1149">
        <v>1</v>
      </c>
      <c r="U1149" t="s">
        <v>51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  <c r="AG1149" t="s">
        <v>57</v>
      </c>
      <c r="AH1149" t="s">
        <v>46</v>
      </c>
      <c r="AI1149">
        <v>0</v>
      </c>
      <c r="AJ1149" t="s">
        <v>47</v>
      </c>
      <c r="AK1149" t="s">
        <v>68</v>
      </c>
      <c r="AL1149" t="s">
        <v>73</v>
      </c>
      <c r="AM1149" t="s">
        <v>70</v>
      </c>
      <c r="AN1149">
        <f t="shared" si="17"/>
        <v>9</v>
      </c>
    </row>
    <row r="1150" spans="1:40">
      <c r="A1150">
        <v>39</v>
      </c>
      <c r="B1150" t="s">
        <v>51</v>
      </c>
      <c r="C1150" t="s">
        <v>39</v>
      </c>
      <c r="D1150">
        <v>1387</v>
      </c>
      <c r="E1150" t="s">
        <v>53</v>
      </c>
      <c r="F1150">
        <v>10</v>
      </c>
      <c r="G1150">
        <v>5</v>
      </c>
      <c r="H1150" t="s">
        <v>69</v>
      </c>
      <c r="I1150">
        <v>1618</v>
      </c>
      <c r="J1150">
        <v>2</v>
      </c>
      <c r="K1150" t="s">
        <v>54</v>
      </c>
      <c r="L1150">
        <v>76</v>
      </c>
      <c r="M1150">
        <v>3</v>
      </c>
      <c r="N1150">
        <v>2</v>
      </c>
      <c r="O1150" t="s">
        <v>75</v>
      </c>
      <c r="P1150">
        <v>1</v>
      </c>
      <c r="Q1150" t="s">
        <v>56</v>
      </c>
      <c r="R1150">
        <v>5377</v>
      </c>
      <c r="S1150">
        <v>3835</v>
      </c>
      <c r="T1150">
        <v>2</v>
      </c>
      <c r="U1150" t="s">
        <v>51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  <c r="AG1150" t="s">
        <v>45</v>
      </c>
      <c r="AH1150" t="s">
        <v>81</v>
      </c>
      <c r="AI1150">
        <v>0</v>
      </c>
      <c r="AJ1150" t="s">
        <v>58</v>
      </c>
      <c r="AK1150" t="s">
        <v>87</v>
      </c>
      <c r="AL1150" t="s">
        <v>73</v>
      </c>
      <c r="AM1150" t="s">
        <v>61</v>
      </c>
      <c r="AN1150">
        <f t="shared" si="17"/>
        <v>13</v>
      </c>
    </row>
    <row r="1151" spans="1:40">
      <c r="A1151">
        <v>27</v>
      </c>
      <c r="B1151" t="s">
        <v>51</v>
      </c>
      <c r="C1151" t="s">
        <v>39</v>
      </c>
      <c r="D1151">
        <v>1302</v>
      </c>
      <c r="E1151" t="s">
        <v>53</v>
      </c>
      <c r="F1151">
        <v>19</v>
      </c>
      <c r="G1151">
        <v>3</v>
      </c>
      <c r="H1151" t="s">
        <v>62</v>
      </c>
      <c r="I1151">
        <v>1619</v>
      </c>
      <c r="J1151">
        <v>4</v>
      </c>
      <c r="K1151" t="s">
        <v>54</v>
      </c>
      <c r="L1151">
        <v>67</v>
      </c>
      <c r="M1151">
        <v>2</v>
      </c>
      <c r="N1151">
        <v>1</v>
      </c>
      <c r="O1151" t="s">
        <v>63</v>
      </c>
      <c r="P1151">
        <v>1</v>
      </c>
      <c r="Q1151" t="s">
        <v>74</v>
      </c>
      <c r="R1151">
        <v>4066</v>
      </c>
      <c r="S1151">
        <v>16290</v>
      </c>
      <c r="T1151">
        <v>1</v>
      </c>
      <c r="U1151" t="s">
        <v>51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  <c r="AG1151" t="s">
        <v>67</v>
      </c>
      <c r="AH1151" t="s">
        <v>46</v>
      </c>
      <c r="AI1151">
        <v>0</v>
      </c>
      <c r="AJ1151" t="s">
        <v>58</v>
      </c>
      <c r="AK1151" t="s">
        <v>72</v>
      </c>
      <c r="AL1151" t="s">
        <v>73</v>
      </c>
      <c r="AM1151" t="s">
        <v>61</v>
      </c>
      <c r="AN1151">
        <f t="shared" si="17"/>
        <v>6</v>
      </c>
    </row>
    <row r="1152" spans="1:40">
      <c r="A1152">
        <v>35</v>
      </c>
      <c r="B1152" t="s">
        <v>51</v>
      </c>
      <c r="C1152" t="s">
        <v>39</v>
      </c>
      <c r="D1152">
        <v>819</v>
      </c>
      <c r="E1152" t="s">
        <v>53</v>
      </c>
      <c r="F1152">
        <v>18</v>
      </c>
      <c r="G1152">
        <v>5</v>
      </c>
      <c r="H1152" t="s">
        <v>41</v>
      </c>
      <c r="I1152">
        <v>1621</v>
      </c>
      <c r="J1152">
        <v>2</v>
      </c>
      <c r="K1152" t="s">
        <v>54</v>
      </c>
      <c r="L1152">
        <v>48</v>
      </c>
      <c r="M1152">
        <v>4</v>
      </c>
      <c r="N1152">
        <v>2</v>
      </c>
      <c r="O1152" t="s">
        <v>55</v>
      </c>
      <c r="P1152">
        <v>1</v>
      </c>
      <c r="Q1152" t="s">
        <v>56</v>
      </c>
      <c r="R1152">
        <v>5208</v>
      </c>
      <c r="S1152">
        <v>26312</v>
      </c>
      <c r="T1152">
        <v>1</v>
      </c>
      <c r="U1152" t="s">
        <v>51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  <c r="AG1152" t="s">
        <v>67</v>
      </c>
      <c r="AH1152" t="s">
        <v>46</v>
      </c>
      <c r="AI1152">
        <v>0</v>
      </c>
      <c r="AJ1152" t="s">
        <v>80</v>
      </c>
      <c r="AK1152" t="s">
        <v>87</v>
      </c>
      <c r="AL1152" t="s">
        <v>73</v>
      </c>
      <c r="AM1152" t="s">
        <v>61</v>
      </c>
      <c r="AN1152">
        <f t="shared" si="17"/>
        <v>7</v>
      </c>
    </row>
    <row r="1153" spans="1:40">
      <c r="A1153">
        <v>28</v>
      </c>
      <c r="B1153" t="s">
        <v>51</v>
      </c>
      <c r="C1153" t="s">
        <v>39</v>
      </c>
      <c r="D1153">
        <v>580</v>
      </c>
      <c r="E1153" t="s">
        <v>53</v>
      </c>
      <c r="F1153">
        <v>27</v>
      </c>
      <c r="G1153">
        <v>3</v>
      </c>
      <c r="H1153" t="s">
        <v>69</v>
      </c>
      <c r="I1153">
        <v>1622</v>
      </c>
      <c r="J1153">
        <v>2</v>
      </c>
      <c r="K1153" t="s">
        <v>42</v>
      </c>
      <c r="L1153">
        <v>39</v>
      </c>
      <c r="M1153">
        <v>1</v>
      </c>
      <c r="N1153">
        <v>2</v>
      </c>
      <c r="O1153" t="s">
        <v>75</v>
      </c>
      <c r="P1153">
        <v>1</v>
      </c>
      <c r="Q1153" t="s">
        <v>74</v>
      </c>
      <c r="R1153">
        <v>4877</v>
      </c>
      <c r="S1153">
        <v>20460</v>
      </c>
      <c r="T1153">
        <v>0</v>
      </c>
      <c r="U1153" t="s">
        <v>51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  <c r="AG1153" t="s">
        <v>67</v>
      </c>
      <c r="AH1153" t="s">
        <v>46</v>
      </c>
      <c r="AI1153">
        <v>0</v>
      </c>
      <c r="AJ1153" t="s">
        <v>47</v>
      </c>
      <c r="AK1153" t="s">
        <v>72</v>
      </c>
      <c r="AL1153" t="s">
        <v>73</v>
      </c>
      <c r="AM1153" t="s">
        <v>70</v>
      </c>
      <c r="AN1153">
        <f t="shared" si="17"/>
        <v>8</v>
      </c>
    </row>
    <row r="1154" spans="1:40">
      <c r="A1154">
        <v>21</v>
      </c>
      <c r="B1154" t="s">
        <v>51</v>
      </c>
      <c r="C1154" t="s">
        <v>39</v>
      </c>
      <c r="D1154">
        <v>546</v>
      </c>
      <c r="E1154" t="s">
        <v>53</v>
      </c>
      <c r="F1154">
        <v>5</v>
      </c>
      <c r="G1154">
        <v>1</v>
      </c>
      <c r="H1154" t="s">
        <v>69</v>
      </c>
      <c r="I1154">
        <v>1623</v>
      </c>
      <c r="J1154">
        <v>3</v>
      </c>
      <c r="K1154" t="s">
        <v>54</v>
      </c>
      <c r="L1154">
        <v>97</v>
      </c>
      <c r="M1154">
        <v>3</v>
      </c>
      <c r="N1154">
        <v>1</v>
      </c>
      <c r="O1154" t="s">
        <v>55</v>
      </c>
      <c r="P1154">
        <v>4</v>
      </c>
      <c r="Q1154" t="s">
        <v>44</v>
      </c>
      <c r="R1154">
        <v>3117</v>
      </c>
      <c r="S1154">
        <v>26009</v>
      </c>
      <c r="T1154">
        <v>1</v>
      </c>
      <c r="U1154" t="s">
        <v>51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  <c r="AG1154" t="s">
        <v>78</v>
      </c>
      <c r="AH1154" t="s">
        <v>46</v>
      </c>
      <c r="AI1154">
        <v>0</v>
      </c>
      <c r="AJ1154" t="s">
        <v>65</v>
      </c>
      <c r="AK1154" t="s">
        <v>59</v>
      </c>
      <c r="AL1154" t="s">
        <v>49</v>
      </c>
      <c r="AM1154" t="s">
        <v>61</v>
      </c>
      <c r="AN1154">
        <f t="shared" si="17"/>
        <v>-1</v>
      </c>
    </row>
    <row r="1155" spans="1:40">
      <c r="A1155">
        <v>18</v>
      </c>
      <c r="B1155" t="s">
        <v>38</v>
      </c>
      <c r="C1155" t="s">
        <v>52</v>
      </c>
      <c r="D1155">
        <v>544</v>
      </c>
      <c r="E1155" t="s">
        <v>40</v>
      </c>
      <c r="F1155">
        <v>3</v>
      </c>
      <c r="G1155">
        <v>2</v>
      </c>
      <c r="H1155" t="s">
        <v>69</v>
      </c>
      <c r="I1155">
        <v>1624</v>
      </c>
      <c r="J1155">
        <v>2</v>
      </c>
      <c r="K1155" t="s">
        <v>42</v>
      </c>
      <c r="L1155">
        <v>70</v>
      </c>
      <c r="M1155">
        <v>3</v>
      </c>
      <c r="N1155">
        <v>1</v>
      </c>
      <c r="O1155" t="s">
        <v>82</v>
      </c>
      <c r="P1155">
        <v>4</v>
      </c>
      <c r="Q1155" t="s">
        <v>44</v>
      </c>
      <c r="R1155">
        <v>1569</v>
      </c>
      <c r="S1155">
        <v>18420</v>
      </c>
      <c r="T1155">
        <v>1</v>
      </c>
      <c r="U1155" t="s">
        <v>38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  <c r="AG1155" t="s">
        <v>78</v>
      </c>
      <c r="AH1155" t="s">
        <v>46</v>
      </c>
      <c r="AI1155">
        <v>1</v>
      </c>
      <c r="AJ1155" t="s">
        <v>65</v>
      </c>
      <c r="AK1155" t="s">
        <v>48</v>
      </c>
      <c r="AL1155" t="s">
        <v>49</v>
      </c>
      <c r="AM1155" t="s">
        <v>85</v>
      </c>
      <c r="AN1155">
        <f t="shared" ref="AN1155:AN1218" si="18">((3-P1155)*3+((3-AB1155)*2+AE1155))</f>
        <v>-5</v>
      </c>
    </row>
    <row r="1156" spans="1:40">
      <c r="A1156">
        <v>47</v>
      </c>
      <c r="B1156" t="s">
        <v>51</v>
      </c>
      <c r="C1156" t="s">
        <v>39</v>
      </c>
      <c r="D1156">
        <v>1176</v>
      </c>
      <c r="E1156" t="s">
        <v>88</v>
      </c>
      <c r="F1156">
        <v>26</v>
      </c>
      <c r="G1156">
        <v>4</v>
      </c>
      <c r="H1156" t="s">
        <v>41</v>
      </c>
      <c r="I1156">
        <v>1625</v>
      </c>
      <c r="J1156">
        <v>4</v>
      </c>
      <c r="K1156" t="s">
        <v>42</v>
      </c>
      <c r="L1156">
        <v>98</v>
      </c>
      <c r="M1156">
        <v>3</v>
      </c>
      <c r="N1156">
        <v>5</v>
      </c>
      <c r="O1156" t="s">
        <v>79</v>
      </c>
      <c r="P1156">
        <v>3</v>
      </c>
      <c r="Q1156" t="s">
        <v>56</v>
      </c>
      <c r="R1156">
        <v>19658</v>
      </c>
      <c r="S1156">
        <v>5220</v>
      </c>
      <c r="T1156">
        <v>3</v>
      </c>
      <c r="U1156" t="s">
        <v>51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  <c r="AG1156" t="s">
        <v>57</v>
      </c>
      <c r="AH1156" t="s">
        <v>81</v>
      </c>
      <c r="AI1156">
        <v>0</v>
      </c>
      <c r="AJ1156" t="s">
        <v>65</v>
      </c>
      <c r="AK1156" t="s">
        <v>68</v>
      </c>
      <c r="AL1156" t="s">
        <v>66</v>
      </c>
      <c r="AM1156" t="s">
        <v>61</v>
      </c>
      <c r="AN1156">
        <f t="shared" si="18"/>
        <v>1</v>
      </c>
    </row>
    <row r="1157" spans="1:40">
      <c r="A1157">
        <v>39</v>
      </c>
      <c r="B1157" t="s">
        <v>51</v>
      </c>
      <c r="C1157" t="s">
        <v>39</v>
      </c>
      <c r="D1157">
        <v>170</v>
      </c>
      <c r="E1157" t="s">
        <v>53</v>
      </c>
      <c r="F1157">
        <v>3</v>
      </c>
      <c r="G1157">
        <v>2</v>
      </c>
      <c r="H1157" t="s">
        <v>69</v>
      </c>
      <c r="I1157">
        <v>1627</v>
      </c>
      <c r="J1157">
        <v>3</v>
      </c>
      <c r="K1157" t="s">
        <v>54</v>
      </c>
      <c r="L1157">
        <v>76</v>
      </c>
      <c r="M1157">
        <v>2</v>
      </c>
      <c r="N1157">
        <v>2</v>
      </c>
      <c r="O1157" t="s">
        <v>63</v>
      </c>
      <c r="P1157">
        <v>3</v>
      </c>
      <c r="Q1157" t="s">
        <v>74</v>
      </c>
      <c r="R1157">
        <v>3069</v>
      </c>
      <c r="S1157">
        <v>10302</v>
      </c>
      <c r="T1157">
        <v>0</v>
      </c>
      <c r="U1157" t="s">
        <v>51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  <c r="AG1157" t="s">
        <v>45</v>
      </c>
      <c r="AH1157" t="s">
        <v>46</v>
      </c>
      <c r="AI1157">
        <v>0</v>
      </c>
      <c r="AJ1157" t="s">
        <v>58</v>
      </c>
      <c r="AK1157" t="s">
        <v>48</v>
      </c>
      <c r="AL1157" t="s">
        <v>66</v>
      </c>
      <c r="AM1157" t="s">
        <v>61</v>
      </c>
      <c r="AN1157">
        <f t="shared" si="18"/>
        <v>0</v>
      </c>
    </row>
    <row r="1158" spans="1:40">
      <c r="A1158">
        <v>40</v>
      </c>
      <c r="B1158" t="s">
        <v>51</v>
      </c>
      <c r="C1158" t="s">
        <v>39</v>
      </c>
      <c r="D1158">
        <v>884</v>
      </c>
      <c r="E1158" t="s">
        <v>53</v>
      </c>
      <c r="F1158">
        <v>15</v>
      </c>
      <c r="G1158">
        <v>3</v>
      </c>
      <c r="H1158" t="s">
        <v>41</v>
      </c>
      <c r="I1158">
        <v>1628</v>
      </c>
      <c r="J1158">
        <v>1</v>
      </c>
      <c r="K1158" t="s">
        <v>42</v>
      </c>
      <c r="L1158">
        <v>80</v>
      </c>
      <c r="M1158">
        <v>2</v>
      </c>
      <c r="N1158">
        <v>3</v>
      </c>
      <c r="O1158" t="s">
        <v>75</v>
      </c>
      <c r="P1158">
        <v>3</v>
      </c>
      <c r="Q1158" t="s">
        <v>56</v>
      </c>
      <c r="R1158">
        <v>10435</v>
      </c>
      <c r="S1158">
        <v>25800</v>
      </c>
      <c r="T1158">
        <v>1</v>
      </c>
      <c r="U1158" t="s">
        <v>51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  <c r="AG1158" t="s">
        <v>45</v>
      </c>
      <c r="AH1158" t="s">
        <v>46</v>
      </c>
      <c r="AI1158">
        <v>0</v>
      </c>
      <c r="AJ1158" t="s">
        <v>80</v>
      </c>
      <c r="AK1158" t="s">
        <v>72</v>
      </c>
      <c r="AL1158" t="s">
        <v>66</v>
      </c>
      <c r="AM1158" t="s">
        <v>61</v>
      </c>
      <c r="AN1158">
        <f t="shared" si="18"/>
        <v>14</v>
      </c>
    </row>
    <row r="1159" spans="1:40">
      <c r="A1159">
        <v>35</v>
      </c>
      <c r="B1159" t="s">
        <v>51</v>
      </c>
      <c r="C1159" t="s">
        <v>77</v>
      </c>
      <c r="D1159">
        <v>208</v>
      </c>
      <c r="E1159" t="s">
        <v>53</v>
      </c>
      <c r="F1159">
        <v>8</v>
      </c>
      <c r="G1159">
        <v>4</v>
      </c>
      <c r="H1159" t="s">
        <v>41</v>
      </c>
      <c r="I1159">
        <v>1630</v>
      </c>
      <c r="J1159">
        <v>3</v>
      </c>
      <c r="K1159" t="s">
        <v>42</v>
      </c>
      <c r="L1159">
        <v>52</v>
      </c>
      <c r="M1159">
        <v>3</v>
      </c>
      <c r="N1159">
        <v>2</v>
      </c>
      <c r="O1159" t="s">
        <v>76</v>
      </c>
      <c r="P1159">
        <v>3</v>
      </c>
      <c r="Q1159" t="s">
        <v>56</v>
      </c>
      <c r="R1159">
        <v>4148</v>
      </c>
      <c r="S1159">
        <v>12250</v>
      </c>
      <c r="T1159">
        <v>1</v>
      </c>
      <c r="U1159" t="s">
        <v>51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  <c r="AG1159" t="s">
        <v>67</v>
      </c>
      <c r="AH1159" t="s">
        <v>46</v>
      </c>
      <c r="AI1159">
        <v>0</v>
      </c>
      <c r="AJ1159" t="s">
        <v>80</v>
      </c>
      <c r="AK1159" t="s">
        <v>68</v>
      </c>
      <c r="AL1159" t="s">
        <v>66</v>
      </c>
      <c r="AM1159" t="s">
        <v>61</v>
      </c>
      <c r="AN1159">
        <f t="shared" si="18"/>
        <v>2</v>
      </c>
    </row>
    <row r="1160" spans="1:40">
      <c r="A1160">
        <v>37</v>
      </c>
      <c r="B1160" t="s">
        <v>51</v>
      </c>
      <c r="C1160" t="s">
        <v>39</v>
      </c>
      <c r="D1160">
        <v>671</v>
      </c>
      <c r="E1160" t="s">
        <v>53</v>
      </c>
      <c r="F1160">
        <v>19</v>
      </c>
      <c r="G1160">
        <v>3</v>
      </c>
      <c r="H1160" t="s">
        <v>41</v>
      </c>
      <c r="I1160">
        <v>1631</v>
      </c>
      <c r="J1160">
        <v>3</v>
      </c>
      <c r="K1160" t="s">
        <v>54</v>
      </c>
      <c r="L1160">
        <v>85</v>
      </c>
      <c r="M1160">
        <v>3</v>
      </c>
      <c r="N1160">
        <v>2</v>
      </c>
      <c r="O1160" t="s">
        <v>75</v>
      </c>
      <c r="P1160">
        <v>3</v>
      </c>
      <c r="Q1160" t="s">
        <v>56</v>
      </c>
      <c r="R1160">
        <v>5768</v>
      </c>
      <c r="S1160">
        <v>26493</v>
      </c>
      <c r="T1160">
        <v>3</v>
      </c>
      <c r="U1160" t="s">
        <v>51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  <c r="AG1160" t="s">
        <v>45</v>
      </c>
      <c r="AH1160" t="s">
        <v>46</v>
      </c>
      <c r="AI1160">
        <v>0</v>
      </c>
      <c r="AJ1160" t="s">
        <v>47</v>
      </c>
      <c r="AK1160" t="s">
        <v>72</v>
      </c>
      <c r="AL1160" t="s">
        <v>66</v>
      </c>
      <c r="AM1160" t="s">
        <v>70</v>
      </c>
      <c r="AN1160">
        <f t="shared" si="18"/>
        <v>2</v>
      </c>
    </row>
    <row r="1161" spans="1:40">
      <c r="A1161">
        <v>39</v>
      </c>
      <c r="B1161" t="s">
        <v>51</v>
      </c>
      <c r="C1161" t="s">
        <v>52</v>
      </c>
      <c r="D1161">
        <v>711</v>
      </c>
      <c r="E1161" t="s">
        <v>53</v>
      </c>
      <c r="F1161">
        <v>4</v>
      </c>
      <c r="G1161">
        <v>3</v>
      </c>
      <c r="H1161" t="s">
        <v>69</v>
      </c>
      <c r="I1161">
        <v>1633</v>
      </c>
      <c r="J1161">
        <v>1</v>
      </c>
      <c r="K1161" t="s">
        <v>42</v>
      </c>
      <c r="L1161">
        <v>81</v>
      </c>
      <c r="M1161">
        <v>3</v>
      </c>
      <c r="N1161">
        <v>2</v>
      </c>
      <c r="O1161" t="s">
        <v>75</v>
      </c>
      <c r="P1161">
        <v>3</v>
      </c>
      <c r="Q1161" t="s">
        <v>44</v>
      </c>
      <c r="R1161">
        <v>5042</v>
      </c>
      <c r="S1161">
        <v>3140</v>
      </c>
      <c r="T1161">
        <v>0</v>
      </c>
      <c r="U1161" t="s">
        <v>51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  <c r="AG1161" t="s">
        <v>45</v>
      </c>
      <c r="AH1161" t="s">
        <v>81</v>
      </c>
      <c r="AI1161">
        <v>0</v>
      </c>
      <c r="AJ1161" t="s">
        <v>47</v>
      </c>
      <c r="AK1161" t="s">
        <v>72</v>
      </c>
      <c r="AL1161" t="s">
        <v>66</v>
      </c>
      <c r="AM1161" t="s">
        <v>50</v>
      </c>
      <c r="AN1161">
        <f t="shared" si="18"/>
        <v>7</v>
      </c>
    </row>
    <row r="1162" spans="1:40">
      <c r="A1162">
        <v>45</v>
      </c>
      <c r="B1162" t="s">
        <v>51</v>
      </c>
      <c r="C1162" t="s">
        <v>39</v>
      </c>
      <c r="D1162">
        <v>1329</v>
      </c>
      <c r="E1162" t="s">
        <v>53</v>
      </c>
      <c r="F1162">
        <v>2</v>
      </c>
      <c r="G1162">
        <v>2</v>
      </c>
      <c r="H1162" t="s">
        <v>62</v>
      </c>
      <c r="I1162">
        <v>1635</v>
      </c>
      <c r="J1162">
        <v>4</v>
      </c>
      <c r="K1162" t="s">
        <v>42</v>
      </c>
      <c r="L1162">
        <v>59</v>
      </c>
      <c r="M1162">
        <v>2</v>
      </c>
      <c r="N1162">
        <v>2</v>
      </c>
      <c r="O1162" t="s">
        <v>75</v>
      </c>
      <c r="P1162">
        <v>4</v>
      </c>
      <c r="Q1162" t="s">
        <v>74</v>
      </c>
      <c r="R1162">
        <v>5770</v>
      </c>
      <c r="S1162">
        <v>5388</v>
      </c>
      <c r="T1162">
        <v>1</v>
      </c>
      <c r="U1162" t="s">
        <v>51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  <c r="AG1162" t="s">
        <v>45</v>
      </c>
      <c r="AH1162" t="s">
        <v>81</v>
      </c>
      <c r="AI1162">
        <v>0</v>
      </c>
      <c r="AJ1162" t="s">
        <v>58</v>
      </c>
      <c r="AK1162" t="s">
        <v>48</v>
      </c>
      <c r="AL1162" t="s">
        <v>49</v>
      </c>
      <c r="AM1162" t="s">
        <v>61</v>
      </c>
      <c r="AN1162">
        <f t="shared" si="18"/>
        <v>0</v>
      </c>
    </row>
    <row r="1163" spans="1:40">
      <c r="A1163">
        <v>38</v>
      </c>
      <c r="B1163" t="s">
        <v>51</v>
      </c>
      <c r="C1163" t="s">
        <v>39</v>
      </c>
      <c r="D1163">
        <v>397</v>
      </c>
      <c r="E1163" t="s">
        <v>53</v>
      </c>
      <c r="F1163">
        <v>2</v>
      </c>
      <c r="G1163">
        <v>2</v>
      </c>
      <c r="H1163" t="s">
        <v>69</v>
      </c>
      <c r="I1163">
        <v>1638</v>
      </c>
      <c r="J1163">
        <v>4</v>
      </c>
      <c r="K1163" t="s">
        <v>42</v>
      </c>
      <c r="L1163">
        <v>54</v>
      </c>
      <c r="M1163">
        <v>2</v>
      </c>
      <c r="N1163">
        <v>3</v>
      </c>
      <c r="O1163" t="s">
        <v>75</v>
      </c>
      <c r="P1163">
        <v>3</v>
      </c>
      <c r="Q1163" t="s">
        <v>56</v>
      </c>
      <c r="R1163">
        <v>7756</v>
      </c>
      <c r="S1163">
        <v>14199</v>
      </c>
      <c r="T1163">
        <v>3</v>
      </c>
      <c r="U1163" t="s">
        <v>38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  <c r="AG1163" t="s">
        <v>45</v>
      </c>
      <c r="AH1163" t="s">
        <v>46</v>
      </c>
      <c r="AI1163">
        <v>0</v>
      </c>
      <c r="AJ1163" t="s">
        <v>65</v>
      </c>
      <c r="AK1163" t="s">
        <v>48</v>
      </c>
      <c r="AL1163" t="s">
        <v>66</v>
      </c>
      <c r="AM1163" t="s">
        <v>85</v>
      </c>
      <c r="AN1163">
        <f t="shared" si="18"/>
        <v>-2</v>
      </c>
    </row>
    <row r="1164" spans="1:40">
      <c r="A1164">
        <v>35</v>
      </c>
      <c r="B1164" t="s">
        <v>38</v>
      </c>
      <c r="C1164" t="s">
        <v>39</v>
      </c>
      <c r="D1164">
        <v>737</v>
      </c>
      <c r="E1164" t="s">
        <v>40</v>
      </c>
      <c r="F1164">
        <v>10</v>
      </c>
      <c r="G1164">
        <v>3</v>
      </c>
      <c r="H1164" t="s">
        <v>69</v>
      </c>
      <c r="I1164">
        <v>1639</v>
      </c>
      <c r="J1164">
        <v>4</v>
      </c>
      <c r="K1164" t="s">
        <v>54</v>
      </c>
      <c r="L1164">
        <v>55</v>
      </c>
      <c r="M1164">
        <v>2</v>
      </c>
      <c r="N1164">
        <v>3</v>
      </c>
      <c r="O1164" t="s">
        <v>43</v>
      </c>
      <c r="P1164">
        <v>1</v>
      </c>
      <c r="Q1164" t="s">
        <v>56</v>
      </c>
      <c r="R1164">
        <v>10306</v>
      </c>
      <c r="S1164">
        <v>21530</v>
      </c>
      <c r="T1164">
        <v>9</v>
      </c>
      <c r="U1164" t="s">
        <v>51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  <c r="AG1164" t="s">
        <v>67</v>
      </c>
      <c r="AH1164" t="s">
        <v>46</v>
      </c>
      <c r="AI1164">
        <v>1</v>
      </c>
      <c r="AJ1164" t="s">
        <v>80</v>
      </c>
      <c r="AK1164" t="s">
        <v>72</v>
      </c>
      <c r="AL1164" t="s">
        <v>73</v>
      </c>
      <c r="AM1164" t="s">
        <v>61</v>
      </c>
      <c r="AN1164">
        <f t="shared" si="18"/>
        <v>12</v>
      </c>
    </row>
    <row r="1165" spans="1:40">
      <c r="A1165">
        <v>37</v>
      </c>
      <c r="B1165" t="s">
        <v>51</v>
      </c>
      <c r="C1165" t="s">
        <v>39</v>
      </c>
      <c r="D1165">
        <v>1470</v>
      </c>
      <c r="E1165" t="s">
        <v>53</v>
      </c>
      <c r="F1165">
        <v>10</v>
      </c>
      <c r="G1165">
        <v>3</v>
      </c>
      <c r="H1165" t="s">
        <v>69</v>
      </c>
      <c r="I1165">
        <v>1640</v>
      </c>
      <c r="J1165">
        <v>2</v>
      </c>
      <c r="K1165" t="s">
        <v>42</v>
      </c>
      <c r="L1165">
        <v>71</v>
      </c>
      <c r="M1165">
        <v>3</v>
      </c>
      <c r="N1165">
        <v>1</v>
      </c>
      <c r="O1165" t="s">
        <v>55</v>
      </c>
      <c r="P1165">
        <v>2</v>
      </c>
      <c r="Q1165" t="s">
        <v>56</v>
      </c>
      <c r="R1165">
        <v>3936</v>
      </c>
      <c r="S1165">
        <v>9953</v>
      </c>
      <c r="T1165">
        <v>1</v>
      </c>
      <c r="U1165" t="s">
        <v>51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  <c r="AG1165" t="s">
        <v>45</v>
      </c>
      <c r="AH1165" t="s">
        <v>71</v>
      </c>
      <c r="AI1165">
        <v>0</v>
      </c>
      <c r="AJ1165" t="s">
        <v>47</v>
      </c>
      <c r="AK1165" t="s">
        <v>72</v>
      </c>
      <c r="AL1165" t="s">
        <v>60</v>
      </c>
      <c r="AM1165" t="s">
        <v>50</v>
      </c>
      <c r="AN1165">
        <f t="shared" si="18"/>
        <v>14</v>
      </c>
    </row>
    <row r="1166" spans="1:40">
      <c r="A1166">
        <v>40</v>
      </c>
      <c r="B1166" t="s">
        <v>51</v>
      </c>
      <c r="C1166" t="s">
        <v>39</v>
      </c>
      <c r="D1166">
        <v>448</v>
      </c>
      <c r="E1166" t="s">
        <v>53</v>
      </c>
      <c r="F1166">
        <v>16</v>
      </c>
      <c r="G1166">
        <v>3</v>
      </c>
      <c r="H1166" t="s">
        <v>41</v>
      </c>
      <c r="I1166">
        <v>1641</v>
      </c>
      <c r="J1166">
        <v>3</v>
      </c>
      <c r="K1166" t="s">
        <v>42</v>
      </c>
      <c r="L1166">
        <v>84</v>
      </c>
      <c r="M1166">
        <v>3</v>
      </c>
      <c r="N1166">
        <v>3</v>
      </c>
      <c r="O1166" t="s">
        <v>75</v>
      </c>
      <c r="P1166">
        <v>4</v>
      </c>
      <c r="Q1166" t="s">
        <v>44</v>
      </c>
      <c r="R1166">
        <v>7945</v>
      </c>
      <c r="S1166">
        <v>19948</v>
      </c>
      <c r="T1166">
        <v>6</v>
      </c>
      <c r="U1166" t="s">
        <v>38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  <c r="AG1166" t="s">
        <v>45</v>
      </c>
      <c r="AH1166" t="s">
        <v>46</v>
      </c>
      <c r="AI1166">
        <v>0</v>
      </c>
      <c r="AJ1166" t="s">
        <v>47</v>
      </c>
      <c r="AK1166" t="s">
        <v>72</v>
      </c>
      <c r="AL1166" t="s">
        <v>49</v>
      </c>
      <c r="AM1166" t="s">
        <v>70</v>
      </c>
      <c r="AN1166">
        <f t="shared" si="18"/>
        <v>2</v>
      </c>
    </row>
    <row r="1167" spans="1:40">
      <c r="A1167">
        <v>44</v>
      </c>
      <c r="B1167" t="s">
        <v>51</v>
      </c>
      <c r="C1167" t="s">
        <v>52</v>
      </c>
      <c r="D1167">
        <v>602</v>
      </c>
      <c r="E1167" t="s">
        <v>88</v>
      </c>
      <c r="F1167">
        <v>1</v>
      </c>
      <c r="G1167">
        <v>5</v>
      </c>
      <c r="H1167" t="s">
        <v>88</v>
      </c>
      <c r="I1167">
        <v>1642</v>
      </c>
      <c r="J1167">
        <v>1</v>
      </c>
      <c r="K1167" t="s">
        <v>54</v>
      </c>
      <c r="L1167">
        <v>37</v>
      </c>
      <c r="M1167">
        <v>3</v>
      </c>
      <c r="N1167">
        <v>2</v>
      </c>
      <c r="O1167" t="s">
        <v>88</v>
      </c>
      <c r="P1167">
        <v>4</v>
      </c>
      <c r="Q1167" t="s">
        <v>56</v>
      </c>
      <c r="R1167">
        <v>5743</v>
      </c>
      <c r="S1167">
        <v>10503</v>
      </c>
      <c r="T1167">
        <v>4</v>
      </c>
      <c r="U1167" t="s">
        <v>38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  <c r="AG1167" t="s">
        <v>45</v>
      </c>
      <c r="AH1167" t="s">
        <v>46</v>
      </c>
      <c r="AI1167">
        <v>0</v>
      </c>
      <c r="AJ1167" t="s">
        <v>58</v>
      </c>
      <c r="AK1167" t="s">
        <v>87</v>
      </c>
      <c r="AL1167" t="s">
        <v>49</v>
      </c>
      <c r="AM1167" t="s">
        <v>61</v>
      </c>
      <c r="AN1167">
        <f t="shared" si="18"/>
        <v>-3</v>
      </c>
    </row>
    <row r="1168" spans="1:40">
      <c r="A1168">
        <v>48</v>
      </c>
      <c r="B1168" t="s">
        <v>51</v>
      </c>
      <c r="C1168" t="s">
        <v>52</v>
      </c>
      <c r="D1168">
        <v>365</v>
      </c>
      <c r="E1168" t="s">
        <v>53</v>
      </c>
      <c r="F1168">
        <v>4</v>
      </c>
      <c r="G1168">
        <v>5</v>
      </c>
      <c r="H1168" t="s">
        <v>69</v>
      </c>
      <c r="I1168">
        <v>1644</v>
      </c>
      <c r="J1168">
        <v>3</v>
      </c>
      <c r="K1168" t="s">
        <v>54</v>
      </c>
      <c r="L1168">
        <v>89</v>
      </c>
      <c r="M1168">
        <v>2</v>
      </c>
      <c r="N1168">
        <v>4</v>
      </c>
      <c r="O1168" t="s">
        <v>79</v>
      </c>
      <c r="P1168">
        <v>4</v>
      </c>
      <c r="Q1168" t="s">
        <v>56</v>
      </c>
      <c r="R1168">
        <v>15202</v>
      </c>
      <c r="S1168">
        <v>5602</v>
      </c>
      <c r="T1168">
        <v>2</v>
      </c>
      <c r="U1168" t="s">
        <v>51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  <c r="AG1168" t="s">
        <v>57</v>
      </c>
      <c r="AH1168" t="s">
        <v>81</v>
      </c>
      <c r="AI1168">
        <v>0</v>
      </c>
      <c r="AJ1168" t="s">
        <v>65</v>
      </c>
      <c r="AK1168" t="s">
        <v>87</v>
      </c>
      <c r="AL1168" t="s">
        <v>49</v>
      </c>
      <c r="AM1168" t="s">
        <v>61</v>
      </c>
      <c r="AN1168">
        <f t="shared" si="18"/>
        <v>-1</v>
      </c>
    </row>
    <row r="1169" spans="1:40">
      <c r="A1169">
        <v>35</v>
      </c>
      <c r="B1169" t="s">
        <v>38</v>
      </c>
      <c r="C1169" t="s">
        <v>39</v>
      </c>
      <c r="D1169">
        <v>763</v>
      </c>
      <c r="E1169" t="s">
        <v>40</v>
      </c>
      <c r="F1169">
        <v>15</v>
      </c>
      <c r="G1169">
        <v>2</v>
      </c>
      <c r="H1169" t="s">
        <v>69</v>
      </c>
      <c r="I1169">
        <v>1645</v>
      </c>
      <c r="J1169">
        <v>1</v>
      </c>
      <c r="K1169" t="s">
        <v>54</v>
      </c>
      <c r="L1169">
        <v>59</v>
      </c>
      <c r="M1169">
        <v>1</v>
      </c>
      <c r="N1169">
        <v>2</v>
      </c>
      <c r="O1169" t="s">
        <v>43</v>
      </c>
      <c r="P1169">
        <v>4</v>
      </c>
      <c r="Q1169" t="s">
        <v>74</v>
      </c>
      <c r="R1169">
        <v>5440</v>
      </c>
      <c r="S1169">
        <v>22098</v>
      </c>
      <c r="T1169">
        <v>6</v>
      </c>
      <c r="U1169" t="s">
        <v>38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 t="s">
        <v>67</v>
      </c>
      <c r="AH1169" t="s">
        <v>46</v>
      </c>
      <c r="AI1169">
        <v>1</v>
      </c>
      <c r="AJ1169" t="s">
        <v>47</v>
      </c>
      <c r="AK1169" t="s">
        <v>48</v>
      </c>
      <c r="AL1169" t="s">
        <v>49</v>
      </c>
      <c r="AM1169" t="s">
        <v>70</v>
      </c>
      <c r="AN1169">
        <f t="shared" si="18"/>
        <v>1</v>
      </c>
    </row>
    <row r="1170" spans="1:40">
      <c r="A1170">
        <v>24</v>
      </c>
      <c r="B1170" t="s">
        <v>51</v>
      </c>
      <c r="C1170" t="s">
        <v>52</v>
      </c>
      <c r="D1170">
        <v>567</v>
      </c>
      <c r="E1170" t="s">
        <v>53</v>
      </c>
      <c r="F1170">
        <v>2</v>
      </c>
      <c r="G1170">
        <v>1</v>
      </c>
      <c r="H1170" t="s">
        <v>86</v>
      </c>
      <c r="I1170">
        <v>1646</v>
      </c>
      <c r="J1170">
        <v>1</v>
      </c>
      <c r="K1170" t="s">
        <v>42</v>
      </c>
      <c r="L1170">
        <v>32</v>
      </c>
      <c r="M1170">
        <v>3</v>
      </c>
      <c r="N1170">
        <v>1</v>
      </c>
      <c r="O1170" t="s">
        <v>55</v>
      </c>
      <c r="P1170">
        <v>4</v>
      </c>
      <c r="Q1170" t="s">
        <v>44</v>
      </c>
      <c r="R1170">
        <v>3760</v>
      </c>
      <c r="S1170">
        <v>17218</v>
      </c>
      <c r="T1170">
        <v>1</v>
      </c>
      <c r="U1170" t="s">
        <v>38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  <c r="AG1170" t="s">
        <v>78</v>
      </c>
      <c r="AH1170" t="s">
        <v>46</v>
      </c>
      <c r="AI1170">
        <v>0</v>
      </c>
      <c r="AJ1170" t="s">
        <v>58</v>
      </c>
      <c r="AK1170" t="s">
        <v>59</v>
      </c>
      <c r="AL1170" t="s">
        <v>49</v>
      </c>
      <c r="AM1170" t="s">
        <v>61</v>
      </c>
      <c r="AN1170">
        <f t="shared" si="18"/>
        <v>-2</v>
      </c>
    </row>
    <row r="1171" spans="1:40">
      <c r="A1171">
        <v>27</v>
      </c>
      <c r="B1171" t="s">
        <v>51</v>
      </c>
      <c r="C1171" t="s">
        <v>39</v>
      </c>
      <c r="D1171">
        <v>486</v>
      </c>
      <c r="E1171" t="s">
        <v>53</v>
      </c>
      <c r="F1171">
        <v>8</v>
      </c>
      <c r="G1171">
        <v>3</v>
      </c>
      <c r="H1171" t="s">
        <v>69</v>
      </c>
      <c r="I1171">
        <v>1647</v>
      </c>
      <c r="J1171">
        <v>2</v>
      </c>
      <c r="K1171" t="s">
        <v>42</v>
      </c>
      <c r="L1171">
        <v>86</v>
      </c>
      <c r="M1171">
        <v>4</v>
      </c>
      <c r="N1171">
        <v>1</v>
      </c>
      <c r="O1171" t="s">
        <v>55</v>
      </c>
      <c r="P1171">
        <v>3</v>
      </c>
      <c r="Q1171" t="s">
        <v>56</v>
      </c>
      <c r="R1171">
        <v>3517</v>
      </c>
      <c r="S1171">
        <v>22490</v>
      </c>
      <c r="T1171">
        <v>7</v>
      </c>
      <c r="U1171" t="s">
        <v>51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  <c r="AG1171" t="s">
        <v>67</v>
      </c>
      <c r="AH1171" t="s">
        <v>46</v>
      </c>
      <c r="AI1171">
        <v>0</v>
      </c>
      <c r="AJ1171" t="s">
        <v>65</v>
      </c>
      <c r="AK1171" t="s">
        <v>72</v>
      </c>
      <c r="AL1171" t="s">
        <v>66</v>
      </c>
      <c r="AM1171" t="s">
        <v>61</v>
      </c>
      <c r="AN1171">
        <f t="shared" si="18"/>
        <v>0</v>
      </c>
    </row>
    <row r="1172" spans="1:40">
      <c r="A1172">
        <v>27</v>
      </c>
      <c r="B1172" t="s">
        <v>51</v>
      </c>
      <c r="C1172" t="s">
        <v>52</v>
      </c>
      <c r="D1172">
        <v>591</v>
      </c>
      <c r="E1172" t="s">
        <v>53</v>
      </c>
      <c r="F1172">
        <v>2</v>
      </c>
      <c r="G1172">
        <v>3</v>
      </c>
      <c r="H1172" t="s">
        <v>69</v>
      </c>
      <c r="I1172">
        <v>1648</v>
      </c>
      <c r="J1172">
        <v>4</v>
      </c>
      <c r="K1172" t="s">
        <v>54</v>
      </c>
      <c r="L1172">
        <v>87</v>
      </c>
      <c r="M1172">
        <v>3</v>
      </c>
      <c r="N1172">
        <v>1</v>
      </c>
      <c r="O1172" t="s">
        <v>55</v>
      </c>
      <c r="P1172">
        <v>4</v>
      </c>
      <c r="Q1172" t="s">
        <v>44</v>
      </c>
      <c r="R1172">
        <v>2580</v>
      </c>
      <c r="S1172">
        <v>6297</v>
      </c>
      <c r="T1172">
        <v>2</v>
      </c>
      <c r="U1172" t="s">
        <v>51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  <c r="AG1172" t="s">
        <v>67</v>
      </c>
      <c r="AH1172" t="s">
        <v>71</v>
      </c>
      <c r="AI1172">
        <v>0</v>
      </c>
      <c r="AJ1172" t="s">
        <v>47</v>
      </c>
      <c r="AK1172" t="s">
        <v>72</v>
      </c>
      <c r="AL1172" t="s">
        <v>49</v>
      </c>
      <c r="AM1172" t="s">
        <v>70</v>
      </c>
      <c r="AN1172">
        <f t="shared" si="18"/>
        <v>0</v>
      </c>
    </row>
    <row r="1173" spans="1:40">
      <c r="A1173">
        <v>40</v>
      </c>
      <c r="B1173" t="s">
        <v>38</v>
      </c>
      <c r="C1173" t="s">
        <v>39</v>
      </c>
      <c r="D1173">
        <v>1329</v>
      </c>
      <c r="E1173" t="s">
        <v>53</v>
      </c>
      <c r="F1173">
        <v>7</v>
      </c>
      <c r="G1173">
        <v>3</v>
      </c>
      <c r="H1173" t="s">
        <v>41</v>
      </c>
      <c r="I1173">
        <v>1649</v>
      </c>
      <c r="J1173">
        <v>1</v>
      </c>
      <c r="K1173" t="s">
        <v>54</v>
      </c>
      <c r="L1173">
        <v>73</v>
      </c>
      <c r="M1173">
        <v>3</v>
      </c>
      <c r="N1173">
        <v>1</v>
      </c>
      <c r="O1173" t="s">
        <v>63</v>
      </c>
      <c r="P1173">
        <v>1</v>
      </c>
      <c r="Q1173" t="s">
        <v>44</v>
      </c>
      <c r="R1173">
        <v>2166</v>
      </c>
      <c r="S1173">
        <v>3339</v>
      </c>
      <c r="T1173">
        <v>3</v>
      </c>
      <c r="U1173" t="s">
        <v>38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  <c r="AG1173" t="s">
        <v>45</v>
      </c>
      <c r="AH1173" t="s">
        <v>81</v>
      </c>
      <c r="AI1173">
        <v>1</v>
      </c>
      <c r="AJ1173" t="s">
        <v>47</v>
      </c>
      <c r="AK1173" t="s">
        <v>72</v>
      </c>
      <c r="AL1173" t="s">
        <v>73</v>
      </c>
      <c r="AM1173" t="s">
        <v>50</v>
      </c>
      <c r="AN1173">
        <f t="shared" si="18"/>
        <v>10</v>
      </c>
    </row>
    <row r="1174" spans="1:40">
      <c r="A1174">
        <v>29</v>
      </c>
      <c r="B1174" t="s">
        <v>51</v>
      </c>
      <c r="C1174" t="s">
        <v>39</v>
      </c>
      <c r="D1174">
        <v>469</v>
      </c>
      <c r="E1174" t="s">
        <v>40</v>
      </c>
      <c r="F1174">
        <v>10</v>
      </c>
      <c r="G1174">
        <v>3</v>
      </c>
      <c r="H1174" t="s">
        <v>69</v>
      </c>
      <c r="I1174">
        <v>1650</v>
      </c>
      <c r="J1174">
        <v>3</v>
      </c>
      <c r="K1174" t="s">
        <v>54</v>
      </c>
      <c r="L1174">
        <v>42</v>
      </c>
      <c r="M1174">
        <v>2</v>
      </c>
      <c r="N1174">
        <v>2</v>
      </c>
      <c r="O1174" t="s">
        <v>43</v>
      </c>
      <c r="P1174">
        <v>3</v>
      </c>
      <c r="Q1174" t="s">
        <v>44</v>
      </c>
      <c r="R1174">
        <v>5869</v>
      </c>
      <c r="S1174">
        <v>23413</v>
      </c>
      <c r="T1174">
        <v>9</v>
      </c>
      <c r="U1174" t="s">
        <v>51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  <c r="AG1174" t="s">
        <v>67</v>
      </c>
      <c r="AH1174" t="s">
        <v>46</v>
      </c>
      <c r="AI1174">
        <v>0</v>
      </c>
      <c r="AJ1174" t="s">
        <v>65</v>
      </c>
      <c r="AK1174" t="s">
        <v>72</v>
      </c>
      <c r="AL1174" t="s">
        <v>66</v>
      </c>
      <c r="AM1174" t="s">
        <v>61</v>
      </c>
      <c r="AN1174">
        <f t="shared" si="18"/>
        <v>1</v>
      </c>
    </row>
    <row r="1175" spans="1:40">
      <c r="A1175">
        <v>36</v>
      </c>
      <c r="B1175" t="s">
        <v>51</v>
      </c>
      <c r="C1175" t="s">
        <v>39</v>
      </c>
      <c r="D1175">
        <v>711</v>
      </c>
      <c r="E1175" t="s">
        <v>53</v>
      </c>
      <c r="F1175">
        <v>5</v>
      </c>
      <c r="G1175">
        <v>4</v>
      </c>
      <c r="H1175" t="s">
        <v>41</v>
      </c>
      <c r="I1175">
        <v>1651</v>
      </c>
      <c r="J1175">
        <v>2</v>
      </c>
      <c r="K1175" t="s">
        <v>42</v>
      </c>
      <c r="L1175">
        <v>42</v>
      </c>
      <c r="M1175">
        <v>3</v>
      </c>
      <c r="N1175">
        <v>3</v>
      </c>
      <c r="O1175" t="s">
        <v>76</v>
      </c>
      <c r="P1175">
        <v>1</v>
      </c>
      <c r="Q1175" t="s">
        <v>56</v>
      </c>
      <c r="R1175">
        <v>8008</v>
      </c>
      <c r="S1175">
        <v>22792</v>
      </c>
      <c r="T1175">
        <v>4</v>
      </c>
      <c r="U1175" t="s">
        <v>51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  <c r="AG1175" t="s">
        <v>45</v>
      </c>
      <c r="AH1175" t="s">
        <v>46</v>
      </c>
      <c r="AI1175">
        <v>0</v>
      </c>
      <c r="AJ1175" t="s">
        <v>65</v>
      </c>
      <c r="AK1175" t="s">
        <v>68</v>
      </c>
      <c r="AL1175" t="s">
        <v>73</v>
      </c>
      <c r="AM1175" t="s">
        <v>61</v>
      </c>
      <c r="AN1175">
        <f t="shared" si="18"/>
        <v>6</v>
      </c>
    </row>
    <row r="1176" spans="1:40">
      <c r="A1176">
        <v>25</v>
      </c>
      <c r="B1176" t="s">
        <v>51</v>
      </c>
      <c r="C1176" t="s">
        <v>52</v>
      </c>
      <c r="D1176">
        <v>772</v>
      </c>
      <c r="E1176" t="s">
        <v>53</v>
      </c>
      <c r="F1176">
        <v>2</v>
      </c>
      <c r="G1176">
        <v>1</v>
      </c>
      <c r="H1176" t="s">
        <v>41</v>
      </c>
      <c r="I1176">
        <v>1653</v>
      </c>
      <c r="J1176">
        <v>4</v>
      </c>
      <c r="K1176" t="s">
        <v>54</v>
      </c>
      <c r="L1176">
        <v>77</v>
      </c>
      <c r="M1176">
        <v>4</v>
      </c>
      <c r="N1176">
        <v>2</v>
      </c>
      <c r="O1176" t="s">
        <v>75</v>
      </c>
      <c r="P1176">
        <v>3</v>
      </c>
      <c r="Q1176" t="s">
        <v>74</v>
      </c>
      <c r="R1176">
        <v>5206</v>
      </c>
      <c r="S1176">
        <v>4973</v>
      </c>
      <c r="T1176">
        <v>1</v>
      </c>
      <c r="U1176" t="s">
        <v>51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  <c r="AG1176" t="s">
        <v>78</v>
      </c>
      <c r="AH1176" t="s">
        <v>81</v>
      </c>
      <c r="AI1176">
        <v>0</v>
      </c>
      <c r="AJ1176" t="s">
        <v>58</v>
      </c>
      <c r="AK1176" t="s">
        <v>59</v>
      </c>
      <c r="AL1176" t="s">
        <v>66</v>
      </c>
      <c r="AM1176" t="s">
        <v>61</v>
      </c>
      <c r="AN1176">
        <f t="shared" si="18"/>
        <v>0</v>
      </c>
    </row>
    <row r="1177" spans="1:40">
      <c r="A1177">
        <v>39</v>
      </c>
      <c r="B1177" t="s">
        <v>51</v>
      </c>
      <c r="C1177" t="s">
        <v>39</v>
      </c>
      <c r="D1177">
        <v>492</v>
      </c>
      <c r="E1177" t="s">
        <v>53</v>
      </c>
      <c r="F1177">
        <v>12</v>
      </c>
      <c r="G1177">
        <v>3</v>
      </c>
      <c r="H1177" t="s">
        <v>69</v>
      </c>
      <c r="I1177">
        <v>1654</v>
      </c>
      <c r="J1177">
        <v>4</v>
      </c>
      <c r="K1177" t="s">
        <v>54</v>
      </c>
      <c r="L1177">
        <v>66</v>
      </c>
      <c r="M1177">
        <v>3</v>
      </c>
      <c r="N1177">
        <v>2</v>
      </c>
      <c r="O1177" t="s">
        <v>75</v>
      </c>
      <c r="P1177">
        <v>2</v>
      </c>
      <c r="Q1177" t="s">
        <v>56</v>
      </c>
      <c r="R1177">
        <v>5295</v>
      </c>
      <c r="S1177">
        <v>7693</v>
      </c>
      <c r="T1177">
        <v>4</v>
      </c>
      <c r="U1177" t="s">
        <v>51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  <c r="AG1177" t="s">
        <v>45</v>
      </c>
      <c r="AH1177" t="s">
        <v>71</v>
      </c>
      <c r="AI1177">
        <v>0</v>
      </c>
      <c r="AJ1177" t="s">
        <v>65</v>
      </c>
      <c r="AK1177" t="s">
        <v>72</v>
      </c>
      <c r="AL1177" t="s">
        <v>60</v>
      </c>
      <c r="AM1177" t="s">
        <v>61</v>
      </c>
      <c r="AN1177">
        <f t="shared" si="18"/>
        <v>4</v>
      </c>
    </row>
    <row r="1178" spans="1:40">
      <c r="A1178">
        <v>49</v>
      </c>
      <c r="B1178" t="s">
        <v>51</v>
      </c>
      <c r="C1178" t="s">
        <v>39</v>
      </c>
      <c r="D1178">
        <v>301</v>
      </c>
      <c r="E1178" t="s">
        <v>53</v>
      </c>
      <c r="F1178">
        <v>22</v>
      </c>
      <c r="G1178">
        <v>4</v>
      </c>
      <c r="H1178" t="s">
        <v>62</v>
      </c>
      <c r="I1178">
        <v>1655</v>
      </c>
      <c r="J1178">
        <v>1</v>
      </c>
      <c r="K1178" t="s">
        <v>42</v>
      </c>
      <c r="L1178">
        <v>72</v>
      </c>
      <c r="M1178">
        <v>3</v>
      </c>
      <c r="N1178">
        <v>4</v>
      </c>
      <c r="O1178" t="s">
        <v>83</v>
      </c>
      <c r="P1178">
        <v>2</v>
      </c>
      <c r="Q1178" t="s">
        <v>56</v>
      </c>
      <c r="R1178">
        <v>16413</v>
      </c>
      <c r="S1178">
        <v>3498</v>
      </c>
      <c r="T1178">
        <v>3</v>
      </c>
      <c r="U1178" t="s">
        <v>51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  <c r="AG1178" t="s">
        <v>57</v>
      </c>
      <c r="AH1178" t="s">
        <v>81</v>
      </c>
      <c r="AI1178">
        <v>0</v>
      </c>
      <c r="AJ1178" t="s">
        <v>65</v>
      </c>
      <c r="AK1178" t="s">
        <v>68</v>
      </c>
      <c r="AL1178" t="s">
        <v>60</v>
      </c>
      <c r="AM1178" t="s">
        <v>61</v>
      </c>
      <c r="AN1178">
        <f t="shared" si="18"/>
        <v>4</v>
      </c>
    </row>
    <row r="1179" spans="1:40">
      <c r="A1179">
        <v>50</v>
      </c>
      <c r="B1179" t="s">
        <v>51</v>
      </c>
      <c r="C1179" t="s">
        <v>39</v>
      </c>
      <c r="D1179">
        <v>813</v>
      </c>
      <c r="E1179" t="s">
        <v>53</v>
      </c>
      <c r="F1179">
        <v>17</v>
      </c>
      <c r="G1179">
        <v>5</v>
      </c>
      <c r="H1179" t="s">
        <v>41</v>
      </c>
      <c r="I1179">
        <v>1656</v>
      </c>
      <c r="J1179">
        <v>4</v>
      </c>
      <c r="K1179" t="s">
        <v>42</v>
      </c>
      <c r="L1179">
        <v>50</v>
      </c>
      <c r="M1179">
        <v>2</v>
      </c>
      <c r="N1179">
        <v>3</v>
      </c>
      <c r="O1179" t="s">
        <v>83</v>
      </c>
      <c r="P1179">
        <v>1</v>
      </c>
      <c r="Q1179" t="s">
        <v>74</v>
      </c>
      <c r="R1179">
        <v>13269</v>
      </c>
      <c r="S1179">
        <v>21981</v>
      </c>
      <c r="T1179">
        <v>5</v>
      </c>
      <c r="U1179" t="s">
        <v>51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  <c r="AG1179" t="s">
        <v>57</v>
      </c>
      <c r="AH1179" t="s">
        <v>46</v>
      </c>
      <c r="AI1179">
        <v>0</v>
      </c>
      <c r="AJ1179" t="s">
        <v>80</v>
      </c>
      <c r="AK1179" t="s">
        <v>87</v>
      </c>
      <c r="AL1179" t="s">
        <v>73</v>
      </c>
      <c r="AM1179" t="s">
        <v>61</v>
      </c>
      <c r="AN1179">
        <f t="shared" si="18"/>
        <v>7</v>
      </c>
    </row>
    <row r="1180" spans="1:40">
      <c r="A1180">
        <v>20</v>
      </c>
      <c r="B1180" t="s">
        <v>51</v>
      </c>
      <c r="C1180" t="s">
        <v>39</v>
      </c>
      <c r="D1180">
        <v>1141</v>
      </c>
      <c r="E1180" t="s">
        <v>40</v>
      </c>
      <c r="F1180">
        <v>2</v>
      </c>
      <c r="G1180">
        <v>3</v>
      </c>
      <c r="H1180" t="s">
        <v>69</v>
      </c>
      <c r="I1180">
        <v>1657</v>
      </c>
      <c r="J1180">
        <v>3</v>
      </c>
      <c r="K1180" t="s">
        <v>42</v>
      </c>
      <c r="L1180">
        <v>31</v>
      </c>
      <c r="M1180">
        <v>3</v>
      </c>
      <c r="N1180">
        <v>1</v>
      </c>
      <c r="O1180" t="s">
        <v>82</v>
      </c>
      <c r="P1180">
        <v>3</v>
      </c>
      <c r="Q1180" t="s">
        <v>44</v>
      </c>
      <c r="R1180">
        <v>2783</v>
      </c>
      <c r="S1180">
        <v>13251</v>
      </c>
      <c r="T1180">
        <v>1</v>
      </c>
      <c r="U1180" t="s">
        <v>51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  <c r="AG1180" t="s">
        <v>78</v>
      </c>
      <c r="AH1180" t="s">
        <v>46</v>
      </c>
      <c r="AI1180">
        <v>0</v>
      </c>
      <c r="AJ1180" t="s">
        <v>65</v>
      </c>
      <c r="AK1180" t="s">
        <v>72</v>
      </c>
      <c r="AL1180" t="s">
        <v>66</v>
      </c>
      <c r="AM1180" t="s">
        <v>61</v>
      </c>
      <c r="AN1180">
        <f t="shared" si="18"/>
        <v>2</v>
      </c>
    </row>
    <row r="1181" spans="1:40">
      <c r="A1181">
        <v>34</v>
      </c>
      <c r="B1181" t="s">
        <v>51</v>
      </c>
      <c r="C1181" t="s">
        <v>39</v>
      </c>
      <c r="D1181">
        <v>1130</v>
      </c>
      <c r="E1181" t="s">
        <v>53</v>
      </c>
      <c r="F1181">
        <v>3</v>
      </c>
      <c r="G1181">
        <v>3</v>
      </c>
      <c r="H1181" t="s">
        <v>41</v>
      </c>
      <c r="I1181">
        <v>1658</v>
      </c>
      <c r="J1181">
        <v>4</v>
      </c>
      <c r="K1181" t="s">
        <v>42</v>
      </c>
      <c r="L1181">
        <v>66</v>
      </c>
      <c r="M1181">
        <v>3</v>
      </c>
      <c r="N1181">
        <v>2</v>
      </c>
      <c r="O1181" t="s">
        <v>55</v>
      </c>
      <c r="P1181">
        <v>2</v>
      </c>
      <c r="Q1181" t="s">
        <v>74</v>
      </c>
      <c r="R1181">
        <v>5433</v>
      </c>
      <c r="S1181">
        <v>19332</v>
      </c>
      <c r="T1181">
        <v>1</v>
      </c>
      <c r="U1181" t="s">
        <v>51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  <c r="AG1181" t="s">
        <v>67</v>
      </c>
      <c r="AH1181" t="s">
        <v>46</v>
      </c>
      <c r="AI1181">
        <v>0</v>
      </c>
      <c r="AJ1181" t="s">
        <v>80</v>
      </c>
      <c r="AK1181" t="s">
        <v>72</v>
      </c>
      <c r="AL1181" t="s">
        <v>60</v>
      </c>
      <c r="AM1181" t="s">
        <v>61</v>
      </c>
      <c r="AN1181">
        <f t="shared" si="18"/>
        <v>10</v>
      </c>
    </row>
    <row r="1182" spans="1:40">
      <c r="A1182">
        <v>36</v>
      </c>
      <c r="B1182" t="s">
        <v>51</v>
      </c>
      <c r="C1182" t="s">
        <v>39</v>
      </c>
      <c r="D1182">
        <v>311</v>
      </c>
      <c r="E1182" t="s">
        <v>53</v>
      </c>
      <c r="F1182">
        <v>7</v>
      </c>
      <c r="G1182">
        <v>3</v>
      </c>
      <c r="H1182" t="s">
        <v>41</v>
      </c>
      <c r="I1182">
        <v>1659</v>
      </c>
      <c r="J1182">
        <v>1</v>
      </c>
      <c r="K1182" t="s">
        <v>54</v>
      </c>
      <c r="L1182">
        <v>77</v>
      </c>
      <c r="M1182">
        <v>3</v>
      </c>
      <c r="N1182">
        <v>1</v>
      </c>
      <c r="O1182" t="s">
        <v>63</v>
      </c>
      <c r="P1182">
        <v>2</v>
      </c>
      <c r="Q1182" t="s">
        <v>44</v>
      </c>
      <c r="R1182">
        <v>2013</v>
      </c>
      <c r="S1182">
        <v>10950</v>
      </c>
      <c r="T1182">
        <v>2</v>
      </c>
      <c r="U1182" t="s">
        <v>51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  <c r="AG1182" t="s">
        <v>45</v>
      </c>
      <c r="AH1182" t="s">
        <v>46</v>
      </c>
      <c r="AI1182">
        <v>0</v>
      </c>
      <c r="AJ1182" t="s">
        <v>65</v>
      </c>
      <c r="AK1182" t="s">
        <v>72</v>
      </c>
      <c r="AL1182" t="s">
        <v>60</v>
      </c>
      <c r="AM1182" t="s">
        <v>61</v>
      </c>
      <c r="AN1182">
        <f t="shared" si="18"/>
        <v>4</v>
      </c>
    </row>
    <row r="1183" spans="1:40">
      <c r="A1183">
        <v>49</v>
      </c>
      <c r="B1183" t="s">
        <v>51</v>
      </c>
      <c r="C1183" t="s">
        <v>39</v>
      </c>
      <c r="D1183">
        <v>465</v>
      </c>
      <c r="E1183" t="s">
        <v>53</v>
      </c>
      <c r="F1183">
        <v>6</v>
      </c>
      <c r="G1183">
        <v>1</v>
      </c>
      <c r="H1183" t="s">
        <v>41</v>
      </c>
      <c r="I1183">
        <v>1661</v>
      </c>
      <c r="J1183">
        <v>3</v>
      </c>
      <c r="K1183" t="s">
        <v>42</v>
      </c>
      <c r="L1183">
        <v>41</v>
      </c>
      <c r="M1183">
        <v>2</v>
      </c>
      <c r="N1183">
        <v>4</v>
      </c>
      <c r="O1183" t="s">
        <v>76</v>
      </c>
      <c r="P1183">
        <v>3</v>
      </c>
      <c r="Q1183" t="s">
        <v>56</v>
      </c>
      <c r="R1183">
        <v>13966</v>
      </c>
      <c r="S1183">
        <v>11652</v>
      </c>
      <c r="T1183">
        <v>2</v>
      </c>
      <c r="U1183" t="s">
        <v>38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  <c r="AG1183" t="s">
        <v>57</v>
      </c>
      <c r="AH1183" t="s">
        <v>46</v>
      </c>
      <c r="AI1183">
        <v>0</v>
      </c>
      <c r="AJ1183" t="s">
        <v>80</v>
      </c>
      <c r="AK1183" t="s">
        <v>59</v>
      </c>
      <c r="AL1183" t="s">
        <v>66</v>
      </c>
      <c r="AM1183" t="s">
        <v>61</v>
      </c>
      <c r="AN1183">
        <f t="shared" si="18"/>
        <v>2</v>
      </c>
    </row>
    <row r="1184" spans="1:40">
      <c r="A1184">
        <v>36</v>
      </c>
      <c r="B1184" t="s">
        <v>51</v>
      </c>
      <c r="C1184" t="s">
        <v>77</v>
      </c>
      <c r="D1184">
        <v>894</v>
      </c>
      <c r="E1184" t="s">
        <v>53</v>
      </c>
      <c r="F1184">
        <v>1</v>
      </c>
      <c r="G1184">
        <v>4</v>
      </c>
      <c r="H1184" t="s">
        <v>69</v>
      </c>
      <c r="I1184">
        <v>1662</v>
      </c>
      <c r="J1184">
        <v>4</v>
      </c>
      <c r="K1184" t="s">
        <v>42</v>
      </c>
      <c r="L1184">
        <v>33</v>
      </c>
      <c r="M1184">
        <v>2</v>
      </c>
      <c r="N1184">
        <v>2</v>
      </c>
      <c r="O1184" t="s">
        <v>75</v>
      </c>
      <c r="P1184">
        <v>3</v>
      </c>
      <c r="Q1184" t="s">
        <v>56</v>
      </c>
      <c r="R1184">
        <v>4374</v>
      </c>
      <c r="S1184">
        <v>15411</v>
      </c>
      <c r="T1184">
        <v>0</v>
      </c>
      <c r="U1184" t="s">
        <v>51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  <c r="AG1184" t="s">
        <v>45</v>
      </c>
      <c r="AH1184" t="s">
        <v>46</v>
      </c>
      <c r="AI1184">
        <v>0</v>
      </c>
      <c r="AJ1184" t="s">
        <v>65</v>
      </c>
      <c r="AK1184" t="s">
        <v>68</v>
      </c>
      <c r="AL1184" t="s">
        <v>66</v>
      </c>
      <c r="AM1184" t="s">
        <v>61</v>
      </c>
      <c r="AN1184">
        <f t="shared" si="18"/>
        <v>1</v>
      </c>
    </row>
    <row r="1185" spans="1:40">
      <c r="A1185">
        <v>36</v>
      </c>
      <c r="B1185" t="s">
        <v>51</v>
      </c>
      <c r="C1185" t="s">
        <v>39</v>
      </c>
      <c r="D1185">
        <v>1040</v>
      </c>
      <c r="E1185" t="s">
        <v>53</v>
      </c>
      <c r="F1185">
        <v>3</v>
      </c>
      <c r="G1185">
        <v>2</v>
      </c>
      <c r="H1185" t="s">
        <v>41</v>
      </c>
      <c r="I1185">
        <v>1664</v>
      </c>
      <c r="J1185">
        <v>4</v>
      </c>
      <c r="K1185" t="s">
        <v>54</v>
      </c>
      <c r="L1185">
        <v>79</v>
      </c>
      <c r="M1185">
        <v>4</v>
      </c>
      <c r="N1185">
        <v>2</v>
      </c>
      <c r="O1185" t="s">
        <v>76</v>
      </c>
      <c r="P1185">
        <v>1</v>
      </c>
      <c r="Q1185" t="s">
        <v>74</v>
      </c>
      <c r="R1185">
        <v>6842</v>
      </c>
      <c r="S1185">
        <v>26308</v>
      </c>
      <c r="T1185">
        <v>6</v>
      </c>
      <c r="U1185" t="s">
        <v>51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  <c r="AG1185" t="s">
        <v>45</v>
      </c>
      <c r="AH1185" t="s">
        <v>46</v>
      </c>
      <c r="AI1185">
        <v>0</v>
      </c>
      <c r="AJ1185" t="s">
        <v>65</v>
      </c>
      <c r="AK1185" t="s">
        <v>48</v>
      </c>
      <c r="AL1185" t="s">
        <v>73</v>
      </c>
      <c r="AM1185" t="s">
        <v>61</v>
      </c>
      <c r="AN1185">
        <f t="shared" si="18"/>
        <v>6</v>
      </c>
    </row>
    <row r="1186" spans="1:40">
      <c r="A1186">
        <v>54</v>
      </c>
      <c r="B1186" t="s">
        <v>51</v>
      </c>
      <c r="C1186" t="s">
        <v>39</v>
      </c>
      <c r="D1186">
        <v>584</v>
      </c>
      <c r="E1186" t="s">
        <v>53</v>
      </c>
      <c r="F1186">
        <v>22</v>
      </c>
      <c r="G1186">
        <v>5</v>
      </c>
      <c r="H1186" t="s">
        <v>69</v>
      </c>
      <c r="I1186">
        <v>1665</v>
      </c>
      <c r="J1186">
        <v>2</v>
      </c>
      <c r="K1186" t="s">
        <v>42</v>
      </c>
      <c r="L1186">
        <v>91</v>
      </c>
      <c r="M1186">
        <v>3</v>
      </c>
      <c r="N1186">
        <v>4</v>
      </c>
      <c r="O1186" t="s">
        <v>79</v>
      </c>
      <c r="P1186">
        <v>3</v>
      </c>
      <c r="Q1186" t="s">
        <v>56</v>
      </c>
      <c r="R1186">
        <v>17426</v>
      </c>
      <c r="S1186">
        <v>18685</v>
      </c>
      <c r="T1186">
        <v>3</v>
      </c>
      <c r="U1186" t="s">
        <v>51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  <c r="AG1186" t="s">
        <v>57</v>
      </c>
      <c r="AH1186" t="s">
        <v>46</v>
      </c>
      <c r="AI1186">
        <v>0</v>
      </c>
      <c r="AJ1186" t="s">
        <v>58</v>
      </c>
      <c r="AK1186" t="s">
        <v>87</v>
      </c>
      <c r="AL1186" t="s">
        <v>66</v>
      </c>
      <c r="AM1186" t="s">
        <v>61</v>
      </c>
      <c r="AN1186">
        <f t="shared" si="18"/>
        <v>4</v>
      </c>
    </row>
    <row r="1187" spans="1:40">
      <c r="A1187">
        <v>43</v>
      </c>
      <c r="B1187" t="s">
        <v>51</v>
      </c>
      <c r="C1187" t="s">
        <v>39</v>
      </c>
      <c r="D1187">
        <v>1291</v>
      </c>
      <c r="E1187" t="s">
        <v>53</v>
      </c>
      <c r="F1187">
        <v>15</v>
      </c>
      <c r="G1187">
        <v>2</v>
      </c>
      <c r="H1187" t="s">
        <v>41</v>
      </c>
      <c r="I1187">
        <v>1666</v>
      </c>
      <c r="J1187">
        <v>3</v>
      </c>
      <c r="K1187" t="s">
        <v>54</v>
      </c>
      <c r="L1187">
        <v>65</v>
      </c>
      <c r="M1187">
        <v>2</v>
      </c>
      <c r="N1187">
        <v>4</v>
      </c>
      <c r="O1187" t="s">
        <v>83</v>
      </c>
      <c r="P1187">
        <v>3</v>
      </c>
      <c r="Q1187" t="s">
        <v>56</v>
      </c>
      <c r="R1187">
        <v>17603</v>
      </c>
      <c r="S1187">
        <v>3525</v>
      </c>
      <c r="T1187">
        <v>1</v>
      </c>
      <c r="U1187" t="s">
        <v>51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  <c r="AG1187" t="s">
        <v>45</v>
      </c>
      <c r="AH1187" t="s">
        <v>81</v>
      </c>
      <c r="AI1187">
        <v>0</v>
      </c>
      <c r="AJ1187" t="s">
        <v>80</v>
      </c>
      <c r="AK1187" t="s">
        <v>48</v>
      </c>
      <c r="AL1187" t="s">
        <v>66</v>
      </c>
      <c r="AM1187" t="s">
        <v>61</v>
      </c>
      <c r="AN1187">
        <f t="shared" si="18"/>
        <v>6</v>
      </c>
    </row>
    <row r="1188" spans="1:40">
      <c r="A1188">
        <v>35</v>
      </c>
      <c r="B1188" t="s">
        <v>38</v>
      </c>
      <c r="C1188" t="s">
        <v>52</v>
      </c>
      <c r="D1188">
        <v>880</v>
      </c>
      <c r="E1188" t="s">
        <v>40</v>
      </c>
      <c r="F1188">
        <v>12</v>
      </c>
      <c r="G1188">
        <v>4</v>
      </c>
      <c r="H1188" t="s">
        <v>62</v>
      </c>
      <c r="I1188">
        <v>1667</v>
      </c>
      <c r="J1188">
        <v>4</v>
      </c>
      <c r="K1188" t="s">
        <v>54</v>
      </c>
      <c r="L1188">
        <v>36</v>
      </c>
      <c r="M1188">
        <v>3</v>
      </c>
      <c r="N1188">
        <v>2</v>
      </c>
      <c r="O1188" t="s">
        <v>43</v>
      </c>
      <c r="P1188">
        <v>4</v>
      </c>
      <c r="Q1188" t="s">
        <v>44</v>
      </c>
      <c r="R1188">
        <v>4581</v>
      </c>
      <c r="S1188">
        <v>10414</v>
      </c>
      <c r="T1188">
        <v>3</v>
      </c>
      <c r="U1188" t="s">
        <v>38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  <c r="AG1188" t="s">
        <v>67</v>
      </c>
      <c r="AH1188" t="s">
        <v>46</v>
      </c>
      <c r="AI1188">
        <v>1</v>
      </c>
      <c r="AJ1188" t="s">
        <v>80</v>
      </c>
      <c r="AK1188" t="s">
        <v>68</v>
      </c>
      <c r="AL1188" t="s">
        <v>49</v>
      </c>
      <c r="AM1188" t="s">
        <v>85</v>
      </c>
      <c r="AN1188">
        <f t="shared" si="18"/>
        <v>1</v>
      </c>
    </row>
    <row r="1189" spans="1:40">
      <c r="A1189">
        <v>38</v>
      </c>
      <c r="B1189" t="s">
        <v>51</v>
      </c>
      <c r="C1189" t="s">
        <v>52</v>
      </c>
      <c r="D1189">
        <v>1189</v>
      </c>
      <c r="E1189" t="s">
        <v>53</v>
      </c>
      <c r="F1189">
        <v>1</v>
      </c>
      <c r="G1189">
        <v>3</v>
      </c>
      <c r="H1189" t="s">
        <v>41</v>
      </c>
      <c r="I1189">
        <v>1668</v>
      </c>
      <c r="J1189">
        <v>4</v>
      </c>
      <c r="K1189" t="s">
        <v>54</v>
      </c>
      <c r="L1189">
        <v>90</v>
      </c>
      <c r="M1189">
        <v>3</v>
      </c>
      <c r="N1189">
        <v>2</v>
      </c>
      <c r="O1189" t="s">
        <v>55</v>
      </c>
      <c r="P1189">
        <v>4</v>
      </c>
      <c r="Q1189" t="s">
        <v>56</v>
      </c>
      <c r="R1189">
        <v>4735</v>
      </c>
      <c r="S1189">
        <v>9867</v>
      </c>
      <c r="T1189">
        <v>7</v>
      </c>
      <c r="U1189" t="s">
        <v>51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  <c r="AG1189" t="s">
        <v>45</v>
      </c>
      <c r="AH1189" t="s">
        <v>71</v>
      </c>
      <c r="AI1189">
        <v>0</v>
      </c>
      <c r="AJ1189" t="s">
        <v>80</v>
      </c>
      <c r="AK1189" t="s">
        <v>72</v>
      </c>
      <c r="AL1189" t="s">
        <v>49</v>
      </c>
      <c r="AM1189" t="s">
        <v>85</v>
      </c>
      <c r="AN1189">
        <f t="shared" si="18"/>
        <v>-3</v>
      </c>
    </row>
    <row r="1190" spans="1:40">
      <c r="A1190">
        <v>29</v>
      </c>
      <c r="B1190" t="s">
        <v>51</v>
      </c>
      <c r="C1190" t="s">
        <v>39</v>
      </c>
      <c r="D1190">
        <v>991</v>
      </c>
      <c r="E1190" t="s">
        <v>40</v>
      </c>
      <c r="F1190">
        <v>5</v>
      </c>
      <c r="G1190">
        <v>3</v>
      </c>
      <c r="H1190" t="s">
        <v>69</v>
      </c>
      <c r="I1190">
        <v>1669</v>
      </c>
      <c r="J1190">
        <v>1</v>
      </c>
      <c r="K1190" t="s">
        <v>54</v>
      </c>
      <c r="L1190">
        <v>43</v>
      </c>
      <c r="M1190">
        <v>2</v>
      </c>
      <c r="N1190">
        <v>2</v>
      </c>
      <c r="O1190" t="s">
        <v>43</v>
      </c>
      <c r="P1190">
        <v>2</v>
      </c>
      <c r="Q1190" t="s">
        <v>74</v>
      </c>
      <c r="R1190">
        <v>4187</v>
      </c>
      <c r="S1190">
        <v>3356</v>
      </c>
      <c r="T1190">
        <v>1</v>
      </c>
      <c r="U1190" t="s">
        <v>38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  <c r="AG1190" t="s">
        <v>67</v>
      </c>
      <c r="AH1190" t="s">
        <v>81</v>
      </c>
      <c r="AI1190">
        <v>0</v>
      </c>
      <c r="AJ1190" t="s">
        <v>47</v>
      </c>
      <c r="AK1190" t="s">
        <v>72</v>
      </c>
      <c r="AL1190" t="s">
        <v>60</v>
      </c>
      <c r="AM1190" t="s">
        <v>70</v>
      </c>
      <c r="AN1190">
        <f t="shared" si="18"/>
        <v>5</v>
      </c>
    </row>
    <row r="1191" spans="1:40">
      <c r="A1191">
        <v>33</v>
      </c>
      <c r="B1191" t="s">
        <v>51</v>
      </c>
      <c r="C1191" t="s">
        <v>39</v>
      </c>
      <c r="D1191">
        <v>392</v>
      </c>
      <c r="E1191" t="s">
        <v>40</v>
      </c>
      <c r="F1191">
        <v>2</v>
      </c>
      <c r="G1191">
        <v>4</v>
      </c>
      <c r="H1191" t="s">
        <v>69</v>
      </c>
      <c r="I1191">
        <v>1670</v>
      </c>
      <c r="J1191">
        <v>4</v>
      </c>
      <c r="K1191" t="s">
        <v>54</v>
      </c>
      <c r="L1191">
        <v>93</v>
      </c>
      <c r="M1191">
        <v>3</v>
      </c>
      <c r="N1191">
        <v>2</v>
      </c>
      <c r="O1191" t="s">
        <v>43</v>
      </c>
      <c r="P1191">
        <v>4</v>
      </c>
      <c r="Q1191" t="s">
        <v>74</v>
      </c>
      <c r="R1191">
        <v>5505</v>
      </c>
      <c r="S1191">
        <v>3921</v>
      </c>
      <c r="T1191">
        <v>1</v>
      </c>
      <c r="U1191" t="s">
        <v>51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  <c r="AG1191" t="s">
        <v>67</v>
      </c>
      <c r="AH1191" t="s">
        <v>81</v>
      </c>
      <c r="AI1191">
        <v>0</v>
      </c>
      <c r="AJ1191" t="s">
        <v>58</v>
      </c>
      <c r="AK1191" t="s">
        <v>68</v>
      </c>
      <c r="AL1191" t="s">
        <v>49</v>
      </c>
      <c r="AM1191" t="s">
        <v>61</v>
      </c>
      <c r="AN1191">
        <f t="shared" si="18"/>
        <v>-3</v>
      </c>
    </row>
    <row r="1192" spans="1:40">
      <c r="A1192">
        <v>32</v>
      </c>
      <c r="B1192" t="s">
        <v>51</v>
      </c>
      <c r="C1192" t="s">
        <v>39</v>
      </c>
      <c r="D1192">
        <v>977</v>
      </c>
      <c r="E1192" t="s">
        <v>53</v>
      </c>
      <c r="F1192">
        <v>2</v>
      </c>
      <c r="G1192">
        <v>3</v>
      </c>
      <c r="H1192" t="s">
        <v>69</v>
      </c>
      <c r="I1192">
        <v>1671</v>
      </c>
      <c r="J1192">
        <v>4</v>
      </c>
      <c r="K1192" t="s">
        <v>54</v>
      </c>
      <c r="L1192">
        <v>45</v>
      </c>
      <c r="M1192">
        <v>3</v>
      </c>
      <c r="N1192">
        <v>2</v>
      </c>
      <c r="O1192" t="s">
        <v>55</v>
      </c>
      <c r="P1192">
        <v>2</v>
      </c>
      <c r="Q1192" t="s">
        <v>74</v>
      </c>
      <c r="R1192">
        <v>5470</v>
      </c>
      <c r="S1192">
        <v>25518</v>
      </c>
      <c r="T1192">
        <v>0</v>
      </c>
      <c r="U1192" t="s">
        <v>51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  <c r="AG1192" t="s">
        <v>67</v>
      </c>
      <c r="AH1192" t="s">
        <v>46</v>
      </c>
      <c r="AI1192">
        <v>0</v>
      </c>
      <c r="AJ1192" t="s">
        <v>47</v>
      </c>
      <c r="AK1192" t="s">
        <v>72</v>
      </c>
      <c r="AL1192" t="s">
        <v>60</v>
      </c>
      <c r="AM1192" t="s">
        <v>70</v>
      </c>
      <c r="AN1192">
        <f t="shared" si="18"/>
        <v>6</v>
      </c>
    </row>
    <row r="1193" spans="1:40">
      <c r="A1193">
        <v>31</v>
      </c>
      <c r="B1193" t="s">
        <v>51</v>
      </c>
      <c r="C1193" t="s">
        <v>39</v>
      </c>
      <c r="D1193">
        <v>1112</v>
      </c>
      <c r="E1193" t="s">
        <v>40</v>
      </c>
      <c r="F1193">
        <v>5</v>
      </c>
      <c r="G1193">
        <v>4</v>
      </c>
      <c r="H1193" t="s">
        <v>41</v>
      </c>
      <c r="I1193">
        <v>1673</v>
      </c>
      <c r="J1193">
        <v>1</v>
      </c>
      <c r="K1193" t="s">
        <v>42</v>
      </c>
      <c r="L1193">
        <v>67</v>
      </c>
      <c r="M1193">
        <v>3</v>
      </c>
      <c r="N1193">
        <v>2</v>
      </c>
      <c r="O1193" t="s">
        <v>43</v>
      </c>
      <c r="P1193">
        <v>4</v>
      </c>
      <c r="Q1193" t="s">
        <v>56</v>
      </c>
      <c r="R1193">
        <v>5476</v>
      </c>
      <c r="S1193">
        <v>22589</v>
      </c>
      <c r="T1193">
        <v>1</v>
      </c>
      <c r="U1193" t="s">
        <v>51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  <c r="AG1193" t="s">
        <v>67</v>
      </c>
      <c r="AH1193" t="s">
        <v>46</v>
      </c>
      <c r="AI1193">
        <v>0</v>
      </c>
      <c r="AJ1193" t="s">
        <v>58</v>
      </c>
      <c r="AK1193" t="s">
        <v>68</v>
      </c>
      <c r="AL1193" t="s">
        <v>49</v>
      </c>
      <c r="AM1193" t="s">
        <v>61</v>
      </c>
      <c r="AN1193">
        <f t="shared" si="18"/>
        <v>-3</v>
      </c>
    </row>
    <row r="1194" spans="1:40">
      <c r="A1194">
        <v>49</v>
      </c>
      <c r="B1194" t="s">
        <v>51</v>
      </c>
      <c r="C1194" t="s">
        <v>39</v>
      </c>
      <c r="D1194">
        <v>464</v>
      </c>
      <c r="E1194" t="s">
        <v>53</v>
      </c>
      <c r="F1194">
        <v>16</v>
      </c>
      <c r="G1194">
        <v>3</v>
      </c>
      <c r="H1194" t="s">
        <v>69</v>
      </c>
      <c r="I1194">
        <v>1674</v>
      </c>
      <c r="J1194">
        <v>4</v>
      </c>
      <c r="K1194" t="s">
        <v>42</v>
      </c>
      <c r="L1194">
        <v>74</v>
      </c>
      <c r="M1194">
        <v>3</v>
      </c>
      <c r="N1194">
        <v>1</v>
      </c>
      <c r="O1194" t="s">
        <v>63</v>
      </c>
      <c r="P1194">
        <v>1</v>
      </c>
      <c r="Q1194" t="s">
        <v>74</v>
      </c>
      <c r="R1194">
        <v>2587</v>
      </c>
      <c r="S1194">
        <v>24941</v>
      </c>
      <c r="T1194">
        <v>4</v>
      </c>
      <c r="U1194" t="s">
        <v>38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 t="s">
        <v>57</v>
      </c>
      <c r="AH1194" t="s">
        <v>46</v>
      </c>
      <c r="AI1194">
        <v>0</v>
      </c>
      <c r="AJ1194" t="s">
        <v>47</v>
      </c>
      <c r="AK1194" t="s">
        <v>72</v>
      </c>
      <c r="AL1194" t="s">
        <v>73</v>
      </c>
      <c r="AM1194" t="s">
        <v>70</v>
      </c>
      <c r="AN1194">
        <f t="shared" si="18"/>
        <v>10</v>
      </c>
    </row>
    <row r="1195" spans="1:40">
      <c r="A1195">
        <v>38</v>
      </c>
      <c r="B1195" t="s">
        <v>51</v>
      </c>
      <c r="C1195" t="s">
        <v>52</v>
      </c>
      <c r="D1195">
        <v>148</v>
      </c>
      <c r="E1195" t="s">
        <v>53</v>
      </c>
      <c r="F1195">
        <v>2</v>
      </c>
      <c r="G1195">
        <v>3</v>
      </c>
      <c r="H1195" t="s">
        <v>69</v>
      </c>
      <c r="I1195">
        <v>1675</v>
      </c>
      <c r="J1195">
        <v>4</v>
      </c>
      <c r="K1195" t="s">
        <v>42</v>
      </c>
      <c r="L1195">
        <v>42</v>
      </c>
      <c r="M1195">
        <v>2</v>
      </c>
      <c r="N1195">
        <v>1</v>
      </c>
      <c r="O1195" t="s">
        <v>63</v>
      </c>
      <c r="P1195">
        <v>2</v>
      </c>
      <c r="Q1195" t="s">
        <v>44</v>
      </c>
      <c r="R1195">
        <v>2440</v>
      </c>
      <c r="S1195">
        <v>23826</v>
      </c>
      <c r="T1195">
        <v>1</v>
      </c>
      <c r="U1195" t="s">
        <v>51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  <c r="AG1195" t="s">
        <v>45</v>
      </c>
      <c r="AH1195" t="s">
        <v>46</v>
      </c>
      <c r="AI1195">
        <v>0</v>
      </c>
      <c r="AJ1195" t="s">
        <v>65</v>
      </c>
      <c r="AK1195" t="s">
        <v>72</v>
      </c>
      <c r="AL1195" t="s">
        <v>60</v>
      </c>
      <c r="AM1195" t="s">
        <v>61</v>
      </c>
      <c r="AN1195">
        <f t="shared" si="18"/>
        <v>6</v>
      </c>
    </row>
    <row r="1196" spans="1:40">
      <c r="A1196">
        <v>47</v>
      </c>
      <c r="B1196" t="s">
        <v>51</v>
      </c>
      <c r="C1196" t="s">
        <v>39</v>
      </c>
      <c r="D1196">
        <v>1225</v>
      </c>
      <c r="E1196" t="s">
        <v>40</v>
      </c>
      <c r="F1196">
        <v>2</v>
      </c>
      <c r="G1196">
        <v>4</v>
      </c>
      <c r="H1196" t="s">
        <v>41</v>
      </c>
      <c r="I1196">
        <v>1676</v>
      </c>
      <c r="J1196">
        <v>2</v>
      </c>
      <c r="K1196" t="s">
        <v>42</v>
      </c>
      <c r="L1196">
        <v>47</v>
      </c>
      <c r="M1196">
        <v>4</v>
      </c>
      <c r="N1196">
        <v>4</v>
      </c>
      <c r="O1196" t="s">
        <v>79</v>
      </c>
      <c r="P1196">
        <v>2</v>
      </c>
      <c r="Q1196" t="s">
        <v>74</v>
      </c>
      <c r="R1196">
        <v>15972</v>
      </c>
      <c r="S1196">
        <v>21086</v>
      </c>
      <c r="T1196">
        <v>6</v>
      </c>
      <c r="U1196" t="s">
        <v>51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  <c r="AG1196" t="s">
        <v>57</v>
      </c>
      <c r="AH1196" t="s">
        <v>46</v>
      </c>
      <c r="AI1196">
        <v>0</v>
      </c>
      <c r="AJ1196" t="s">
        <v>65</v>
      </c>
      <c r="AK1196" t="s">
        <v>68</v>
      </c>
      <c r="AL1196" t="s">
        <v>60</v>
      </c>
      <c r="AM1196" t="s">
        <v>61</v>
      </c>
      <c r="AN1196">
        <f t="shared" si="18"/>
        <v>4</v>
      </c>
    </row>
    <row r="1197" spans="1:40">
      <c r="A1197">
        <v>49</v>
      </c>
      <c r="B1197" t="s">
        <v>51</v>
      </c>
      <c r="C1197" t="s">
        <v>39</v>
      </c>
      <c r="D1197">
        <v>809</v>
      </c>
      <c r="E1197" t="s">
        <v>53</v>
      </c>
      <c r="F1197">
        <v>1</v>
      </c>
      <c r="G1197">
        <v>3</v>
      </c>
      <c r="H1197" t="s">
        <v>41</v>
      </c>
      <c r="I1197">
        <v>1677</v>
      </c>
      <c r="J1197">
        <v>3</v>
      </c>
      <c r="K1197" t="s">
        <v>54</v>
      </c>
      <c r="L1197">
        <v>36</v>
      </c>
      <c r="M1197">
        <v>3</v>
      </c>
      <c r="N1197">
        <v>4</v>
      </c>
      <c r="O1197" t="s">
        <v>79</v>
      </c>
      <c r="P1197">
        <v>3</v>
      </c>
      <c r="Q1197" t="s">
        <v>44</v>
      </c>
      <c r="R1197">
        <v>15379</v>
      </c>
      <c r="S1197">
        <v>22384</v>
      </c>
      <c r="T1197">
        <v>4</v>
      </c>
      <c r="U1197" t="s">
        <v>51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  <c r="AG1197" t="s">
        <v>57</v>
      </c>
      <c r="AH1197" t="s">
        <v>46</v>
      </c>
      <c r="AI1197">
        <v>0</v>
      </c>
      <c r="AJ1197" t="s">
        <v>58</v>
      </c>
      <c r="AK1197" t="s">
        <v>72</v>
      </c>
      <c r="AL1197" t="s">
        <v>66</v>
      </c>
      <c r="AM1197" t="s">
        <v>61</v>
      </c>
      <c r="AN1197">
        <f t="shared" si="18"/>
        <v>0</v>
      </c>
    </row>
    <row r="1198" spans="1:40">
      <c r="A1198">
        <v>41</v>
      </c>
      <c r="B1198" t="s">
        <v>51</v>
      </c>
      <c r="C1198" t="s">
        <v>39</v>
      </c>
      <c r="D1198">
        <v>1206</v>
      </c>
      <c r="E1198" t="s">
        <v>40</v>
      </c>
      <c r="F1198">
        <v>23</v>
      </c>
      <c r="G1198">
        <v>2</v>
      </c>
      <c r="H1198" t="s">
        <v>41</v>
      </c>
      <c r="I1198">
        <v>1678</v>
      </c>
      <c r="J1198">
        <v>4</v>
      </c>
      <c r="K1198" t="s">
        <v>54</v>
      </c>
      <c r="L1198">
        <v>80</v>
      </c>
      <c r="M1198">
        <v>3</v>
      </c>
      <c r="N1198">
        <v>3</v>
      </c>
      <c r="O1198" t="s">
        <v>43</v>
      </c>
      <c r="P1198">
        <v>3</v>
      </c>
      <c r="Q1198" t="s">
        <v>44</v>
      </c>
      <c r="R1198">
        <v>7082</v>
      </c>
      <c r="S1198">
        <v>11591</v>
      </c>
      <c r="T1198">
        <v>3</v>
      </c>
      <c r="U1198" t="s">
        <v>38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  <c r="AG1198" t="s">
        <v>45</v>
      </c>
      <c r="AH1198" t="s">
        <v>46</v>
      </c>
      <c r="AI1198">
        <v>0</v>
      </c>
      <c r="AJ1198" t="s">
        <v>65</v>
      </c>
      <c r="AK1198" t="s">
        <v>48</v>
      </c>
      <c r="AL1198" t="s">
        <v>66</v>
      </c>
      <c r="AM1198" t="s">
        <v>61</v>
      </c>
      <c r="AN1198">
        <f t="shared" si="18"/>
        <v>0</v>
      </c>
    </row>
    <row r="1199" spans="1:40">
      <c r="A1199">
        <v>20</v>
      </c>
      <c r="B1199" t="s">
        <v>51</v>
      </c>
      <c r="C1199" t="s">
        <v>39</v>
      </c>
      <c r="D1199">
        <v>727</v>
      </c>
      <c r="E1199" t="s">
        <v>40</v>
      </c>
      <c r="F1199">
        <v>9</v>
      </c>
      <c r="G1199">
        <v>1</v>
      </c>
      <c r="H1199" t="s">
        <v>41</v>
      </c>
      <c r="I1199">
        <v>1680</v>
      </c>
      <c r="J1199">
        <v>4</v>
      </c>
      <c r="K1199" t="s">
        <v>54</v>
      </c>
      <c r="L1199">
        <v>54</v>
      </c>
      <c r="M1199">
        <v>3</v>
      </c>
      <c r="N1199">
        <v>1</v>
      </c>
      <c r="O1199" t="s">
        <v>82</v>
      </c>
      <c r="P1199">
        <v>1</v>
      </c>
      <c r="Q1199" t="s">
        <v>44</v>
      </c>
      <c r="R1199">
        <v>2728</v>
      </c>
      <c r="S1199">
        <v>21082</v>
      </c>
      <c r="T1199">
        <v>1</v>
      </c>
      <c r="U1199" t="s">
        <v>51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  <c r="AG1199" t="s">
        <v>78</v>
      </c>
      <c r="AH1199" t="s">
        <v>46</v>
      </c>
      <c r="AI1199">
        <v>0</v>
      </c>
      <c r="AJ1199" t="s">
        <v>65</v>
      </c>
      <c r="AK1199" t="s">
        <v>59</v>
      </c>
      <c r="AL1199" t="s">
        <v>73</v>
      </c>
      <c r="AM1199" t="s">
        <v>61</v>
      </c>
      <c r="AN1199">
        <f t="shared" si="18"/>
        <v>6</v>
      </c>
    </row>
    <row r="1200" spans="1:40">
      <c r="A1200">
        <v>33</v>
      </c>
      <c r="B1200" t="s">
        <v>51</v>
      </c>
      <c r="C1200" t="s">
        <v>77</v>
      </c>
      <c r="D1200">
        <v>530</v>
      </c>
      <c r="E1200" t="s">
        <v>40</v>
      </c>
      <c r="F1200">
        <v>16</v>
      </c>
      <c r="G1200">
        <v>3</v>
      </c>
      <c r="H1200" t="s">
        <v>41</v>
      </c>
      <c r="I1200">
        <v>1681</v>
      </c>
      <c r="J1200">
        <v>3</v>
      </c>
      <c r="K1200" t="s">
        <v>42</v>
      </c>
      <c r="L1200">
        <v>36</v>
      </c>
      <c r="M1200">
        <v>3</v>
      </c>
      <c r="N1200">
        <v>2</v>
      </c>
      <c r="O1200" t="s">
        <v>43</v>
      </c>
      <c r="P1200">
        <v>4</v>
      </c>
      <c r="Q1200" t="s">
        <v>74</v>
      </c>
      <c r="R1200">
        <v>5368</v>
      </c>
      <c r="S1200">
        <v>16130</v>
      </c>
      <c r="T1200">
        <v>1</v>
      </c>
      <c r="U1200" t="s">
        <v>38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  <c r="AG1200" t="s">
        <v>67</v>
      </c>
      <c r="AH1200" t="s">
        <v>46</v>
      </c>
      <c r="AI1200">
        <v>0</v>
      </c>
      <c r="AJ1200" t="s">
        <v>58</v>
      </c>
      <c r="AK1200" t="s">
        <v>72</v>
      </c>
      <c r="AL1200" t="s">
        <v>49</v>
      </c>
      <c r="AM1200" t="s">
        <v>61</v>
      </c>
      <c r="AN1200">
        <f t="shared" si="18"/>
        <v>-2</v>
      </c>
    </row>
    <row r="1201" spans="1:40">
      <c r="A1201">
        <v>36</v>
      </c>
      <c r="B1201" t="s">
        <v>51</v>
      </c>
      <c r="C1201" t="s">
        <v>39</v>
      </c>
      <c r="D1201">
        <v>1351</v>
      </c>
      <c r="E1201" t="s">
        <v>53</v>
      </c>
      <c r="F1201">
        <v>26</v>
      </c>
      <c r="G1201">
        <v>4</v>
      </c>
      <c r="H1201" t="s">
        <v>41</v>
      </c>
      <c r="I1201">
        <v>1682</v>
      </c>
      <c r="J1201">
        <v>1</v>
      </c>
      <c r="K1201" t="s">
        <v>54</v>
      </c>
      <c r="L1201">
        <v>80</v>
      </c>
      <c r="M1201">
        <v>3</v>
      </c>
      <c r="N1201">
        <v>2</v>
      </c>
      <c r="O1201" t="s">
        <v>76</v>
      </c>
      <c r="P1201">
        <v>3</v>
      </c>
      <c r="Q1201" t="s">
        <v>56</v>
      </c>
      <c r="R1201">
        <v>5347</v>
      </c>
      <c r="S1201">
        <v>7419</v>
      </c>
      <c r="T1201">
        <v>6</v>
      </c>
      <c r="U1201" t="s">
        <v>51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  <c r="AG1201" t="s">
        <v>45</v>
      </c>
      <c r="AH1201" t="s">
        <v>71</v>
      </c>
      <c r="AI1201">
        <v>0</v>
      </c>
      <c r="AJ1201" t="s">
        <v>47</v>
      </c>
      <c r="AK1201" t="s">
        <v>68</v>
      </c>
      <c r="AL1201" t="s">
        <v>66</v>
      </c>
      <c r="AM1201" t="s">
        <v>70</v>
      </c>
      <c r="AN1201">
        <f t="shared" si="18"/>
        <v>2</v>
      </c>
    </row>
    <row r="1202" spans="1:40">
      <c r="A1202">
        <v>44</v>
      </c>
      <c r="B1202" t="s">
        <v>51</v>
      </c>
      <c r="C1202" t="s">
        <v>39</v>
      </c>
      <c r="D1202">
        <v>528</v>
      </c>
      <c r="E1202" t="s">
        <v>88</v>
      </c>
      <c r="F1202">
        <v>1</v>
      </c>
      <c r="G1202">
        <v>3</v>
      </c>
      <c r="H1202" t="s">
        <v>41</v>
      </c>
      <c r="I1202">
        <v>1683</v>
      </c>
      <c r="J1202">
        <v>3</v>
      </c>
      <c r="K1202" t="s">
        <v>42</v>
      </c>
      <c r="L1202">
        <v>44</v>
      </c>
      <c r="M1202">
        <v>3</v>
      </c>
      <c r="N1202">
        <v>1</v>
      </c>
      <c r="O1202" t="s">
        <v>88</v>
      </c>
      <c r="P1202">
        <v>4</v>
      </c>
      <c r="Q1202" t="s">
        <v>74</v>
      </c>
      <c r="R1202">
        <v>3195</v>
      </c>
      <c r="S1202">
        <v>4167</v>
      </c>
      <c r="T1202">
        <v>4</v>
      </c>
      <c r="U1202" t="s">
        <v>38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  <c r="AG1202" t="s">
        <v>45</v>
      </c>
      <c r="AH1202" t="s">
        <v>81</v>
      </c>
      <c r="AI1202">
        <v>0</v>
      </c>
      <c r="AJ1202" t="s">
        <v>65</v>
      </c>
      <c r="AK1202" t="s">
        <v>72</v>
      </c>
      <c r="AL1202" t="s">
        <v>49</v>
      </c>
      <c r="AM1202" t="s">
        <v>61</v>
      </c>
      <c r="AN1202">
        <f t="shared" si="18"/>
        <v>-1</v>
      </c>
    </row>
    <row r="1203" spans="1:40">
      <c r="A1203">
        <v>23</v>
      </c>
      <c r="B1203" t="s">
        <v>38</v>
      </c>
      <c r="C1203" t="s">
        <v>39</v>
      </c>
      <c r="D1203">
        <v>1320</v>
      </c>
      <c r="E1203" t="s">
        <v>53</v>
      </c>
      <c r="F1203">
        <v>8</v>
      </c>
      <c r="G1203">
        <v>1</v>
      </c>
      <c r="H1203" t="s">
        <v>69</v>
      </c>
      <c r="I1203">
        <v>1684</v>
      </c>
      <c r="J1203">
        <v>4</v>
      </c>
      <c r="K1203" t="s">
        <v>54</v>
      </c>
      <c r="L1203">
        <v>93</v>
      </c>
      <c r="M1203">
        <v>2</v>
      </c>
      <c r="N1203">
        <v>1</v>
      </c>
      <c r="O1203" t="s">
        <v>63</v>
      </c>
      <c r="P1203">
        <v>3</v>
      </c>
      <c r="Q1203" t="s">
        <v>44</v>
      </c>
      <c r="R1203">
        <v>3989</v>
      </c>
      <c r="S1203">
        <v>20586</v>
      </c>
      <c r="T1203">
        <v>1</v>
      </c>
      <c r="U1203" t="s">
        <v>38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  <c r="AG1203" t="s">
        <v>78</v>
      </c>
      <c r="AH1203" t="s">
        <v>46</v>
      </c>
      <c r="AI1203">
        <v>1</v>
      </c>
      <c r="AJ1203" t="s">
        <v>65</v>
      </c>
      <c r="AK1203" t="s">
        <v>59</v>
      </c>
      <c r="AL1203" t="s">
        <v>66</v>
      </c>
      <c r="AM1203" t="s">
        <v>61</v>
      </c>
      <c r="AN1203">
        <f t="shared" si="18"/>
        <v>1</v>
      </c>
    </row>
    <row r="1204" spans="1:40">
      <c r="A1204">
        <v>38</v>
      </c>
      <c r="B1204" t="s">
        <v>51</v>
      </c>
      <c r="C1204" t="s">
        <v>39</v>
      </c>
      <c r="D1204">
        <v>1495</v>
      </c>
      <c r="E1204" t="s">
        <v>53</v>
      </c>
      <c r="F1204">
        <v>4</v>
      </c>
      <c r="G1204">
        <v>2</v>
      </c>
      <c r="H1204" t="s">
        <v>69</v>
      </c>
      <c r="I1204">
        <v>1687</v>
      </c>
      <c r="J1204">
        <v>4</v>
      </c>
      <c r="K1204" t="s">
        <v>42</v>
      </c>
      <c r="L1204">
        <v>87</v>
      </c>
      <c r="M1204">
        <v>3</v>
      </c>
      <c r="N1204">
        <v>1</v>
      </c>
      <c r="O1204" t="s">
        <v>63</v>
      </c>
      <c r="P1204">
        <v>3</v>
      </c>
      <c r="Q1204" t="s">
        <v>56</v>
      </c>
      <c r="R1204">
        <v>3306</v>
      </c>
      <c r="S1204">
        <v>26176</v>
      </c>
      <c r="T1204">
        <v>7</v>
      </c>
      <c r="U1204" t="s">
        <v>51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 t="s">
        <v>45</v>
      </c>
      <c r="AH1204" t="s">
        <v>46</v>
      </c>
      <c r="AI1204">
        <v>0</v>
      </c>
      <c r="AJ1204" t="s">
        <v>47</v>
      </c>
      <c r="AK1204" t="s">
        <v>48</v>
      </c>
      <c r="AL1204" t="s">
        <v>66</v>
      </c>
      <c r="AM1204" t="s">
        <v>70</v>
      </c>
      <c r="AN1204">
        <f t="shared" si="18"/>
        <v>2</v>
      </c>
    </row>
    <row r="1205" spans="1:40">
      <c r="A1205">
        <v>53</v>
      </c>
      <c r="B1205" t="s">
        <v>51</v>
      </c>
      <c r="C1205" t="s">
        <v>39</v>
      </c>
      <c r="D1205">
        <v>1395</v>
      </c>
      <c r="E1205" t="s">
        <v>53</v>
      </c>
      <c r="F1205">
        <v>24</v>
      </c>
      <c r="G1205">
        <v>4</v>
      </c>
      <c r="H1205" t="s">
        <v>69</v>
      </c>
      <c r="I1205">
        <v>1689</v>
      </c>
      <c r="J1205">
        <v>2</v>
      </c>
      <c r="K1205" t="s">
        <v>54</v>
      </c>
      <c r="L1205">
        <v>48</v>
      </c>
      <c r="M1205">
        <v>4</v>
      </c>
      <c r="N1205">
        <v>3</v>
      </c>
      <c r="O1205" t="s">
        <v>76</v>
      </c>
      <c r="P1205">
        <v>4</v>
      </c>
      <c r="Q1205" t="s">
        <v>56</v>
      </c>
      <c r="R1205">
        <v>7005</v>
      </c>
      <c r="S1205">
        <v>3458</v>
      </c>
      <c r="T1205">
        <v>3</v>
      </c>
      <c r="U1205" t="s">
        <v>51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  <c r="AG1205" t="s">
        <v>57</v>
      </c>
      <c r="AH1205" t="s">
        <v>81</v>
      </c>
      <c r="AI1205">
        <v>0</v>
      </c>
      <c r="AJ1205" t="s">
        <v>65</v>
      </c>
      <c r="AK1205" t="s">
        <v>68</v>
      </c>
      <c r="AL1205" t="s">
        <v>49</v>
      </c>
      <c r="AM1205" t="s">
        <v>61</v>
      </c>
      <c r="AN1205">
        <f t="shared" si="18"/>
        <v>-2</v>
      </c>
    </row>
    <row r="1206" spans="1:40">
      <c r="A1206">
        <v>48</v>
      </c>
      <c r="B1206" t="s">
        <v>38</v>
      </c>
      <c r="C1206" t="s">
        <v>52</v>
      </c>
      <c r="D1206">
        <v>708</v>
      </c>
      <c r="E1206" t="s">
        <v>40</v>
      </c>
      <c r="F1206">
        <v>7</v>
      </c>
      <c r="G1206">
        <v>2</v>
      </c>
      <c r="H1206" t="s">
        <v>69</v>
      </c>
      <c r="I1206">
        <v>1691</v>
      </c>
      <c r="J1206">
        <v>4</v>
      </c>
      <c r="K1206" t="s">
        <v>42</v>
      </c>
      <c r="L1206">
        <v>95</v>
      </c>
      <c r="M1206">
        <v>3</v>
      </c>
      <c r="N1206">
        <v>1</v>
      </c>
      <c r="O1206" t="s">
        <v>82</v>
      </c>
      <c r="P1206">
        <v>3</v>
      </c>
      <c r="Q1206" t="s">
        <v>56</v>
      </c>
      <c r="R1206">
        <v>2655</v>
      </c>
      <c r="S1206">
        <v>11740</v>
      </c>
      <c r="T1206">
        <v>2</v>
      </c>
      <c r="U1206" t="s">
        <v>38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  <c r="AG1206" t="s">
        <v>57</v>
      </c>
      <c r="AH1206" t="s">
        <v>46</v>
      </c>
      <c r="AI1206">
        <v>1</v>
      </c>
      <c r="AJ1206" t="s">
        <v>58</v>
      </c>
      <c r="AK1206" t="s">
        <v>48</v>
      </c>
      <c r="AL1206" t="s">
        <v>66</v>
      </c>
      <c r="AM1206" t="s">
        <v>61</v>
      </c>
      <c r="AN1206">
        <f t="shared" si="18"/>
        <v>7</v>
      </c>
    </row>
    <row r="1207" spans="1:40">
      <c r="A1207">
        <v>32</v>
      </c>
      <c r="B1207" t="s">
        <v>38</v>
      </c>
      <c r="C1207" t="s">
        <v>39</v>
      </c>
      <c r="D1207">
        <v>1259</v>
      </c>
      <c r="E1207" t="s">
        <v>53</v>
      </c>
      <c r="F1207">
        <v>2</v>
      </c>
      <c r="G1207">
        <v>4</v>
      </c>
      <c r="H1207" t="s">
        <v>41</v>
      </c>
      <c r="I1207">
        <v>1692</v>
      </c>
      <c r="J1207">
        <v>4</v>
      </c>
      <c r="K1207" t="s">
        <v>54</v>
      </c>
      <c r="L1207">
        <v>95</v>
      </c>
      <c r="M1207">
        <v>3</v>
      </c>
      <c r="N1207">
        <v>1</v>
      </c>
      <c r="O1207" t="s">
        <v>63</v>
      </c>
      <c r="P1207">
        <v>2</v>
      </c>
      <c r="Q1207" t="s">
        <v>44</v>
      </c>
      <c r="R1207">
        <v>1393</v>
      </c>
      <c r="S1207">
        <v>24852</v>
      </c>
      <c r="T1207">
        <v>1</v>
      </c>
      <c r="U1207" t="s">
        <v>51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  <c r="AG1207" t="s">
        <v>67</v>
      </c>
      <c r="AH1207" t="s">
        <v>46</v>
      </c>
      <c r="AI1207">
        <v>1</v>
      </c>
      <c r="AJ1207" t="s">
        <v>65</v>
      </c>
      <c r="AK1207" t="s">
        <v>68</v>
      </c>
      <c r="AL1207" t="s">
        <v>60</v>
      </c>
      <c r="AM1207" t="s">
        <v>61</v>
      </c>
      <c r="AN1207">
        <f t="shared" si="18"/>
        <v>3</v>
      </c>
    </row>
    <row r="1208" spans="1:40">
      <c r="A1208">
        <v>26</v>
      </c>
      <c r="B1208" t="s">
        <v>51</v>
      </c>
      <c r="C1208" t="s">
        <v>77</v>
      </c>
      <c r="D1208">
        <v>786</v>
      </c>
      <c r="E1208" t="s">
        <v>53</v>
      </c>
      <c r="F1208">
        <v>7</v>
      </c>
      <c r="G1208">
        <v>3</v>
      </c>
      <c r="H1208" t="s">
        <v>69</v>
      </c>
      <c r="I1208">
        <v>1693</v>
      </c>
      <c r="J1208">
        <v>4</v>
      </c>
      <c r="K1208" t="s">
        <v>54</v>
      </c>
      <c r="L1208">
        <v>76</v>
      </c>
      <c r="M1208">
        <v>3</v>
      </c>
      <c r="N1208">
        <v>1</v>
      </c>
      <c r="O1208" t="s">
        <v>63</v>
      </c>
      <c r="P1208">
        <v>4</v>
      </c>
      <c r="Q1208" t="s">
        <v>44</v>
      </c>
      <c r="R1208">
        <v>2570</v>
      </c>
      <c r="S1208">
        <v>11925</v>
      </c>
      <c r="T1208">
        <v>1</v>
      </c>
      <c r="U1208" t="s">
        <v>51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  <c r="AG1208" t="s">
        <v>67</v>
      </c>
      <c r="AH1208" t="s">
        <v>46</v>
      </c>
      <c r="AI1208">
        <v>0</v>
      </c>
      <c r="AJ1208" t="s">
        <v>58</v>
      </c>
      <c r="AK1208" t="s">
        <v>72</v>
      </c>
      <c r="AL1208" t="s">
        <v>49</v>
      </c>
      <c r="AM1208" t="s">
        <v>61</v>
      </c>
      <c r="AN1208">
        <f t="shared" si="18"/>
        <v>2</v>
      </c>
    </row>
    <row r="1209" spans="1:40">
      <c r="A1209">
        <v>55</v>
      </c>
      <c r="B1209" t="s">
        <v>51</v>
      </c>
      <c r="C1209" t="s">
        <v>39</v>
      </c>
      <c r="D1209">
        <v>1441</v>
      </c>
      <c r="E1209" t="s">
        <v>53</v>
      </c>
      <c r="F1209">
        <v>22</v>
      </c>
      <c r="G1209">
        <v>3</v>
      </c>
      <c r="H1209" t="s">
        <v>86</v>
      </c>
      <c r="I1209">
        <v>1694</v>
      </c>
      <c r="J1209">
        <v>1</v>
      </c>
      <c r="K1209" t="s">
        <v>54</v>
      </c>
      <c r="L1209">
        <v>94</v>
      </c>
      <c r="M1209">
        <v>2</v>
      </c>
      <c r="N1209">
        <v>1</v>
      </c>
      <c r="O1209" t="s">
        <v>55</v>
      </c>
      <c r="P1209">
        <v>2</v>
      </c>
      <c r="Q1209" t="s">
        <v>74</v>
      </c>
      <c r="R1209">
        <v>3537</v>
      </c>
      <c r="S1209">
        <v>23737</v>
      </c>
      <c r="T1209">
        <v>5</v>
      </c>
      <c r="U1209" t="s">
        <v>51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  <c r="AG1209" t="s">
        <v>57</v>
      </c>
      <c r="AH1209" t="s">
        <v>46</v>
      </c>
      <c r="AI1209">
        <v>0</v>
      </c>
      <c r="AJ1209" t="s">
        <v>65</v>
      </c>
      <c r="AK1209" t="s">
        <v>72</v>
      </c>
      <c r="AL1209" t="s">
        <v>60</v>
      </c>
      <c r="AM1209" t="s">
        <v>61</v>
      </c>
      <c r="AN1209">
        <f t="shared" si="18"/>
        <v>4</v>
      </c>
    </row>
    <row r="1210" spans="1:40">
      <c r="A1210">
        <v>34</v>
      </c>
      <c r="B1210" t="s">
        <v>51</v>
      </c>
      <c r="C1210" t="s">
        <v>39</v>
      </c>
      <c r="D1210">
        <v>1157</v>
      </c>
      <c r="E1210" t="s">
        <v>53</v>
      </c>
      <c r="F1210">
        <v>5</v>
      </c>
      <c r="G1210">
        <v>2</v>
      </c>
      <c r="H1210" t="s">
        <v>69</v>
      </c>
      <c r="I1210">
        <v>1696</v>
      </c>
      <c r="J1210">
        <v>2</v>
      </c>
      <c r="K1210" t="s">
        <v>54</v>
      </c>
      <c r="L1210">
        <v>57</v>
      </c>
      <c r="M1210">
        <v>2</v>
      </c>
      <c r="N1210">
        <v>2</v>
      </c>
      <c r="O1210" t="s">
        <v>63</v>
      </c>
      <c r="P1210">
        <v>4</v>
      </c>
      <c r="Q1210" t="s">
        <v>56</v>
      </c>
      <c r="R1210">
        <v>3986</v>
      </c>
      <c r="S1210">
        <v>11912</v>
      </c>
      <c r="T1210">
        <v>1</v>
      </c>
      <c r="U1210" t="s">
        <v>51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  <c r="AG1210" t="s">
        <v>67</v>
      </c>
      <c r="AH1210" t="s">
        <v>46</v>
      </c>
      <c r="AI1210">
        <v>0</v>
      </c>
      <c r="AJ1210" t="s">
        <v>80</v>
      </c>
      <c r="AK1210" t="s">
        <v>48</v>
      </c>
      <c r="AL1210" t="s">
        <v>49</v>
      </c>
      <c r="AM1210" t="s">
        <v>85</v>
      </c>
      <c r="AN1210">
        <f t="shared" si="18"/>
        <v>-1</v>
      </c>
    </row>
    <row r="1211" spans="1:40">
      <c r="A1211">
        <v>60</v>
      </c>
      <c r="B1211" t="s">
        <v>51</v>
      </c>
      <c r="C1211" t="s">
        <v>39</v>
      </c>
      <c r="D1211">
        <v>370</v>
      </c>
      <c r="E1211" t="s">
        <v>53</v>
      </c>
      <c r="F1211">
        <v>1</v>
      </c>
      <c r="G1211">
        <v>4</v>
      </c>
      <c r="H1211" t="s">
        <v>69</v>
      </c>
      <c r="I1211">
        <v>1697</v>
      </c>
      <c r="J1211">
        <v>3</v>
      </c>
      <c r="K1211" t="s">
        <v>54</v>
      </c>
      <c r="L1211">
        <v>92</v>
      </c>
      <c r="M1211">
        <v>1</v>
      </c>
      <c r="N1211">
        <v>3</v>
      </c>
      <c r="O1211" t="s">
        <v>76</v>
      </c>
      <c r="P1211">
        <v>4</v>
      </c>
      <c r="Q1211" t="s">
        <v>74</v>
      </c>
      <c r="R1211">
        <v>10883</v>
      </c>
      <c r="S1211">
        <v>20467</v>
      </c>
      <c r="T1211">
        <v>3</v>
      </c>
      <c r="U1211" t="s">
        <v>51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  <c r="AG1211" t="s">
        <v>57</v>
      </c>
      <c r="AH1211" t="s">
        <v>46</v>
      </c>
      <c r="AI1211">
        <v>0</v>
      </c>
      <c r="AJ1211" t="s">
        <v>65</v>
      </c>
      <c r="AK1211" t="s">
        <v>68</v>
      </c>
      <c r="AL1211" t="s">
        <v>49</v>
      </c>
      <c r="AM1211" t="s">
        <v>85</v>
      </c>
      <c r="AN1211">
        <f t="shared" si="18"/>
        <v>-5</v>
      </c>
    </row>
    <row r="1212" spans="1:40">
      <c r="A1212">
        <v>33</v>
      </c>
      <c r="B1212" t="s">
        <v>51</v>
      </c>
      <c r="C1212" t="s">
        <v>39</v>
      </c>
      <c r="D1212">
        <v>267</v>
      </c>
      <c r="E1212" t="s">
        <v>53</v>
      </c>
      <c r="F1212">
        <v>21</v>
      </c>
      <c r="G1212">
        <v>3</v>
      </c>
      <c r="H1212" t="s">
        <v>69</v>
      </c>
      <c r="I1212">
        <v>1698</v>
      </c>
      <c r="J1212">
        <v>2</v>
      </c>
      <c r="K1212" t="s">
        <v>54</v>
      </c>
      <c r="L1212">
        <v>79</v>
      </c>
      <c r="M1212">
        <v>4</v>
      </c>
      <c r="N1212">
        <v>1</v>
      </c>
      <c r="O1212" t="s">
        <v>63</v>
      </c>
      <c r="P1212">
        <v>2</v>
      </c>
      <c r="Q1212" t="s">
        <v>56</v>
      </c>
      <c r="R1212">
        <v>2028</v>
      </c>
      <c r="S1212">
        <v>13637</v>
      </c>
      <c r="T1212">
        <v>1</v>
      </c>
      <c r="U1212" t="s">
        <v>51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  <c r="AG1212" t="s">
        <v>67</v>
      </c>
      <c r="AH1212" t="s">
        <v>46</v>
      </c>
      <c r="AI1212">
        <v>0</v>
      </c>
      <c r="AJ1212" t="s">
        <v>80</v>
      </c>
      <c r="AK1212" t="s">
        <v>72</v>
      </c>
      <c r="AL1212" t="s">
        <v>60</v>
      </c>
      <c r="AM1212" t="s">
        <v>61</v>
      </c>
      <c r="AN1212">
        <f t="shared" si="18"/>
        <v>5</v>
      </c>
    </row>
    <row r="1213" spans="1:40">
      <c r="A1213">
        <v>37</v>
      </c>
      <c r="B1213" t="s">
        <v>51</v>
      </c>
      <c r="C1213" t="s">
        <v>52</v>
      </c>
      <c r="D1213">
        <v>1278</v>
      </c>
      <c r="E1213" t="s">
        <v>40</v>
      </c>
      <c r="F1213">
        <v>1</v>
      </c>
      <c r="G1213">
        <v>4</v>
      </c>
      <c r="H1213" t="s">
        <v>69</v>
      </c>
      <c r="I1213">
        <v>1700</v>
      </c>
      <c r="J1213">
        <v>3</v>
      </c>
      <c r="K1213" t="s">
        <v>54</v>
      </c>
      <c r="L1213">
        <v>31</v>
      </c>
      <c r="M1213">
        <v>1</v>
      </c>
      <c r="N1213">
        <v>2</v>
      </c>
      <c r="O1213" t="s">
        <v>43</v>
      </c>
      <c r="P1213">
        <v>4</v>
      </c>
      <c r="Q1213" t="s">
        <v>74</v>
      </c>
      <c r="R1213">
        <v>9525</v>
      </c>
      <c r="S1213">
        <v>7677</v>
      </c>
      <c r="T1213">
        <v>1</v>
      </c>
      <c r="U1213" t="s">
        <v>51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  <c r="AG1213" t="s">
        <v>45</v>
      </c>
      <c r="AH1213" t="s">
        <v>71</v>
      </c>
      <c r="AI1213">
        <v>0</v>
      </c>
      <c r="AJ1213" t="s">
        <v>47</v>
      </c>
      <c r="AK1213" t="s">
        <v>68</v>
      </c>
      <c r="AL1213" t="s">
        <v>49</v>
      </c>
      <c r="AM1213" t="s">
        <v>70</v>
      </c>
      <c r="AN1213">
        <f t="shared" si="18"/>
        <v>0</v>
      </c>
    </row>
    <row r="1214" spans="1:40">
      <c r="A1214">
        <v>34</v>
      </c>
      <c r="B1214" t="s">
        <v>51</v>
      </c>
      <c r="C1214" t="s">
        <v>39</v>
      </c>
      <c r="D1214">
        <v>678</v>
      </c>
      <c r="E1214" t="s">
        <v>53</v>
      </c>
      <c r="F1214">
        <v>19</v>
      </c>
      <c r="G1214">
        <v>3</v>
      </c>
      <c r="H1214" t="s">
        <v>41</v>
      </c>
      <c r="I1214">
        <v>1701</v>
      </c>
      <c r="J1214">
        <v>2</v>
      </c>
      <c r="K1214" t="s">
        <v>42</v>
      </c>
      <c r="L1214">
        <v>35</v>
      </c>
      <c r="M1214">
        <v>2</v>
      </c>
      <c r="N1214">
        <v>1</v>
      </c>
      <c r="O1214" t="s">
        <v>55</v>
      </c>
      <c r="P1214">
        <v>4</v>
      </c>
      <c r="Q1214" t="s">
        <v>56</v>
      </c>
      <c r="R1214">
        <v>2929</v>
      </c>
      <c r="S1214">
        <v>20338</v>
      </c>
      <c r="T1214">
        <v>1</v>
      </c>
      <c r="U1214" t="s">
        <v>51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  <c r="AG1214" t="s">
        <v>67</v>
      </c>
      <c r="AH1214" t="s">
        <v>46</v>
      </c>
      <c r="AI1214">
        <v>0</v>
      </c>
      <c r="AJ1214" t="s">
        <v>58</v>
      </c>
      <c r="AK1214" t="s">
        <v>72</v>
      </c>
      <c r="AL1214" t="s">
        <v>49</v>
      </c>
      <c r="AM1214" t="s">
        <v>61</v>
      </c>
      <c r="AN1214">
        <f t="shared" si="18"/>
        <v>5</v>
      </c>
    </row>
    <row r="1215" spans="1:40">
      <c r="A1215">
        <v>23</v>
      </c>
      <c r="B1215" t="s">
        <v>38</v>
      </c>
      <c r="C1215" t="s">
        <v>39</v>
      </c>
      <c r="D1215">
        <v>427</v>
      </c>
      <c r="E1215" t="s">
        <v>40</v>
      </c>
      <c r="F1215">
        <v>7</v>
      </c>
      <c r="G1215">
        <v>3</v>
      </c>
      <c r="H1215" t="s">
        <v>41</v>
      </c>
      <c r="I1215">
        <v>1702</v>
      </c>
      <c r="J1215">
        <v>3</v>
      </c>
      <c r="K1215" t="s">
        <v>54</v>
      </c>
      <c r="L1215">
        <v>99</v>
      </c>
      <c r="M1215">
        <v>3</v>
      </c>
      <c r="N1215">
        <v>1</v>
      </c>
      <c r="O1215" t="s">
        <v>82</v>
      </c>
      <c r="P1215">
        <v>4</v>
      </c>
      <c r="Q1215" t="s">
        <v>74</v>
      </c>
      <c r="R1215">
        <v>2275</v>
      </c>
      <c r="S1215">
        <v>25103</v>
      </c>
      <c r="T1215">
        <v>1</v>
      </c>
      <c r="U1215" t="s">
        <v>38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  <c r="AG1215" t="s">
        <v>78</v>
      </c>
      <c r="AH1215" t="s">
        <v>46</v>
      </c>
      <c r="AI1215">
        <v>1</v>
      </c>
      <c r="AJ1215" t="s">
        <v>65</v>
      </c>
      <c r="AK1215" t="s">
        <v>72</v>
      </c>
      <c r="AL1215" t="s">
        <v>49</v>
      </c>
      <c r="AM1215" t="s">
        <v>61</v>
      </c>
      <c r="AN1215">
        <f t="shared" si="18"/>
        <v>-3</v>
      </c>
    </row>
    <row r="1216" spans="1:40">
      <c r="A1216">
        <v>44</v>
      </c>
      <c r="B1216" t="s">
        <v>51</v>
      </c>
      <c r="C1216" t="s">
        <v>39</v>
      </c>
      <c r="D1216">
        <v>921</v>
      </c>
      <c r="E1216" t="s">
        <v>53</v>
      </c>
      <c r="F1216">
        <v>2</v>
      </c>
      <c r="G1216">
        <v>3</v>
      </c>
      <c r="H1216" t="s">
        <v>41</v>
      </c>
      <c r="I1216">
        <v>1703</v>
      </c>
      <c r="J1216">
        <v>3</v>
      </c>
      <c r="K1216" t="s">
        <v>42</v>
      </c>
      <c r="L1216">
        <v>96</v>
      </c>
      <c r="M1216">
        <v>4</v>
      </c>
      <c r="N1216">
        <v>3</v>
      </c>
      <c r="O1216" t="s">
        <v>76</v>
      </c>
      <c r="P1216">
        <v>4</v>
      </c>
      <c r="Q1216" t="s">
        <v>56</v>
      </c>
      <c r="R1216">
        <v>7879</v>
      </c>
      <c r="S1216">
        <v>14810</v>
      </c>
      <c r="T1216">
        <v>1</v>
      </c>
      <c r="U1216" t="s">
        <v>38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  <c r="AG1216" t="s">
        <v>45</v>
      </c>
      <c r="AH1216" t="s">
        <v>46</v>
      </c>
      <c r="AI1216">
        <v>0</v>
      </c>
      <c r="AJ1216" t="s">
        <v>58</v>
      </c>
      <c r="AK1216" t="s">
        <v>72</v>
      </c>
      <c r="AL1216" t="s">
        <v>49</v>
      </c>
      <c r="AM1216" t="s">
        <v>61</v>
      </c>
      <c r="AN1216">
        <f t="shared" si="18"/>
        <v>3</v>
      </c>
    </row>
    <row r="1217" spans="1:40">
      <c r="A1217">
        <v>35</v>
      </c>
      <c r="B1217" t="s">
        <v>51</v>
      </c>
      <c r="C1217" t="s">
        <v>52</v>
      </c>
      <c r="D1217">
        <v>146</v>
      </c>
      <c r="E1217" t="s">
        <v>53</v>
      </c>
      <c r="F1217">
        <v>2</v>
      </c>
      <c r="G1217">
        <v>4</v>
      </c>
      <c r="H1217" t="s">
        <v>69</v>
      </c>
      <c r="I1217">
        <v>1704</v>
      </c>
      <c r="J1217">
        <v>1</v>
      </c>
      <c r="K1217" t="s">
        <v>54</v>
      </c>
      <c r="L1217">
        <v>79</v>
      </c>
      <c r="M1217">
        <v>2</v>
      </c>
      <c r="N1217">
        <v>1</v>
      </c>
      <c r="O1217" t="s">
        <v>55</v>
      </c>
      <c r="P1217">
        <v>4</v>
      </c>
      <c r="Q1217" t="s">
        <v>44</v>
      </c>
      <c r="R1217">
        <v>4930</v>
      </c>
      <c r="S1217">
        <v>13970</v>
      </c>
      <c r="T1217">
        <v>0</v>
      </c>
      <c r="U1217" t="s">
        <v>38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  <c r="AG1217" t="s">
        <v>67</v>
      </c>
      <c r="AH1217" t="s">
        <v>46</v>
      </c>
      <c r="AI1217">
        <v>0</v>
      </c>
      <c r="AJ1217" t="s">
        <v>65</v>
      </c>
      <c r="AK1217" t="s">
        <v>68</v>
      </c>
      <c r="AL1217" t="s">
        <v>49</v>
      </c>
      <c r="AM1217" t="s">
        <v>85</v>
      </c>
      <c r="AN1217">
        <f t="shared" si="18"/>
        <v>-4</v>
      </c>
    </row>
    <row r="1218" spans="1:40">
      <c r="A1218">
        <v>43</v>
      </c>
      <c r="B1218" t="s">
        <v>51</v>
      </c>
      <c r="C1218" t="s">
        <v>39</v>
      </c>
      <c r="D1218">
        <v>1179</v>
      </c>
      <c r="E1218" t="s">
        <v>40</v>
      </c>
      <c r="F1218">
        <v>2</v>
      </c>
      <c r="G1218">
        <v>3</v>
      </c>
      <c r="H1218" t="s">
        <v>69</v>
      </c>
      <c r="I1218">
        <v>1706</v>
      </c>
      <c r="J1218">
        <v>4</v>
      </c>
      <c r="K1218" t="s">
        <v>54</v>
      </c>
      <c r="L1218">
        <v>73</v>
      </c>
      <c r="M1218">
        <v>3</v>
      </c>
      <c r="N1218">
        <v>2</v>
      </c>
      <c r="O1218" t="s">
        <v>43</v>
      </c>
      <c r="P1218">
        <v>4</v>
      </c>
      <c r="Q1218" t="s">
        <v>56</v>
      </c>
      <c r="R1218">
        <v>7847</v>
      </c>
      <c r="S1218">
        <v>6069</v>
      </c>
      <c r="T1218">
        <v>1</v>
      </c>
      <c r="U1218" t="s">
        <v>38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  <c r="AG1218" t="s">
        <v>45</v>
      </c>
      <c r="AH1218" t="s">
        <v>71</v>
      </c>
      <c r="AI1218">
        <v>0</v>
      </c>
      <c r="AJ1218" t="s">
        <v>58</v>
      </c>
      <c r="AK1218" t="s">
        <v>72</v>
      </c>
      <c r="AL1218" t="s">
        <v>49</v>
      </c>
      <c r="AM1218" t="s">
        <v>61</v>
      </c>
      <c r="AN1218">
        <f t="shared" si="18"/>
        <v>5</v>
      </c>
    </row>
    <row r="1219" spans="1:40">
      <c r="A1219">
        <v>24</v>
      </c>
      <c r="B1219" t="s">
        <v>51</v>
      </c>
      <c r="C1219" t="s">
        <v>39</v>
      </c>
      <c r="D1219">
        <v>581</v>
      </c>
      <c r="E1219" t="s">
        <v>53</v>
      </c>
      <c r="F1219">
        <v>9</v>
      </c>
      <c r="G1219">
        <v>3</v>
      </c>
      <c r="H1219" t="s">
        <v>69</v>
      </c>
      <c r="I1219">
        <v>1707</v>
      </c>
      <c r="J1219">
        <v>3</v>
      </c>
      <c r="K1219" t="s">
        <v>54</v>
      </c>
      <c r="L1219">
        <v>62</v>
      </c>
      <c r="M1219">
        <v>4</v>
      </c>
      <c r="N1219">
        <v>1</v>
      </c>
      <c r="O1219" t="s">
        <v>55</v>
      </c>
      <c r="P1219">
        <v>3</v>
      </c>
      <c r="Q1219" t="s">
        <v>56</v>
      </c>
      <c r="R1219">
        <v>4401</v>
      </c>
      <c r="S1219">
        <v>17616</v>
      </c>
      <c r="T1219">
        <v>1</v>
      </c>
      <c r="U1219" t="s">
        <v>51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  <c r="AG1219" t="s">
        <v>78</v>
      </c>
      <c r="AH1219" t="s">
        <v>46</v>
      </c>
      <c r="AI1219">
        <v>0</v>
      </c>
      <c r="AJ1219" t="s">
        <v>65</v>
      </c>
      <c r="AK1219" t="s">
        <v>72</v>
      </c>
      <c r="AL1219" t="s">
        <v>66</v>
      </c>
      <c r="AM1219" t="s">
        <v>61</v>
      </c>
      <c r="AN1219">
        <f t="shared" ref="AN1219:AN1282" si="19">((3-P1219)*3+((3-AB1219)*2+AE1219))</f>
        <v>0</v>
      </c>
    </row>
    <row r="1220" spans="1:40">
      <c r="A1220">
        <v>41</v>
      </c>
      <c r="B1220" t="s">
        <v>51</v>
      </c>
      <c r="C1220" t="s">
        <v>39</v>
      </c>
      <c r="D1220">
        <v>918</v>
      </c>
      <c r="E1220" t="s">
        <v>40</v>
      </c>
      <c r="F1220">
        <v>6</v>
      </c>
      <c r="G1220">
        <v>3</v>
      </c>
      <c r="H1220" t="s">
        <v>84</v>
      </c>
      <c r="I1220">
        <v>1708</v>
      </c>
      <c r="J1220">
        <v>4</v>
      </c>
      <c r="K1220" t="s">
        <v>54</v>
      </c>
      <c r="L1220">
        <v>35</v>
      </c>
      <c r="M1220">
        <v>3</v>
      </c>
      <c r="N1220">
        <v>3</v>
      </c>
      <c r="O1220" t="s">
        <v>43</v>
      </c>
      <c r="P1220">
        <v>3</v>
      </c>
      <c r="Q1220" t="s">
        <v>44</v>
      </c>
      <c r="R1220">
        <v>9241</v>
      </c>
      <c r="S1220">
        <v>15869</v>
      </c>
      <c r="T1220">
        <v>1</v>
      </c>
      <c r="U1220" t="s">
        <v>51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  <c r="AG1220" t="s">
        <v>45</v>
      </c>
      <c r="AH1220" t="s">
        <v>46</v>
      </c>
      <c r="AI1220">
        <v>0</v>
      </c>
      <c r="AJ1220" t="s">
        <v>58</v>
      </c>
      <c r="AK1220" t="s">
        <v>72</v>
      </c>
      <c r="AL1220" t="s">
        <v>66</v>
      </c>
      <c r="AM1220" t="s">
        <v>61</v>
      </c>
      <c r="AN1220">
        <f t="shared" si="19"/>
        <v>8</v>
      </c>
    </row>
    <row r="1221" spans="1:40">
      <c r="A1221">
        <v>29</v>
      </c>
      <c r="B1221" t="s">
        <v>51</v>
      </c>
      <c r="C1221" t="s">
        <v>39</v>
      </c>
      <c r="D1221">
        <v>1082</v>
      </c>
      <c r="E1221" t="s">
        <v>53</v>
      </c>
      <c r="F1221">
        <v>9</v>
      </c>
      <c r="G1221">
        <v>4</v>
      </c>
      <c r="H1221" t="s">
        <v>69</v>
      </c>
      <c r="I1221">
        <v>1709</v>
      </c>
      <c r="J1221">
        <v>4</v>
      </c>
      <c r="K1221" t="s">
        <v>42</v>
      </c>
      <c r="L1221">
        <v>43</v>
      </c>
      <c r="M1221">
        <v>3</v>
      </c>
      <c r="N1221">
        <v>1</v>
      </c>
      <c r="O1221" t="s">
        <v>63</v>
      </c>
      <c r="P1221">
        <v>3</v>
      </c>
      <c r="Q1221" t="s">
        <v>56</v>
      </c>
      <c r="R1221">
        <v>2974</v>
      </c>
      <c r="S1221">
        <v>25412</v>
      </c>
      <c r="T1221">
        <v>9</v>
      </c>
      <c r="U1221" t="s">
        <v>51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  <c r="AG1221" t="s">
        <v>67</v>
      </c>
      <c r="AH1221" t="s">
        <v>46</v>
      </c>
      <c r="AI1221">
        <v>0</v>
      </c>
      <c r="AJ1221" t="s">
        <v>65</v>
      </c>
      <c r="AK1221" t="s">
        <v>68</v>
      </c>
      <c r="AL1221" t="s">
        <v>66</v>
      </c>
      <c r="AM1221" t="s">
        <v>61</v>
      </c>
      <c r="AN1221">
        <f t="shared" si="19"/>
        <v>1</v>
      </c>
    </row>
    <row r="1222" spans="1:40">
      <c r="A1222">
        <v>36</v>
      </c>
      <c r="B1222" t="s">
        <v>51</v>
      </c>
      <c r="C1222" t="s">
        <v>39</v>
      </c>
      <c r="D1222">
        <v>530</v>
      </c>
      <c r="E1222" t="s">
        <v>40</v>
      </c>
      <c r="F1222">
        <v>2</v>
      </c>
      <c r="G1222">
        <v>4</v>
      </c>
      <c r="H1222" t="s">
        <v>41</v>
      </c>
      <c r="I1222">
        <v>1710</v>
      </c>
      <c r="J1222">
        <v>3</v>
      </c>
      <c r="K1222" t="s">
        <v>42</v>
      </c>
      <c r="L1222">
        <v>51</v>
      </c>
      <c r="M1222">
        <v>3</v>
      </c>
      <c r="N1222">
        <v>2</v>
      </c>
      <c r="O1222" t="s">
        <v>82</v>
      </c>
      <c r="P1222">
        <v>4</v>
      </c>
      <c r="Q1222" t="s">
        <v>44</v>
      </c>
      <c r="R1222">
        <v>4502</v>
      </c>
      <c r="S1222">
        <v>7439</v>
      </c>
      <c r="T1222">
        <v>3</v>
      </c>
      <c r="U1222" t="s">
        <v>51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  <c r="AG1222" t="s">
        <v>45</v>
      </c>
      <c r="AH1222" t="s">
        <v>71</v>
      </c>
      <c r="AI1222">
        <v>0</v>
      </c>
      <c r="AJ1222" t="s">
        <v>47</v>
      </c>
      <c r="AK1222" t="s">
        <v>68</v>
      </c>
      <c r="AL1222" t="s">
        <v>49</v>
      </c>
      <c r="AM1222" t="s">
        <v>70</v>
      </c>
      <c r="AN1222">
        <f t="shared" si="19"/>
        <v>5</v>
      </c>
    </row>
    <row r="1223" spans="1:40">
      <c r="A1223">
        <v>45</v>
      </c>
      <c r="B1223" t="s">
        <v>51</v>
      </c>
      <c r="C1223" t="s">
        <v>77</v>
      </c>
      <c r="D1223">
        <v>1238</v>
      </c>
      <c r="E1223" t="s">
        <v>53</v>
      </c>
      <c r="F1223">
        <v>1</v>
      </c>
      <c r="G1223">
        <v>1</v>
      </c>
      <c r="H1223" t="s">
        <v>41</v>
      </c>
      <c r="I1223">
        <v>1712</v>
      </c>
      <c r="J1223">
        <v>3</v>
      </c>
      <c r="K1223" t="s">
        <v>54</v>
      </c>
      <c r="L1223">
        <v>74</v>
      </c>
      <c r="M1223">
        <v>2</v>
      </c>
      <c r="N1223">
        <v>3</v>
      </c>
      <c r="O1223" t="s">
        <v>76</v>
      </c>
      <c r="P1223">
        <v>3</v>
      </c>
      <c r="Q1223" t="s">
        <v>56</v>
      </c>
      <c r="R1223">
        <v>10748</v>
      </c>
      <c r="S1223">
        <v>3395</v>
      </c>
      <c r="T1223">
        <v>3</v>
      </c>
      <c r="U1223" t="s">
        <v>51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  <c r="AG1223" t="s">
        <v>45</v>
      </c>
      <c r="AH1223" t="s">
        <v>81</v>
      </c>
      <c r="AI1223">
        <v>0</v>
      </c>
      <c r="AJ1223" t="s">
        <v>47</v>
      </c>
      <c r="AK1223" t="s">
        <v>59</v>
      </c>
      <c r="AL1223" t="s">
        <v>66</v>
      </c>
      <c r="AM1223" t="s">
        <v>70</v>
      </c>
      <c r="AN1223">
        <f t="shared" si="19"/>
        <v>16</v>
      </c>
    </row>
    <row r="1224" spans="1:40">
      <c r="A1224">
        <v>24</v>
      </c>
      <c r="B1224" t="s">
        <v>38</v>
      </c>
      <c r="C1224" t="s">
        <v>39</v>
      </c>
      <c r="D1224">
        <v>240</v>
      </c>
      <c r="E1224" t="s">
        <v>88</v>
      </c>
      <c r="F1224">
        <v>22</v>
      </c>
      <c r="G1224">
        <v>1</v>
      </c>
      <c r="H1224" t="s">
        <v>88</v>
      </c>
      <c r="I1224">
        <v>1714</v>
      </c>
      <c r="J1224">
        <v>4</v>
      </c>
      <c r="K1224" t="s">
        <v>54</v>
      </c>
      <c r="L1224">
        <v>58</v>
      </c>
      <c r="M1224">
        <v>1</v>
      </c>
      <c r="N1224">
        <v>1</v>
      </c>
      <c r="O1224" t="s">
        <v>88</v>
      </c>
      <c r="P1224">
        <v>3</v>
      </c>
      <c r="Q1224" t="s">
        <v>56</v>
      </c>
      <c r="R1224">
        <v>1555</v>
      </c>
      <c r="S1224">
        <v>11585</v>
      </c>
      <c r="T1224">
        <v>1</v>
      </c>
      <c r="U1224" t="s">
        <v>51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  <c r="AG1224" t="s">
        <v>78</v>
      </c>
      <c r="AH1224" t="s">
        <v>46</v>
      </c>
      <c r="AI1224">
        <v>1</v>
      </c>
      <c r="AJ1224" t="s">
        <v>65</v>
      </c>
      <c r="AK1224" t="s">
        <v>59</v>
      </c>
      <c r="AL1224" t="s">
        <v>66</v>
      </c>
      <c r="AM1224" t="s">
        <v>61</v>
      </c>
      <c r="AN1224">
        <f t="shared" si="19"/>
        <v>0</v>
      </c>
    </row>
    <row r="1225" spans="1:40">
      <c r="A1225">
        <v>47</v>
      </c>
      <c r="B1225" t="s">
        <v>38</v>
      </c>
      <c r="C1225" t="s">
        <v>52</v>
      </c>
      <c r="D1225">
        <v>1093</v>
      </c>
      <c r="E1225" t="s">
        <v>40</v>
      </c>
      <c r="F1225">
        <v>9</v>
      </c>
      <c r="G1225">
        <v>3</v>
      </c>
      <c r="H1225" t="s">
        <v>41</v>
      </c>
      <c r="I1225">
        <v>1716</v>
      </c>
      <c r="J1225">
        <v>3</v>
      </c>
      <c r="K1225" t="s">
        <v>54</v>
      </c>
      <c r="L1225">
        <v>82</v>
      </c>
      <c r="M1225">
        <v>1</v>
      </c>
      <c r="N1225">
        <v>4</v>
      </c>
      <c r="O1225" t="s">
        <v>43</v>
      </c>
      <c r="P1225">
        <v>3</v>
      </c>
      <c r="Q1225" t="s">
        <v>56</v>
      </c>
      <c r="R1225">
        <v>12936</v>
      </c>
      <c r="S1225">
        <v>24164</v>
      </c>
      <c r="T1225">
        <v>7</v>
      </c>
      <c r="U1225" t="s">
        <v>51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  <c r="AG1225" t="s">
        <v>57</v>
      </c>
      <c r="AH1225" t="s">
        <v>46</v>
      </c>
      <c r="AI1225">
        <v>1</v>
      </c>
      <c r="AJ1225" t="s">
        <v>47</v>
      </c>
      <c r="AK1225" t="s">
        <v>72</v>
      </c>
      <c r="AL1225" t="s">
        <v>66</v>
      </c>
      <c r="AM1225" t="s">
        <v>50</v>
      </c>
      <c r="AN1225">
        <f t="shared" si="19"/>
        <v>18</v>
      </c>
    </row>
    <row r="1226" spans="1:40">
      <c r="A1226">
        <v>26</v>
      </c>
      <c r="B1226" t="s">
        <v>51</v>
      </c>
      <c r="C1226" t="s">
        <v>39</v>
      </c>
      <c r="D1226">
        <v>390</v>
      </c>
      <c r="E1226" t="s">
        <v>53</v>
      </c>
      <c r="F1226">
        <v>17</v>
      </c>
      <c r="G1226">
        <v>4</v>
      </c>
      <c r="H1226" t="s">
        <v>69</v>
      </c>
      <c r="I1226">
        <v>1718</v>
      </c>
      <c r="J1226">
        <v>4</v>
      </c>
      <c r="K1226" t="s">
        <v>54</v>
      </c>
      <c r="L1226">
        <v>62</v>
      </c>
      <c r="M1226">
        <v>1</v>
      </c>
      <c r="N1226">
        <v>1</v>
      </c>
      <c r="O1226" t="s">
        <v>63</v>
      </c>
      <c r="P1226">
        <v>3</v>
      </c>
      <c r="Q1226" t="s">
        <v>56</v>
      </c>
      <c r="R1226">
        <v>2305</v>
      </c>
      <c r="S1226">
        <v>6217</v>
      </c>
      <c r="T1226">
        <v>1</v>
      </c>
      <c r="U1226" t="s">
        <v>51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  <c r="AG1226" t="s">
        <v>67</v>
      </c>
      <c r="AH1226" t="s">
        <v>71</v>
      </c>
      <c r="AI1226">
        <v>0</v>
      </c>
      <c r="AJ1226" t="s">
        <v>65</v>
      </c>
      <c r="AK1226" t="s">
        <v>68</v>
      </c>
      <c r="AL1226" t="s">
        <v>66</v>
      </c>
      <c r="AM1226" t="s">
        <v>85</v>
      </c>
      <c r="AN1226">
        <f t="shared" si="19"/>
        <v>-2</v>
      </c>
    </row>
    <row r="1227" spans="1:40">
      <c r="A1227">
        <v>45</v>
      </c>
      <c r="B1227" t="s">
        <v>51</v>
      </c>
      <c r="C1227" t="s">
        <v>39</v>
      </c>
      <c r="D1227">
        <v>1005</v>
      </c>
      <c r="E1227" t="s">
        <v>53</v>
      </c>
      <c r="F1227">
        <v>28</v>
      </c>
      <c r="G1227">
        <v>2</v>
      </c>
      <c r="H1227" t="s">
        <v>86</v>
      </c>
      <c r="I1227">
        <v>1719</v>
      </c>
      <c r="J1227">
        <v>4</v>
      </c>
      <c r="K1227" t="s">
        <v>42</v>
      </c>
      <c r="L1227">
        <v>48</v>
      </c>
      <c r="M1227">
        <v>2</v>
      </c>
      <c r="N1227">
        <v>4</v>
      </c>
      <c r="O1227" t="s">
        <v>83</v>
      </c>
      <c r="P1227">
        <v>2</v>
      </c>
      <c r="Q1227" t="s">
        <v>44</v>
      </c>
      <c r="R1227">
        <v>16704</v>
      </c>
      <c r="S1227">
        <v>17119</v>
      </c>
      <c r="T1227">
        <v>1</v>
      </c>
      <c r="U1227" t="s">
        <v>51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  <c r="AG1227" t="s">
        <v>45</v>
      </c>
      <c r="AH1227" t="s">
        <v>46</v>
      </c>
      <c r="AI1227">
        <v>0</v>
      </c>
      <c r="AJ1227" t="s">
        <v>80</v>
      </c>
      <c r="AK1227" t="s">
        <v>48</v>
      </c>
      <c r="AL1227" t="s">
        <v>60</v>
      </c>
      <c r="AM1227" t="s">
        <v>61</v>
      </c>
      <c r="AN1227">
        <f t="shared" si="19"/>
        <v>11</v>
      </c>
    </row>
    <row r="1228" spans="1:40">
      <c r="A1228">
        <v>32</v>
      </c>
      <c r="B1228" t="s">
        <v>51</v>
      </c>
      <c r="C1228" t="s">
        <v>52</v>
      </c>
      <c r="D1228">
        <v>585</v>
      </c>
      <c r="E1228" t="s">
        <v>53</v>
      </c>
      <c r="F1228">
        <v>10</v>
      </c>
      <c r="G1228">
        <v>3</v>
      </c>
      <c r="H1228" t="s">
        <v>41</v>
      </c>
      <c r="I1228">
        <v>1720</v>
      </c>
      <c r="J1228">
        <v>1</v>
      </c>
      <c r="K1228" t="s">
        <v>54</v>
      </c>
      <c r="L1228">
        <v>56</v>
      </c>
      <c r="M1228">
        <v>3</v>
      </c>
      <c r="N1228">
        <v>1</v>
      </c>
      <c r="O1228" t="s">
        <v>55</v>
      </c>
      <c r="P1228">
        <v>3</v>
      </c>
      <c r="Q1228" t="s">
        <v>56</v>
      </c>
      <c r="R1228">
        <v>3433</v>
      </c>
      <c r="S1228">
        <v>17360</v>
      </c>
      <c r="T1228">
        <v>6</v>
      </c>
      <c r="U1228" t="s">
        <v>51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  <c r="AG1228" t="s">
        <v>67</v>
      </c>
      <c r="AH1228" t="s">
        <v>46</v>
      </c>
      <c r="AI1228">
        <v>0</v>
      </c>
      <c r="AJ1228" t="s">
        <v>47</v>
      </c>
      <c r="AK1228" t="s">
        <v>72</v>
      </c>
      <c r="AL1228" t="s">
        <v>66</v>
      </c>
      <c r="AM1228" t="s">
        <v>70</v>
      </c>
      <c r="AN1228">
        <f t="shared" si="19"/>
        <v>3</v>
      </c>
    </row>
    <row r="1229" spans="1:40">
      <c r="A1229">
        <v>31</v>
      </c>
      <c r="B1229" t="s">
        <v>51</v>
      </c>
      <c r="C1229" t="s">
        <v>39</v>
      </c>
      <c r="D1229">
        <v>741</v>
      </c>
      <c r="E1229" t="s">
        <v>53</v>
      </c>
      <c r="F1229">
        <v>2</v>
      </c>
      <c r="G1229">
        <v>4</v>
      </c>
      <c r="H1229" t="s">
        <v>41</v>
      </c>
      <c r="I1229">
        <v>1721</v>
      </c>
      <c r="J1229">
        <v>2</v>
      </c>
      <c r="K1229" t="s">
        <v>54</v>
      </c>
      <c r="L1229">
        <v>69</v>
      </c>
      <c r="M1229">
        <v>3</v>
      </c>
      <c r="N1229">
        <v>1</v>
      </c>
      <c r="O1229" t="s">
        <v>63</v>
      </c>
      <c r="P1229">
        <v>3</v>
      </c>
      <c r="Q1229" t="s">
        <v>56</v>
      </c>
      <c r="R1229">
        <v>3477</v>
      </c>
      <c r="S1229">
        <v>18103</v>
      </c>
      <c r="T1229">
        <v>1</v>
      </c>
      <c r="U1229" t="s">
        <v>51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  <c r="AG1229" t="s">
        <v>67</v>
      </c>
      <c r="AH1229" t="s">
        <v>46</v>
      </c>
      <c r="AI1229">
        <v>0</v>
      </c>
      <c r="AJ1229" t="s">
        <v>65</v>
      </c>
      <c r="AK1229" t="s">
        <v>68</v>
      </c>
      <c r="AL1229" t="s">
        <v>66</v>
      </c>
      <c r="AM1229" t="s">
        <v>85</v>
      </c>
      <c r="AN1229">
        <f t="shared" si="19"/>
        <v>-2</v>
      </c>
    </row>
    <row r="1230" spans="1:40">
      <c r="A1230">
        <v>41</v>
      </c>
      <c r="B1230" t="s">
        <v>51</v>
      </c>
      <c r="C1230" t="s">
        <v>77</v>
      </c>
      <c r="D1230">
        <v>552</v>
      </c>
      <c r="E1230" t="s">
        <v>88</v>
      </c>
      <c r="F1230">
        <v>4</v>
      </c>
      <c r="G1230">
        <v>3</v>
      </c>
      <c r="H1230" t="s">
        <v>88</v>
      </c>
      <c r="I1230">
        <v>1722</v>
      </c>
      <c r="J1230">
        <v>3</v>
      </c>
      <c r="K1230" t="s">
        <v>54</v>
      </c>
      <c r="L1230">
        <v>60</v>
      </c>
      <c r="M1230">
        <v>1</v>
      </c>
      <c r="N1230">
        <v>2</v>
      </c>
      <c r="O1230" t="s">
        <v>88</v>
      </c>
      <c r="P1230">
        <v>2</v>
      </c>
      <c r="Q1230" t="s">
        <v>56</v>
      </c>
      <c r="R1230">
        <v>6430</v>
      </c>
      <c r="S1230">
        <v>20794</v>
      </c>
      <c r="T1230">
        <v>6</v>
      </c>
      <c r="U1230" t="s">
        <v>51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  <c r="AG1230" t="s">
        <v>45</v>
      </c>
      <c r="AH1230" t="s">
        <v>46</v>
      </c>
      <c r="AI1230">
        <v>0</v>
      </c>
      <c r="AJ1230" t="s">
        <v>65</v>
      </c>
      <c r="AK1230" t="s">
        <v>72</v>
      </c>
      <c r="AL1230" t="s">
        <v>60</v>
      </c>
      <c r="AM1230" t="s">
        <v>61</v>
      </c>
      <c r="AN1230">
        <f t="shared" si="19"/>
        <v>4</v>
      </c>
    </row>
    <row r="1231" spans="1:40">
      <c r="A1231">
        <v>40</v>
      </c>
      <c r="B1231" t="s">
        <v>51</v>
      </c>
      <c r="C1231" t="s">
        <v>39</v>
      </c>
      <c r="D1231">
        <v>369</v>
      </c>
      <c r="E1231" t="s">
        <v>53</v>
      </c>
      <c r="F1231">
        <v>8</v>
      </c>
      <c r="G1231">
        <v>2</v>
      </c>
      <c r="H1231" t="s">
        <v>41</v>
      </c>
      <c r="I1231">
        <v>1724</v>
      </c>
      <c r="J1231">
        <v>2</v>
      </c>
      <c r="K1231" t="s">
        <v>42</v>
      </c>
      <c r="L1231">
        <v>92</v>
      </c>
      <c r="M1231">
        <v>3</v>
      </c>
      <c r="N1231">
        <v>2</v>
      </c>
      <c r="O1231" t="s">
        <v>75</v>
      </c>
      <c r="P1231">
        <v>1</v>
      </c>
      <c r="Q1231" t="s">
        <v>56</v>
      </c>
      <c r="R1231">
        <v>6516</v>
      </c>
      <c r="S1231">
        <v>5041</v>
      </c>
      <c r="T1231">
        <v>2</v>
      </c>
      <c r="U1231" t="s">
        <v>38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  <c r="AG1231" t="s">
        <v>45</v>
      </c>
      <c r="AH1231" t="s">
        <v>81</v>
      </c>
      <c r="AI1231">
        <v>0</v>
      </c>
      <c r="AJ1231" t="s">
        <v>65</v>
      </c>
      <c r="AK1231" t="s">
        <v>48</v>
      </c>
      <c r="AL1231" t="s">
        <v>73</v>
      </c>
      <c r="AM1231" t="s">
        <v>61</v>
      </c>
      <c r="AN1231">
        <f t="shared" si="19"/>
        <v>6</v>
      </c>
    </row>
    <row r="1232" spans="1:40">
      <c r="A1232">
        <v>24</v>
      </c>
      <c r="B1232" t="s">
        <v>51</v>
      </c>
      <c r="C1232" t="s">
        <v>39</v>
      </c>
      <c r="D1232">
        <v>506</v>
      </c>
      <c r="E1232" t="s">
        <v>53</v>
      </c>
      <c r="F1232">
        <v>29</v>
      </c>
      <c r="G1232">
        <v>1</v>
      </c>
      <c r="H1232" t="s">
        <v>69</v>
      </c>
      <c r="I1232">
        <v>1725</v>
      </c>
      <c r="J1232">
        <v>2</v>
      </c>
      <c r="K1232" t="s">
        <v>54</v>
      </c>
      <c r="L1232">
        <v>91</v>
      </c>
      <c r="M1232">
        <v>3</v>
      </c>
      <c r="N1232">
        <v>1</v>
      </c>
      <c r="O1232" t="s">
        <v>63</v>
      </c>
      <c r="P1232">
        <v>1</v>
      </c>
      <c r="Q1232" t="s">
        <v>74</v>
      </c>
      <c r="R1232">
        <v>3907</v>
      </c>
      <c r="S1232">
        <v>3622</v>
      </c>
      <c r="T1232">
        <v>1</v>
      </c>
      <c r="U1232" t="s">
        <v>51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  <c r="AG1232" t="s">
        <v>78</v>
      </c>
      <c r="AH1232" t="s">
        <v>81</v>
      </c>
      <c r="AI1232">
        <v>0</v>
      </c>
      <c r="AJ1232" t="s">
        <v>58</v>
      </c>
      <c r="AK1232" t="s">
        <v>59</v>
      </c>
      <c r="AL1232" t="s">
        <v>73</v>
      </c>
      <c r="AM1232" t="s">
        <v>85</v>
      </c>
      <c r="AN1232">
        <f t="shared" si="19"/>
        <v>5</v>
      </c>
    </row>
    <row r="1233" spans="1:40">
      <c r="A1233">
        <v>46</v>
      </c>
      <c r="B1233" t="s">
        <v>51</v>
      </c>
      <c r="C1233" t="s">
        <v>39</v>
      </c>
      <c r="D1233">
        <v>717</v>
      </c>
      <c r="E1233" t="s">
        <v>53</v>
      </c>
      <c r="F1233">
        <v>13</v>
      </c>
      <c r="G1233">
        <v>4</v>
      </c>
      <c r="H1233" t="s">
        <v>41</v>
      </c>
      <c r="I1233">
        <v>1727</v>
      </c>
      <c r="J1233">
        <v>3</v>
      </c>
      <c r="K1233" t="s">
        <v>54</v>
      </c>
      <c r="L1233">
        <v>34</v>
      </c>
      <c r="M1233">
        <v>3</v>
      </c>
      <c r="N1233">
        <v>2</v>
      </c>
      <c r="O1233" t="s">
        <v>76</v>
      </c>
      <c r="P1233">
        <v>2</v>
      </c>
      <c r="Q1233" t="s">
        <v>44</v>
      </c>
      <c r="R1233">
        <v>5562</v>
      </c>
      <c r="S1233">
        <v>9697</v>
      </c>
      <c r="T1233">
        <v>6</v>
      </c>
      <c r="U1233" t="s">
        <v>51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  <c r="AG1233" t="s">
        <v>57</v>
      </c>
      <c r="AH1233" t="s">
        <v>71</v>
      </c>
      <c r="AI1233">
        <v>0</v>
      </c>
      <c r="AJ1233" t="s">
        <v>58</v>
      </c>
      <c r="AK1233" t="s">
        <v>68</v>
      </c>
      <c r="AL1233" t="s">
        <v>60</v>
      </c>
      <c r="AM1233" t="s">
        <v>61</v>
      </c>
      <c r="AN1233">
        <f t="shared" si="19"/>
        <v>3</v>
      </c>
    </row>
    <row r="1234" spans="1:40">
      <c r="A1234">
        <v>35</v>
      </c>
      <c r="B1234" t="s">
        <v>51</v>
      </c>
      <c r="C1234" t="s">
        <v>39</v>
      </c>
      <c r="D1234">
        <v>1370</v>
      </c>
      <c r="E1234" t="s">
        <v>53</v>
      </c>
      <c r="F1234">
        <v>27</v>
      </c>
      <c r="G1234">
        <v>4</v>
      </c>
      <c r="H1234" t="s">
        <v>41</v>
      </c>
      <c r="I1234">
        <v>1728</v>
      </c>
      <c r="J1234">
        <v>4</v>
      </c>
      <c r="K1234" t="s">
        <v>54</v>
      </c>
      <c r="L1234">
        <v>49</v>
      </c>
      <c r="M1234">
        <v>3</v>
      </c>
      <c r="N1234">
        <v>2</v>
      </c>
      <c r="O1234" t="s">
        <v>75</v>
      </c>
      <c r="P1234">
        <v>3</v>
      </c>
      <c r="Q1234" t="s">
        <v>56</v>
      </c>
      <c r="R1234">
        <v>6883</v>
      </c>
      <c r="S1234">
        <v>5151</v>
      </c>
      <c r="T1234">
        <v>2</v>
      </c>
      <c r="U1234" t="s">
        <v>51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  <c r="AG1234" t="s">
        <v>67</v>
      </c>
      <c r="AH1234" t="s">
        <v>81</v>
      </c>
      <c r="AI1234">
        <v>0</v>
      </c>
      <c r="AJ1234" t="s">
        <v>58</v>
      </c>
      <c r="AK1234" t="s">
        <v>68</v>
      </c>
      <c r="AL1234" t="s">
        <v>66</v>
      </c>
      <c r="AM1234" t="s">
        <v>61</v>
      </c>
      <c r="AN1234">
        <f t="shared" si="19"/>
        <v>0</v>
      </c>
    </row>
    <row r="1235" spans="1:40">
      <c r="A1235">
        <v>30</v>
      </c>
      <c r="B1235" t="s">
        <v>51</v>
      </c>
      <c r="C1235" t="s">
        <v>39</v>
      </c>
      <c r="D1235">
        <v>793</v>
      </c>
      <c r="E1235" t="s">
        <v>53</v>
      </c>
      <c r="F1235">
        <v>16</v>
      </c>
      <c r="G1235">
        <v>1</v>
      </c>
      <c r="H1235" t="s">
        <v>41</v>
      </c>
      <c r="I1235">
        <v>1729</v>
      </c>
      <c r="J1235">
        <v>2</v>
      </c>
      <c r="K1235" t="s">
        <v>54</v>
      </c>
      <c r="L1235">
        <v>33</v>
      </c>
      <c r="M1235">
        <v>3</v>
      </c>
      <c r="N1235">
        <v>1</v>
      </c>
      <c r="O1235" t="s">
        <v>55</v>
      </c>
      <c r="P1235">
        <v>4</v>
      </c>
      <c r="Q1235" t="s">
        <v>56</v>
      </c>
      <c r="R1235">
        <v>2862</v>
      </c>
      <c r="S1235">
        <v>3811</v>
      </c>
      <c r="T1235">
        <v>1</v>
      </c>
      <c r="U1235" t="s">
        <v>51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  <c r="AG1235" t="s">
        <v>67</v>
      </c>
      <c r="AH1235" t="s">
        <v>81</v>
      </c>
      <c r="AI1235">
        <v>0</v>
      </c>
      <c r="AJ1235" t="s">
        <v>47</v>
      </c>
      <c r="AK1235" t="s">
        <v>59</v>
      </c>
      <c r="AL1235" t="s">
        <v>49</v>
      </c>
      <c r="AM1235" t="s">
        <v>70</v>
      </c>
      <c r="AN1235">
        <f t="shared" si="19"/>
        <v>-1</v>
      </c>
    </row>
    <row r="1236" spans="1:40">
      <c r="A1236">
        <v>47</v>
      </c>
      <c r="B1236" t="s">
        <v>51</v>
      </c>
      <c r="C1236" t="s">
        <v>77</v>
      </c>
      <c r="D1236">
        <v>543</v>
      </c>
      <c r="E1236" t="s">
        <v>40</v>
      </c>
      <c r="F1236">
        <v>2</v>
      </c>
      <c r="G1236">
        <v>4</v>
      </c>
      <c r="H1236" t="s">
        <v>84</v>
      </c>
      <c r="I1236">
        <v>1731</v>
      </c>
      <c r="J1236">
        <v>3</v>
      </c>
      <c r="K1236" t="s">
        <v>54</v>
      </c>
      <c r="L1236">
        <v>87</v>
      </c>
      <c r="M1236">
        <v>3</v>
      </c>
      <c r="N1236">
        <v>2</v>
      </c>
      <c r="O1236" t="s">
        <v>43</v>
      </c>
      <c r="P1236">
        <v>2</v>
      </c>
      <c r="Q1236" t="s">
        <v>56</v>
      </c>
      <c r="R1236">
        <v>4978</v>
      </c>
      <c r="S1236">
        <v>3536</v>
      </c>
      <c r="T1236">
        <v>7</v>
      </c>
      <c r="U1236" t="s">
        <v>51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 t="s">
        <v>57</v>
      </c>
      <c r="AH1236" t="s">
        <v>81</v>
      </c>
      <c r="AI1236">
        <v>0</v>
      </c>
      <c r="AJ1236" t="s">
        <v>47</v>
      </c>
      <c r="AK1236" t="s">
        <v>68</v>
      </c>
      <c r="AL1236" t="s">
        <v>60</v>
      </c>
      <c r="AM1236" t="s">
        <v>50</v>
      </c>
      <c r="AN1236">
        <f t="shared" si="19"/>
        <v>7</v>
      </c>
    </row>
    <row r="1237" spans="1:40">
      <c r="A1237">
        <v>46</v>
      </c>
      <c r="B1237" t="s">
        <v>51</v>
      </c>
      <c r="C1237" t="s">
        <v>39</v>
      </c>
      <c r="D1237">
        <v>1277</v>
      </c>
      <c r="E1237" t="s">
        <v>40</v>
      </c>
      <c r="F1237">
        <v>2</v>
      </c>
      <c r="G1237">
        <v>3</v>
      </c>
      <c r="H1237" t="s">
        <v>41</v>
      </c>
      <c r="I1237">
        <v>1732</v>
      </c>
      <c r="J1237">
        <v>3</v>
      </c>
      <c r="K1237" t="s">
        <v>54</v>
      </c>
      <c r="L1237">
        <v>74</v>
      </c>
      <c r="M1237">
        <v>3</v>
      </c>
      <c r="N1237">
        <v>3</v>
      </c>
      <c r="O1237" t="s">
        <v>43</v>
      </c>
      <c r="P1237">
        <v>4</v>
      </c>
      <c r="Q1237" t="s">
        <v>74</v>
      </c>
      <c r="R1237">
        <v>10368</v>
      </c>
      <c r="S1237">
        <v>5596</v>
      </c>
      <c r="T1237">
        <v>4</v>
      </c>
      <c r="U1237" t="s">
        <v>38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  <c r="AG1237" t="s">
        <v>57</v>
      </c>
      <c r="AH1237" t="s">
        <v>81</v>
      </c>
      <c r="AI1237">
        <v>0</v>
      </c>
      <c r="AJ1237" t="s">
        <v>47</v>
      </c>
      <c r="AK1237" t="s">
        <v>72</v>
      </c>
      <c r="AL1237" t="s">
        <v>49</v>
      </c>
      <c r="AM1237" t="s">
        <v>70</v>
      </c>
      <c r="AN1237">
        <f t="shared" si="19"/>
        <v>-1</v>
      </c>
    </row>
    <row r="1238" spans="1:40">
      <c r="A1238">
        <v>36</v>
      </c>
      <c r="B1238" t="s">
        <v>38</v>
      </c>
      <c r="C1238" t="s">
        <v>39</v>
      </c>
      <c r="D1238">
        <v>1456</v>
      </c>
      <c r="E1238" t="s">
        <v>40</v>
      </c>
      <c r="F1238">
        <v>13</v>
      </c>
      <c r="G1238">
        <v>5</v>
      </c>
      <c r="H1238" t="s">
        <v>84</v>
      </c>
      <c r="I1238">
        <v>1733</v>
      </c>
      <c r="J1238">
        <v>2</v>
      </c>
      <c r="K1238" t="s">
        <v>54</v>
      </c>
      <c r="L1238">
        <v>96</v>
      </c>
      <c r="M1238">
        <v>2</v>
      </c>
      <c r="N1238">
        <v>2</v>
      </c>
      <c r="O1238" t="s">
        <v>43</v>
      </c>
      <c r="P1238">
        <v>1</v>
      </c>
      <c r="Q1238" t="s">
        <v>74</v>
      </c>
      <c r="R1238">
        <v>6134</v>
      </c>
      <c r="S1238">
        <v>8658</v>
      </c>
      <c r="T1238">
        <v>5</v>
      </c>
      <c r="U1238" t="s">
        <v>38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  <c r="AG1238" t="s">
        <v>45</v>
      </c>
      <c r="AH1238" t="s">
        <v>71</v>
      </c>
      <c r="AI1238">
        <v>1</v>
      </c>
      <c r="AJ1238" t="s">
        <v>65</v>
      </c>
      <c r="AK1238" t="s">
        <v>87</v>
      </c>
      <c r="AL1238" t="s">
        <v>73</v>
      </c>
      <c r="AM1238" t="s">
        <v>61</v>
      </c>
      <c r="AN1238">
        <f t="shared" si="19"/>
        <v>8</v>
      </c>
    </row>
    <row r="1239" spans="1:40">
      <c r="A1239">
        <v>32</v>
      </c>
      <c r="B1239" t="s">
        <v>38</v>
      </c>
      <c r="C1239" t="s">
        <v>39</v>
      </c>
      <c r="D1239">
        <v>964</v>
      </c>
      <c r="E1239" t="s">
        <v>40</v>
      </c>
      <c r="F1239">
        <v>1</v>
      </c>
      <c r="G1239">
        <v>2</v>
      </c>
      <c r="H1239" t="s">
        <v>41</v>
      </c>
      <c r="I1239">
        <v>1734</v>
      </c>
      <c r="J1239">
        <v>1</v>
      </c>
      <c r="K1239" t="s">
        <v>54</v>
      </c>
      <c r="L1239">
        <v>34</v>
      </c>
      <c r="M1239">
        <v>1</v>
      </c>
      <c r="N1239">
        <v>2</v>
      </c>
      <c r="O1239" t="s">
        <v>43</v>
      </c>
      <c r="P1239">
        <v>2</v>
      </c>
      <c r="Q1239" t="s">
        <v>44</v>
      </c>
      <c r="R1239">
        <v>6735</v>
      </c>
      <c r="S1239">
        <v>12147</v>
      </c>
      <c r="T1239">
        <v>6</v>
      </c>
      <c r="U1239" t="s">
        <v>51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  <c r="AG1239" t="s">
        <v>67</v>
      </c>
      <c r="AH1239" t="s">
        <v>46</v>
      </c>
      <c r="AI1239">
        <v>1</v>
      </c>
      <c r="AJ1239" t="s">
        <v>65</v>
      </c>
      <c r="AK1239" t="s">
        <v>48</v>
      </c>
      <c r="AL1239" t="s">
        <v>60</v>
      </c>
      <c r="AM1239" t="s">
        <v>61</v>
      </c>
      <c r="AN1239">
        <f t="shared" si="19"/>
        <v>3</v>
      </c>
    </row>
    <row r="1240" spans="1:40">
      <c r="A1240">
        <v>23</v>
      </c>
      <c r="B1240" t="s">
        <v>51</v>
      </c>
      <c r="C1240" t="s">
        <v>39</v>
      </c>
      <c r="D1240">
        <v>160</v>
      </c>
      <c r="E1240" t="s">
        <v>53</v>
      </c>
      <c r="F1240">
        <v>4</v>
      </c>
      <c r="G1240">
        <v>1</v>
      </c>
      <c r="H1240" t="s">
        <v>69</v>
      </c>
      <c r="I1240">
        <v>1735</v>
      </c>
      <c r="J1240">
        <v>3</v>
      </c>
      <c r="K1240" t="s">
        <v>42</v>
      </c>
      <c r="L1240">
        <v>51</v>
      </c>
      <c r="M1240">
        <v>3</v>
      </c>
      <c r="N1240">
        <v>1</v>
      </c>
      <c r="O1240" t="s">
        <v>63</v>
      </c>
      <c r="P1240">
        <v>2</v>
      </c>
      <c r="Q1240" t="s">
        <v>44</v>
      </c>
      <c r="R1240">
        <v>3295</v>
      </c>
      <c r="S1240">
        <v>12862</v>
      </c>
      <c r="T1240">
        <v>1</v>
      </c>
      <c r="U1240" t="s">
        <v>51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  <c r="AG1240" t="s">
        <v>78</v>
      </c>
      <c r="AH1240" t="s">
        <v>46</v>
      </c>
      <c r="AI1240">
        <v>0</v>
      </c>
      <c r="AJ1240" t="s">
        <v>47</v>
      </c>
      <c r="AK1240" t="s">
        <v>59</v>
      </c>
      <c r="AL1240" t="s">
        <v>60</v>
      </c>
      <c r="AM1240" t="s">
        <v>50</v>
      </c>
      <c r="AN1240">
        <f t="shared" si="19"/>
        <v>8</v>
      </c>
    </row>
    <row r="1241" spans="1:40">
      <c r="A1241">
        <v>31</v>
      </c>
      <c r="B1241" t="s">
        <v>51</v>
      </c>
      <c r="C1241" t="s">
        <v>52</v>
      </c>
      <c r="D1241">
        <v>163</v>
      </c>
      <c r="E1241" t="s">
        <v>53</v>
      </c>
      <c r="F1241">
        <v>24</v>
      </c>
      <c r="G1241">
        <v>1</v>
      </c>
      <c r="H1241" t="s">
        <v>86</v>
      </c>
      <c r="I1241">
        <v>1736</v>
      </c>
      <c r="J1241">
        <v>4</v>
      </c>
      <c r="K1241" t="s">
        <v>42</v>
      </c>
      <c r="L1241">
        <v>30</v>
      </c>
      <c r="M1241">
        <v>3</v>
      </c>
      <c r="N1241">
        <v>2</v>
      </c>
      <c r="O1241" t="s">
        <v>75</v>
      </c>
      <c r="P1241">
        <v>4</v>
      </c>
      <c r="Q1241" t="s">
        <v>44</v>
      </c>
      <c r="R1241">
        <v>5238</v>
      </c>
      <c r="S1241">
        <v>6670</v>
      </c>
      <c r="T1241">
        <v>2</v>
      </c>
      <c r="U1241" t="s">
        <v>51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  <c r="AG1241" t="s">
        <v>67</v>
      </c>
      <c r="AH1241" t="s">
        <v>71</v>
      </c>
      <c r="AI1241">
        <v>0</v>
      </c>
      <c r="AJ1241" t="s">
        <v>47</v>
      </c>
      <c r="AK1241" t="s">
        <v>59</v>
      </c>
      <c r="AL1241" t="s">
        <v>49</v>
      </c>
      <c r="AM1241" t="s">
        <v>70</v>
      </c>
      <c r="AN1241">
        <f t="shared" si="19"/>
        <v>0</v>
      </c>
    </row>
    <row r="1242" spans="1:40">
      <c r="A1242">
        <v>39</v>
      </c>
      <c r="B1242" t="s">
        <v>51</v>
      </c>
      <c r="C1242" t="s">
        <v>77</v>
      </c>
      <c r="D1242">
        <v>792</v>
      </c>
      <c r="E1242" t="s">
        <v>53</v>
      </c>
      <c r="F1242">
        <v>1</v>
      </c>
      <c r="G1242">
        <v>3</v>
      </c>
      <c r="H1242" t="s">
        <v>41</v>
      </c>
      <c r="I1242">
        <v>1737</v>
      </c>
      <c r="J1242">
        <v>4</v>
      </c>
      <c r="K1242" t="s">
        <v>54</v>
      </c>
      <c r="L1242">
        <v>77</v>
      </c>
      <c r="M1242">
        <v>3</v>
      </c>
      <c r="N1242">
        <v>2</v>
      </c>
      <c r="O1242" t="s">
        <v>63</v>
      </c>
      <c r="P1242">
        <v>4</v>
      </c>
      <c r="Q1242" t="s">
        <v>56</v>
      </c>
      <c r="R1242">
        <v>6472</v>
      </c>
      <c r="S1242">
        <v>8989</v>
      </c>
      <c r="T1242">
        <v>1</v>
      </c>
      <c r="U1242" t="s">
        <v>38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  <c r="AG1242" t="s">
        <v>45</v>
      </c>
      <c r="AH1242" t="s">
        <v>71</v>
      </c>
      <c r="AI1242">
        <v>0</v>
      </c>
      <c r="AJ1242" t="s">
        <v>58</v>
      </c>
      <c r="AK1242" t="s">
        <v>72</v>
      </c>
      <c r="AL1242" t="s">
        <v>49</v>
      </c>
      <c r="AM1242" t="s">
        <v>61</v>
      </c>
      <c r="AN1242">
        <f t="shared" si="19"/>
        <v>2</v>
      </c>
    </row>
    <row r="1243" spans="1:40">
      <c r="A1243">
        <v>32</v>
      </c>
      <c r="B1243" t="s">
        <v>51</v>
      </c>
      <c r="C1243" t="s">
        <v>39</v>
      </c>
      <c r="D1243">
        <v>371</v>
      </c>
      <c r="E1243" t="s">
        <v>40</v>
      </c>
      <c r="F1243">
        <v>19</v>
      </c>
      <c r="G1243">
        <v>3</v>
      </c>
      <c r="H1243" t="s">
        <v>41</v>
      </c>
      <c r="I1243">
        <v>1739</v>
      </c>
      <c r="J1243">
        <v>4</v>
      </c>
      <c r="K1243" t="s">
        <v>54</v>
      </c>
      <c r="L1243">
        <v>80</v>
      </c>
      <c r="M1243">
        <v>1</v>
      </c>
      <c r="N1243">
        <v>3</v>
      </c>
      <c r="O1243" t="s">
        <v>43</v>
      </c>
      <c r="P1243">
        <v>3</v>
      </c>
      <c r="Q1243" t="s">
        <v>56</v>
      </c>
      <c r="R1243">
        <v>9610</v>
      </c>
      <c r="S1243">
        <v>3840</v>
      </c>
      <c r="T1243">
        <v>3</v>
      </c>
      <c r="U1243" t="s">
        <v>51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  <c r="AG1243" t="s">
        <v>67</v>
      </c>
      <c r="AH1243" t="s">
        <v>81</v>
      </c>
      <c r="AI1243">
        <v>0</v>
      </c>
      <c r="AJ1243" t="s">
        <v>47</v>
      </c>
      <c r="AK1243" t="s">
        <v>72</v>
      </c>
      <c r="AL1243" t="s">
        <v>66</v>
      </c>
      <c r="AM1243" t="s">
        <v>50</v>
      </c>
      <c r="AN1243">
        <f t="shared" si="19"/>
        <v>4</v>
      </c>
    </row>
    <row r="1244" spans="1:40">
      <c r="A1244">
        <v>40</v>
      </c>
      <c r="B1244" t="s">
        <v>51</v>
      </c>
      <c r="C1244" t="s">
        <v>39</v>
      </c>
      <c r="D1244">
        <v>611</v>
      </c>
      <c r="E1244" t="s">
        <v>40</v>
      </c>
      <c r="F1244">
        <v>7</v>
      </c>
      <c r="G1244">
        <v>4</v>
      </c>
      <c r="H1244" t="s">
        <v>69</v>
      </c>
      <c r="I1244">
        <v>1740</v>
      </c>
      <c r="J1244">
        <v>2</v>
      </c>
      <c r="K1244" t="s">
        <v>54</v>
      </c>
      <c r="L1244">
        <v>88</v>
      </c>
      <c r="M1244">
        <v>3</v>
      </c>
      <c r="N1244">
        <v>5</v>
      </c>
      <c r="O1244" t="s">
        <v>79</v>
      </c>
      <c r="P1244">
        <v>2</v>
      </c>
      <c r="Q1244" t="s">
        <v>44</v>
      </c>
      <c r="R1244">
        <v>19833</v>
      </c>
      <c r="S1244">
        <v>4349</v>
      </c>
      <c r="T1244">
        <v>1</v>
      </c>
      <c r="U1244" t="s">
        <v>51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  <c r="AG1244" t="s">
        <v>45</v>
      </c>
      <c r="AH1244" t="s">
        <v>81</v>
      </c>
      <c r="AI1244">
        <v>0</v>
      </c>
      <c r="AJ1244" t="s">
        <v>47</v>
      </c>
      <c r="AK1244" t="s">
        <v>68</v>
      </c>
      <c r="AL1244" t="s">
        <v>60</v>
      </c>
      <c r="AM1244" t="s">
        <v>70</v>
      </c>
      <c r="AN1244">
        <f t="shared" si="19"/>
        <v>17</v>
      </c>
    </row>
    <row r="1245" spans="1:40">
      <c r="A1245">
        <v>45</v>
      </c>
      <c r="B1245" t="s">
        <v>51</v>
      </c>
      <c r="C1245" t="s">
        <v>39</v>
      </c>
      <c r="D1245">
        <v>176</v>
      </c>
      <c r="E1245" t="s">
        <v>88</v>
      </c>
      <c r="F1245">
        <v>4</v>
      </c>
      <c r="G1245">
        <v>3</v>
      </c>
      <c r="H1245" t="s">
        <v>41</v>
      </c>
      <c r="I1245">
        <v>1744</v>
      </c>
      <c r="J1245">
        <v>3</v>
      </c>
      <c r="K1245" t="s">
        <v>42</v>
      </c>
      <c r="L1245">
        <v>56</v>
      </c>
      <c r="M1245">
        <v>1</v>
      </c>
      <c r="N1245">
        <v>3</v>
      </c>
      <c r="O1245" t="s">
        <v>88</v>
      </c>
      <c r="P1245">
        <v>3</v>
      </c>
      <c r="Q1245" t="s">
        <v>56</v>
      </c>
      <c r="R1245">
        <v>9756</v>
      </c>
      <c r="S1245">
        <v>6595</v>
      </c>
      <c r="T1245">
        <v>4</v>
      </c>
      <c r="U1245" t="s">
        <v>51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  <c r="AG1245" t="s">
        <v>45</v>
      </c>
      <c r="AH1245" t="s">
        <v>71</v>
      </c>
      <c r="AI1245">
        <v>0</v>
      </c>
      <c r="AJ1245" t="s">
        <v>65</v>
      </c>
      <c r="AK1245" t="s">
        <v>72</v>
      </c>
      <c r="AL1245" t="s">
        <v>66</v>
      </c>
      <c r="AM1245" t="s">
        <v>85</v>
      </c>
      <c r="AN1245">
        <f t="shared" si="19"/>
        <v>-2</v>
      </c>
    </row>
    <row r="1246" spans="1:40">
      <c r="A1246">
        <v>30</v>
      </c>
      <c r="B1246" t="s">
        <v>51</v>
      </c>
      <c r="C1246" t="s">
        <v>52</v>
      </c>
      <c r="D1246">
        <v>1312</v>
      </c>
      <c r="E1246" t="s">
        <v>53</v>
      </c>
      <c r="F1246">
        <v>2</v>
      </c>
      <c r="G1246">
        <v>4</v>
      </c>
      <c r="H1246" t="s">
        <v>86</v>
      </c>
      <c r="I1246">
        <v>1745</v>
      </c>
      <c r="J1246">
        <v>4</v>
      </c>
      <c r="K1246" t="s">
        <v>42</v>
      </c>
      <c r="L1246">
        <v>78</v>
      </c>
      <c r="M1246">
        <v>2</v>
      </c>
      <c r="N1246">
        <v>1</v>
      </c>
      <c r="O1246" t="s">
        <v>55</v>
      </c>
      <c r="P1246">
        <v>1</v>
      </c>
      <c r="Q1246" t="s">
        <v>44</v>
      </c>
      <c r="R1246">
        <v>4968</v>
      </c>
      <c r="S1246">
        <v>26427</v>
      </c>
      <c r="T1246">
        <v>0</v>
      </c>
      <c r="U1246" t="s">
        <v>51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  <c r="AG1246" t="s">
        <v>67</v>
      </c>
      <c r="AH1246" t="s">
        <v>46</v>
      </c>
      <c r="AI1246">
        <v>0</v>
      </c>
      <c r="AJ1246" t="s">
        <v>58</v>
      </c>
      <c r="AK1246" t="s">
        <v>68</v>
      </c>
      <c r="AL1246" t="s">
        <v>73</v>
      </c>
      <c r="AM1246" t="s">
        <v>61</v>
      </c>
      <c r="AN1246">
        <f t="shared" si="19"/>
        <v>6</v>
      </c>
    </row>
    <row r="1247" spans="1:40">
      <c r="A1247">
        <v>24</v>
      </c>
      <c r="B1247" t="s">
        <v>51</v>
      </c>
      <c r="C1247" t="s">
        <v>52</v>
      </c>
      <c r="D1247">
        <v>897</v>
      </c>
      <c r="E1247" t="s">
        <v>88</v>
      </c>
      <c r="F1247">
        <v>10</v>
      </c>
      <c r="G1247">
        <v>3</v>
      </c>
      <c r="H1247" t="s">
        <v>69</v>
      </c>
      <c r="I1247">
        <v>1746</v>
      </c>
      <c r="J1247">
        <v>1</v>
      </c>
      <c r="K1247" t="s">
        <v>54</v>
      </c>
      <c r="L1247">
        <v>59</v>
      </c>
      <c r="M1247">
        <v>3</v>
      </c>
      <c r="N1247">
        <v>1</v>
      </c>
      <c r="O1247" t="s">
        <v>88</v>
      </c>
      <c r="P1247">
        <v>4</v>
      </c>
      <c r="Q1247" t="s">
        <v>56</v>
      </c>
      <c r="R1247">
        <v>2145</v>
      </c>
      <c r="S1247">
        <v>2097</v>
      </c>
      <c r="T1247">
        <v>0</v>
      </c>
      <c r="U1247" t="s">
        <v>51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  <c r="AG1247" t="s">
        <v>78</v>
      </c>
      <c r="AH1247" t="s">
        <v>64</v>
      </c>
      <c r="AI1247">
        <v>0</v>
      </c>
      <c r="AJ1247" t="s">
        <v>65</v>
      </c>
      <c r="AK1247" t="s">
        <v>72</v>
      </c>
      <c r="AL1247" t="s">
        <v>49</v>
      </c>
      <c r="AM1247" t="s">
        <v>61</v>
      </c>
      <c r="AN1247">
        <f t="shared" si="19"/>
        <v>-1</v>
      </c>
    </row>
    <row r="1248" spans="1:40">
      <c r="A1248">
        <v>30</v>
      </c>
      <c r="B1248" t="s">
        <v>38</v>
      </c>
      <c r="C1248" t="s">
        <v>52</v>
      </c>
      <c r="D1248">
        <v>600</v>
      </c>
      <c r="E1248" t="s">
        <v>88</v>
      </c>
      <c r="F1248">
        <v>8</v>
      </c>
      <c r="G1248">
        <v>3</v>
      </c>
      <c r="H1248" t="s">
        <v>88</v>
      </c>
      <c r="I1248">
        <v>1747</v>
      </c>
      <c r="J1248">
        <v>3</v>
      </c>
      <c r="K1248" t="s">
        <v>42</v>
      </c>
      <c r="L1248">
        <v>66</v>
      </c>
      <c r="M1248">
        <v>2</v>
      </c>
      <c r="N1248">
        <v>1</v>
      </c>
      <c r="O1248" t="s">
        <v>88</v>
      </c>
      <c r="P1248">
        <v>4</v>
      </c>
      <c r="Q1248" t="s">
        <v>74</v>
      </c>
      <c r="R1248">
        <v>2180</v>
      </c>
      <c r="S1248">
        <v>9732</v>
      </c>
      <c r="T1248">
        <v>6</v>
      </c>
      <c r="U1248" t="s">
        <v>51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  <c r="AG1248" t="s">
        <v>67</v>
      </c>
      <c r="AH1248" t="s">
        <v>71</v>
      </c>
      <c r="AI1248">
        <v>1</v>
      </c>
      <c r="AJ1248" t="s">
        <v>47</v>
      </c>
      <c r="AK1248" t="s">
        <v>72</v>
      </c>
      <c r="AL1248" t="s">
        <v>49</v>
      </c>
      <c r="AM1248" t="s">
        <v>70</v>
      </c>
      <c r="AN1248">
        <f t="shared" si="19"/>
        <v>0</v>
      </c>
    </row>
    <row r="1249" spans="1:40">
      <c r="A1249">
        <v>31</v>
      </c>
      <c r="B1249" t="s">
        <v>51</v>
      </c>
      <c r="C1249" t="s">
        <v>39</v>
      </c>
      <c r="D1249">
        <v>1003</v>
      </c>
      <c r="E1249" t="s">
        <v>40</v>
      </c>
      <c r="F1249">
        <v>5</v>
      </c>
      <c r="G1249">
        <v>3</v>
      </c>
      <c r="H1249" t="s">
        <v>86</v>
      </c>
      <c r="I1249">
        <v>1749</v>
      </c>
      <c r="J1249">
        <v>1</v>
      </c>
      <c r="K1249" t="s">
        <v>54</v>
      </c>
      <c r="L1249">
        <v>51</v>
      </c>
      <c r="M1249">
        <v>3</v>
      </c>
      <c r="N1249">
        <v>2</v>
      </c>
      <c r="O1249" t="s">
        <v>43</v>
      </c>
      <c r="P1249">
        <v>3</v>
      </c>
      <c r="Q1249" t="s">
        <v>56</v>
      </c>
      <c r="R1249">
        <v>8346</v>
      </c>
      <c r="S1249">
        <v>20943</v>
      </c>
      <c r="T1249">
        <v>1</v>
      </c>
      <c r="U1249" t="s">
        <v>51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  <c r="AG1249" t="s">
        <v>67</v>
      </c>
      <c r="AH1249" t="s">
        <v>46</v>
      </c>
      <c r="AI1249">
        <v>0</v>
      </c>
      <c r="AJ1249" t="s">
        <v>65</v>
      </c>
      <c r="AK1249" t="s">
        <v>72</v>
      </c>
      <c r="AL1249" t="s">
        <v>66</v>
      </c>
      <c r="AM1249" t="s">
        <v>61</v>
      </c>
      <c r="AN1249">
        <f t="shared" si="19"/>
        <v>0</v>
      </c>
    </row>
    <row r="1250" spans="1:40">
      <c r="A1250">
        <v>27</v>
      </c>
      <c r="B1250" t="s">
        <v>51</v>
      </c>
      <c r="C1250" t="s">
        <v>39</v>
      </c>
      <c r="D1250">
        <v>1054</v>
      </c>
      <c r="E1250" t="s">
        <v>53</v>
      </c>
      <c r="F1250">
        <v>8</v>
      </c>
      <c r="G1250">
        <v>3</v>
      </c>
      <c r="H1250" t="s">
        <v>69</v>
      </c>
      <c r="I1250">
        <v>1751</v>
      </c>
      <c r="J1250">
        <v>3</v>
      </c>
      <c r="K1250" t="s">
        <v>42</v>
      </c>
      <c r="L1250">
        <v>67</v>
      </c>
      <c r="M1250">
        <v>3</v>
      </c>
      <c r="N1250">
        <v>1</v>
      </c>
      <c r="O1250" t="s">
        <v>55</v>
      </c>
      <c r="P1250">
        <v>4</v>
      </c>
      <c r="Q1250" t="s">
        <v>44</v>
      </c>
      <c r="R1250">
        <v>3445</v>
      </c>
      <c r="S1250">
        <v>6152</v>
      </c>
      <c r="T1250">
        <v>1</v>
      </c>
      <c r="U1250" t="s">
        <v>51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  <c r="AG1250" t="s">
        <v>67</v>
      </c>
      <c r="AH1250" t="s">
        <v>71</v>
      </c>
      <c r="AI1250">
        <v>0</v>
      </c>
      <c r="AJ1250" t="s">
        <v>47</v>
      </c>
      <c r="AK1250" t="s">
        <v>72</v>
      </c>
      <c r="AL1250" t="s">
        <v>49</v>
      </c>
      <c r="AM1250" t="s">
        <v>70</v>
      </c>
      <c r="AN1250">
        <f t="shared" si="19"/>
        <v>0</v>
      </c>
    </row>
    <row r="1251" spans="1:40">
      <c r="A1251">
        <v>29</v>
      </c>
      <c r="B1251" t="s">
        <v>38</v>
      </c>
      <c r="C1251" t="s">
        <v>39</v>
      </c>
      <c r="D1251">
        <v>428</v>
      </c>
      <c r="E1251" t="s">
        <v>40</v>
      </c>
      <c r="F1251">
        <v>9</v>
      </c>
      <c r="G1251">
        <v>3</v>
      </c>
      <c r="H1251" t="s">
        <v>84</v>
      </c>
      <c r="I1251">
        <v>1752</v>
      </c>
      <c r="J1251">
        <v>2</v>
      </c>
      <c r="K1251" t="s">
        <v>42</v>
      </c>
      <c r="L1251">
        <v>52</v>
      </c>
      <c r="M1251">
        <v>1</v>
      </c>
      <c r="N1251">
        <v>1</v>
      </c>
      <c r="O1251" t="s">
        <v>82</v>
      </c>
      <c r="P1251">
        <v>2</v>
      </c>
      <c r="Q1251" t="s">
        <v>44</v>
      </c>
      <c r="R1251">
        <v>2760</v>
      </c>
      <c r="S1251">
        <v>14630</v>
      </c>
      <c r="T1251">
        <v>1</v>
      </c>
      <c r="U1251" t="s">
        <v>51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  <c r="AG1251" t="s">
        <v>67</v>
      </c>
      <c r="AH1251" t="s">
        <v>46</v>
      </c>
      <c r="AI1251">
        <v>1</v>
      </c>
      <c r="AJ1251" t="s">
        <v>65</v>
      </c>
      <c r="AK1251" t="s">
        <v>72</v>
      </c>
      <c r="AL1251" t="s">
        <v>60</v>
      </c>
      <c r="AM1251" t="s">
        <v>61</v>
      </c>
      <c r="AN1251">
        <f t="shared" si="19"/>
        <v>5</v>
      </c>
    </row>
    <row r="1252" spans="1:40">
      <c r="A1252">
        <v>29</v>
      </c>
      <c r="B1252" t="s">
        <v>51</v>
      </c>
      <c r="C1252" t="s">
        <v>52</v>
      </c>
      <c r="D1252">
        <v>461</v>
      </c>
      <c r="E1252" t="s">
        <v>53</v>
      </c>
      <c r="F1252">
        <v>1</v>
      </c>
      <c r="G1252">
        <v>3</v>
      </c>
      <c r="H1252" t="s">
        <v>41</v>
      </c>
      <c r="I1252">
        <v>1753</v>
      </c>
      <c r="J1252">
        <v>4</v>
      </c>
      <c r="K1252" t="s">
        <v>54</v>
      </c>
      <c r="L1252">
        <v>70</v>
      </c>
      <c r="M1252">
        <v>4</v>
      </c>
      <c r="N1252">
        <v>2</v>
      </c>
      <c r="O1252" t="s">
        <v>76</v>
      </c>
      <c r="P1252">
        <v>3</v>
      </c>
      <c r="Q1252" t="s">
        <v>44</v>
      </c>
      <c r="R1252">
        <v>6294</v>
      </c>
      <c r="S1252">
        <v>23060</v>
      </c>
      <c r="T1252">
        <v>8</v>
      </c>
      <c r="U1252" t="s">
        <v>38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  <c r="AG1252" t="s">
        <v>67</v>
      </c>
      <c r="AH1252" t="s">
        <v>46</v>
      </c>
      <c r="AI1252">
        <v>0</v>
      </c>
      <c r="AJ1252" t="s">
        <v>65</v>
      </c>
      <c r="AK1252" t="s">
        <v>72</v>
      </c>
      <c r="AL1252" t="s">
        <v>66</v>
      </c>
      <c r="AM1252" t="s">
        <v>85</v>
      </c>
      <c r="AN1252">
        <f t="shared" si="19"/>
        <v>-2</v>
      </c>
    </row>
    <row r="1253" spans="1:40">
      <c r="A1253">
        <v>30</v>
      </c>
      <c r="B1253" t="s">
        <v>51</v>
      </c>
      <c r="C1253" t="s">
        <v>39</v>
      </c>
      <c r="D1253">
        <v>979</v>
      </c>
      <c r="E1253" t="s">
        <v>40</v>
      </c>
      <c r="F1253">
        <v>15</v>
      </c>
      <c r="G1253">
        <v>2</v>
      </c>
      <c r="H1253" t="s">
        <v>84</v>
      </c>
      <c r="I1253">
        <v>1754</v>
      </c>
      <c r="J1253">
        <v>3</v>
      </c>
      <c r="K1253" t="s">
        <v>54</v>
      </c>
      <c r="L1253">
        <v>94</v>
      </c>
      <c r="M1253">
        <v>2</v>
      </c>
      <c r="N1253">
        <v>3</v>
      </c>
      <c r="O1253" t="s">
        <v>43</v>
      </c>
      <c r="P1253">
        <v>1</v>
      </c>
      <c r="Q1253" t="s">
        <v>74</v>
      </c>
      <c r="R1253">
        <v>7140</v>
      </c>
      <c r="S1253">
        <v>3088</v>
      </c>
      <c r="T1253">
        <v>2</v>
      </c>
      <c r="U1253" t="s">
        <v>51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  <c r="AG1253" t="s">
        <v>67</v>
      </c>
      <c r="AH1253" t="s">
        <v>81</v>
      </c>
      <c r="AI1253">
        <v>0</v>
      </c>
      <c r="AJ1253" t="s">
        <v>58</v>
      </c>
      <c r="AK1253" t="s">
        <v>48</v>
      </c>
      <c r="AL1253" t="s">
        <v>73</v>
      </c>
      <c r="AM1253" t="s">
        <v>61</v>
      </c>
      <c r="AN1253">
        <f t="shared" si="19"/>
        <v>7</v>
      </c>
    </row>
    <row r="1254" spans="1:40">
      <c r="A1254">
        <v>34</v>
      </c>
      <c r="B1254" t="s">
        <v>51</v>
      </c>
      <c r="C1254" t="s">
        <v>39</v>
      </c>
      <c r="D1254">
        <v>181</v>
      </c>
      <c r="E1254" t="s">
        <v>53</v>
      </c>
      <c r="F1254">
        <v>2</v>
      </c>
      <c r="G1254">
        <v>4</v>
      </c>
      <c r="H1254" t="s">
        <v>69</v>
      </c>
      <c r="I1254">
        <v>1755</v>
      </c>
      <c r="J1254">
        <v>4</v>
      </c>
      <c r="K1254" t="s">
        <v>54</v>
      </c>
      <c r="L1254">
        <v>97</v>
      </c>
      <c r="M1254">
        <v>4</v>
      </c>
      <c r="N1254">
        <v>1</v>
      </c>
      <c r="O1254" t="s">
        <v>55</v>
      </c>
      <c r="P1254">
        <v>4</v>
      </c>
      <c r="Q1254" t="s">
        <v>56</v>
      </c>
      <c r="R1254">
        <v>2932</v>
      </c>
      <c r="S1254">
        <v>5586</v>
      </c>
      <c r="T1254">
        <v>0</v>
      </c>
      <c r="U1254" t="s">
        <v>38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  <c r="AG1254" t="s">
        <v>67</v>
      </c>
      <c r="AH1254" t="s">
        <v>81</v>
      </c>
      <c r="AI1254">
        <v>0</v>
      </c>
      <c r="AJ1254" t="s">
        <v>65</v>
      </c>
      <c r="AK1254" t="s">
        <v>68</v>
      </c>
      <c r="AL1254" t="s">
        <v>49</v>
      </c>
      <c r="AM1254" t="s">
        <v>61</v>
      </c>
      <c r="AN1254">
        <f t="shared" si="19"/>
        <v>-2</v>
      </c>
    </row>
    <row r="1255" spans="1:40">
      <c r="A1255">
        <v>33</v>
      </c>
      <c r="B1255" t="s">
        <v>51</v>
      </c>
      <c r="C1255" t="s">
        <v>77</v>
      </c>
      <c r="D1255">
        <v>1283</v>
      </c>
      <c r="E1255" t="s">
        <v>40</v>
      </c>
      <c r="F1255">
        <v>2</v>
      </c>
      <c r="G1255">
        <v>3</v>
      </c>
      <c r="H1255" t="s">
        <v>84</v>
      </c>
      <c r="I1255">
        <v>1756</v>
      </c>
      <c r="J1255">
        <v>4</v>
      </c>
      <c r="K1255" t="s">
        <v>42</v>
      </c>
      <c r="L1255">
        <v>62</v>
      </c>
      <c r="M1255">
        <v>3</v>
      </c>
      <c r="N1255">
        <v>2</v>
      </c>
      <c r="O1255" t="s">
        <v>43</v>
      </c>
      <c r="P1255">
        <v>2</v>
      </c>
      <c r="Q1255" t="s">
        <v>44</v>
      </c>
      <c r="R1255">
        <v>5147</v>
      </c>
      <c r="S1255">
        <v>10697</v>
      </c>
      <c r="T1255">
        <v>8</v>
      </c>
      <c r="U1255" t="s">
        <v>51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  <c r="AG1255" t="s">
        <v>67</v>
      </c>
      <c r="AH1255" t="s">
        <v>46</v>
      </c>
      <c r="AI1255">
        <v>0</v>
      </c>
      <c r="AJ1255" t="s">
        <v>47</v>
      </c>
      <c r="AK1255" t="s">
        <v>72</v>
      </c>
      <c r="AL1255" t="s">
        <v>60</v>
      </c>
      <c r="AM1255" t="s">
        <v>70</v>
      </c>
      <c r="AN1255">
        <f t="shared" si="19"/>
        <v>6</v>
      </c>
    </row>
    <row r="1256" spans="1:40">
      <c r="A1256">
        <v>49</v>
      </c>
      <c r="B1256" t="s">
        <v>51</v>
      </c>
      <c r="C1256" t="s">
        <v>39</v>
      </c>
      <c r="D1256">
        <v>1313</v>
      </c>
      <c r="E1256" t="s">
        <v>40</v>
      </c>
      <c r="F1256">
        <v>11</v>
      </c>
      <c r="G1256">
        <v>4</v>
      </c>
      <c r="H1256" t="s">
        <v>84</v>
      </c>
      <c r="I1256">
        <v>1757</v>
      </c>
      <c r="J1256">
        <v>4</v>
      </c>
      <c r="K1256" t="s">
        <v>42</v>
      </c>
      <c r="L1256">
        <v>80</v>
      </c>
      <c r="M1256">
        <v>3</v>
      </c>
      <c r="N1256">
        <v>2</v>
      </c>
      <c r="O1256" t="s">
        <v>43</v>
      </c>
      <c r="P1256">
        <v>4</v>
      </c>
      <c r="Q1256" t="s">
        <v>44</v>
      </c>
      <c r="R1256">
        <v>4507</v>
      </c>
      <c r="S1256">
        <v>8191</v>
      </c>
      <c r="T1256">
        <v>3</v>
      </c>
      <c r="U1256" t="s">
        <v>51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  <c r="AG1256" t="s">
        <v>57</v>
      </c>
      <c r="AH1256" t="s">
        <v>71</v>
      </c>
      <c r="AI1256">
        <v>0</v>
      </c>
      <c r="AJ1256" t="s">
        <v>65</v>
      </c>
      <c r="AK1256" t="s">
        <v>68</v>
      </c>
      <c r="AL1256" t="s">
        <v>49</v>
      </c>
      <c r="AM1256" t="s">
        <v>85</v>
      </c>
      <c r="AN1256">
        <f t="shared" si="19"/>
        <v>-5</v>
      </c>
    </row>
    <row r="1257" spans="1:40">
      <c r="A1257">
        <v>33</v>
      </c>
      <c r="B1257" t="s">
        <v>38</v>
      </c>
      <c r="C1257" t="s">
        <v>39</v>
      </c>
      <c r="D1257">
        <v>211</v>
      </c>
      <c r="E1257" t="s">
        <v>40</v>
      </c>
      <c r="F1257">
        <v>16</v>
      </c>
      <c r="G1257">
        <v>3</v>
      </c>
      <c r="H1257" t="s">
        <v>41</v>
      </c>
      <c r="I1257">
        <v>1758</v>
      </c>
      <c r="J1257">
        <v>1</v>
      </c>
      <c r="K1257" t="s">
        <v>42</v>
      </c>
      <c r="L1257">
        <v>74</v>
      </c>
      <c r="M1257">
        <v>3</v>
      </c>
      <c r="N1257">
        <v>3</v>
      </c>
      <c r="O1257" t="s">
        <v>43</v>
      </c>
      <c r="P1257">
        <v>1</v>
      </c>
      <c r="Q1257" t="s">
        <v>44</v>
      </c>
      <c r="R1257">
        <v>8564</v>
      </c>
      <c r="S1257">
        <v>10092</v>
      </c>
      <c r="T1257">
        <v>2</v>
      </c>
      <c r="U1257" t="s">
        <v>38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  <c r="AG1257" t="s">
        <v>67</v>
      </c>
      <c r="AH1257" t="s">
        <v>46</v>
      </c>
      <c r="AI1257">
        <v>1</v>
      </c>
      <c r="AJ1257" t="s">
        <v>47</v>
      </c>
      <c r="AK1257" t="s">
        <v>72</v>
      </c>
      <c r="AL1257" t="s">
        <v>73</v>
      </c>
      <c r="AM1257" t="s">
        <v>70</v>
      </c>
      <c r="AN1257">
        <f t="shared" si="19"/>
        <v>8</v>
      </c>
    </row>
    <row r="1258" spans="1:40">
      <c r="A1258">
        <v>38</v>
      </c>
      <c r="B1258" t="s">
        <v>51</v>
      </c>
      <c r="C1258" t="s">
        <v>52</v>
      </c>
      <c r="D1258">
        <v>594</v>
      </c>
      <c r="E1258" t="s">
        <v>53</v>
      </c>
      <c r="F1258">
        <v>2</v>
      </c>
      <c r="G1258">
        <v>2</v>
      </c>
      <c r="H1258" t="s">
        <v>69</v>
      </c>
      <c r="I1258">
        <v>1760</v>
      </c>
      <c r="J1258">
        <v>3</v>
      </c>
      <c r="K1258" t="s">
        <v>42</v>
      </c>
      <c r="L1258">
        <v>75</v>
      </c>
      <c r="M1258">
        <v>2</v>
      </c>
      <c r="N1258">
        <v>1</v>
      </c>
      <c r="O1258" t="s">
        <v>63</v>
      </c>
      <c r="P1258">
        <v>2</v>
      </c>
      <c r="Q1258" t="s">
        <v>56</v>
      </c>
      <c r="R1258">
        <v>2468</v>
      </c>
      <c r="S1258">
        <v>15963</v>
      </c>
      <c r="T1258">
        <v>4</v>
      </c>
      <c r="U1258" t="s">
        <v>51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  <c r="AG1258" t="s">
        <v>45</v>
      </c>
      <c r="AH1258" t="s">
        <v>46</v>
      </c>
      <c r="AI1258">
        <v>0</v>
      </c>
      <c r="AJ1258" t="s">
        <v>47</v>
      </c>
      <c r="AK1258" t="s">
        <v>48</v>
      </c>
      <c r="AL1258" t="s">
        <v>60</v>
      </c>
      <c r="AM1258" t="s">
        <v>70</v>
      </c>
      <c r="AN1258">
        <f t="shared" si="19"/>
        <v>5</v>
      </c>
    </row>
    <row r="1259" spans="1:40">
      <c r="A1259">
        <v>31</v>
      </c>
      <c r="B1259" t="s">
        <v>38</v>
      </c>
      <c r="C1259" t="s">
        <v>39</v>
      </c>
      <c r="D1259">
        <v>1079</v>
      </c>
      <c r="E1259" t="s">
        <v>40</v>
      </c>
      <c r="F1259">
        <v>16</v>
      </c>
      <c r="G1259">
        <v>4</v>
      </c>
      <c r="H1259" t="s">
        <v>84</v>
      </c>
      <c r="I1259">
        <v>1761</v>
      </c>
      <c r="J1259">
        <v>1</v>
      </c>
      <c r="K1259" t="s">
        <v>54</v>
      </c>
      <c r="L1259">
        <v>70</v>
      </c>
      <c r="M1259">
        <v>3</v>
      </c>
      <c r="N1259">
        <v>3</v>
      </c>
      <c r="O1259" t="s">
        <v>43</v>
      </c>
      <c r="P1259">
        <v>3</v>
      </c>
      <c r="Q1259" t="s">
        <v>56</v>
      </c>
      <c r="R1259">
        <v>8161</v>
      </c>
      <c r="S1259">
        <v>19002</v>
      </c>
      <c r="T1259">
        <v>2</v>
      </c>
      <c r="U1259" t="s">
        <v>51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  <c r="AG1259" t="s">
        <v>67</v>
      </c>
      <c r="AH1259" t="s">
        <v>46</v>
      </c>
      <c r="AI1259">
        <v>1</v>
      </c>
      <c r="AJ1259" t="s">
        <v>65</v>
      </c>
      <c r="AK1259" t="s">
        <v>68</v>
      </c>
      <c r="AL1259" t="s">
        <v>66</v>
      </c>
      <c r="AM1259" t="s">
        <v>61</v>
      </c>
      <c r="AN1259">
        <f t="shared" si="19"/>
        <v>0</v>
      </c>
    </row>
    <row r="1260" spans="1:40">
      <c r="A1260">
        <v>29</v>
      </c>
      <c r="B1260" t="s">
        <v>51</v>
      </c>
      <c r="C1260" t="s">
        <v>39</v>
      </c>
      <c r="D1260">
        <v>590</v>
      </c>
      <c r="E1260" t="s">
        <v>53</v>
      </c>
      <c r="F1260">
        <v>4</v>
      </c>
      <c r="G1260">
        <v>3</v>
      </c>
      <c r="H1260" t="s">
        <v>86</v>
      </c>
      <c r="I1260">
        <v>1762</v>
      </c>
      <c r="J1260">
        <v>4</v>
      </c>
      <c r="K1260" t="s">
        <v>42</v>
      </c>
      <c r="L1260">
        <v>91</v>
      </c>
      <c r="M1260">
        <v>2</v>
      </c>
      <c r="N1260">
        <v>1</v>
      </c>
      <c r="O1260" t="s">
        <v>55</v>
      </c>
      <c r="P1260">
        <v>1</v>
      </c>
      <c r="Q1260" t="s">
        <v>74</v>
      </c>
      <c r="R1260">
        <v>2109</v>
      </c>
      <c r="S1260">
        <v>10007</v>
      </c>
      <c r="T1260">
        <v>1</v>
      </c>
      <c r="U1260" t="s">
        <v>51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  <c r="AG1260" t="s">
        <v>67</v>
      </c>
      <c r="AH1260" t="s">
        <v>46</v>
      </c>
      <c r="AI1260">
        <v>0</v>
      </c>
      <c r="AJ1260" t="s">
        <v>65</v>
      </c>
      <c r="AK1260" t="s">
        <v>72</v>
      </c>
      <c r="AL1260" t="s">
        <v>73</v>
      </c>
      <c r="AM1260" t="s">
        <v>61</v>
      </c>
      <c r="AN1260">
        <f t="shared" si="19"/>
        <v>6</v>
      </c>
    </row>
    <row r="1261" spans="1:40">
      <c r="A1261">
        <v>30</v>
      </c>
      <c r="B1261" t="s">
        <v>51</v>
      </c>
      <c r="C1261" t="s">
        <v>39</v>
      </c>
      <c r="D1261">
        <v>305</v>
      </c>
      <c r="E1261" t="s">
        <v>53</v>
      </c>
      <c r="F1261">
        <v>16</v>
      </c>
      <c r="G1261">
        <v>3</v>
      </c>
      <c r="H1261" t="s">
        <v>41</v>
      </c>
      <c r="I1261">
        <v>1763</v>
      </c>
      <c r="J1261">
        <v>3</v>
      </c>
      <c r="K1261" t="s">
        <v>54</v>
      </c>
      <c r="L1261">
        <v>58</v>
      </c>
      <c r="M1261">
        <v>4</v>
      </c>
      <c r="N1261">
        <v>2</v>
      </c>
      <c r="O1261" t="s">
        <v>76</v>
      </c>
      <c r="P1261">
        <v>3</v>
      </c>
      <c r="Q1261" t="s">
        <v>56</v>
      </c>
      <c r="R1261">
        <v>5294</v>
      </c>
      <c r="S1261">
        <v>9128</v>
      </c>
      <c r="T1261">
        <v>3</v>
      </c>
      <c r="U1261" t="s">
        <v>51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  <c r="AG1261" t="s">
        <v>67</v>
      </c>
      <c r="AH1261" t="s">
        <v>71</v>
      </c>
      <c r="AI1261">
        <v>0</v>
      </c>
      <c r="AJ1261" t="s">
        <v>58</v>
      </c>
      <c r="AK1261" t="s">
        <v>72</v>
      </c>
      <c r="AL1261" t="s">
        <v>66</v>
      </c>
      <c r="AM1261" t="s">
        <v>61</v>
      </c>
      <c r="AN1261">
        <f t="shared" si="19"/>
        <v>1</v>
      </c>
    </row>
    <row r="1262" spans="1:40">
      <c r="A1262">
        <v>32</v>
      </c>
      <c r="B1262" t="s">
        <v>51</v>
      </c>
      <c r="C1262" t="s">
        <v>77</v>
      </c>
      <c r="D1262">
        <v>953</v>
      </c>
      <c r="E1262" t="s">
        <v>53</v>
      </c>
      <c r="F1262">
        <v>5</v>
      </c>
      <c r="G1262">
        <v>4</v>
      </c>
      <c r="H1262" t="s">
        <v>86</v>
      </c>
      <c r="I1262">
        <v>1764</v>
      </c>
      <c r="J1262">
        <v>2</v>
      </c>
      <c r="K1262" t="s">
        <v>54</v>
      </c>
      <c r="L1262">
        <v>65</v>
      </c>
      <c r="M1262">
        <v>3</v>
      </c>
      <c r="N1262">
        <v>1</v>
      </c>
      <c r="O1262" t="s">
        <v>55</v>
      </c>
      <c r="P1262">
        <v>2</v>
      </c>
      <c r="Q1262" t="s">
        <v>44</v>
      </c>
      <c r="R1262">
        <v>2718</v>
      </c>
      <c r="S1262">
        <v>17674</v>
      </c>
      <c r="T1262">
        <v>2</v>
      </c>
      <c r="U1262" t="s">
        <v>51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  <c r="AG1262" t="s">
        <v>67</v>
      </c>
      <c r="AH1262" t="s">
        <v>46</v>
      </c>
      <c r="AI1262">
        <v>0</v>
      </c>
      <c r="AJ1262" t="s">
        <v>58</v>
      </c>
      <c r="AK1262" t="s">
        <v>68</v>
      </c>
      <c r="AL1262" t="s">
        <v>60</v>
      </c>
      <c r="AM1262" t="s">
        <v>61</v>
      </c>
      <c r="AN1262">
        <f t="shared" si="19"/>
        <v>3</v>
      </c>
    </row>
    <row r="1263" spans="1:40">
      <c r="A1263">
        <v>38</v>
      </c>
      <c r="B1263" t="s">
        <v>51</v>
      </c>
      <c r="C1263" t="s">
        <v>39</v>
      </c>
      <c r="D1263">
        <v>833</v>
      </c>
      <c r="E1263" t="s">
        <v>53</v>
      </c>
      <c r="F1263">
        <v>18</v>
      </c>
      <c r="G1263">
        <v>3</v>
      </c>
      <c r="H1263" t="s">
        <v>69</v>
      </c>
      <c r="I1263">
        <v>1766</v>
      </c>
      <c r="J1263">
        <v>2</v>
      </c>
      <c r="K1263" t="s">
        <v>54</v>
      </c>
      <c r="L1263">
        <v>60</v>
      </c>
      <c r="M1263">
        <v>1</v>
      </c>
      <c r="N1263">
        <v>2</v>
      </c>
      <c r="O1263" t="s">
        <v>76</v>
      </c>
      <c r="P1263">
        <v>4</v>
      </c>
      <c r="Q1263" t="s">
        <v>56</v>
      </c>
      <c r="R1263">
        <v>5811</v>
      </c>
      <c r="S1263">
        <v>24539</v>
      </c>
      <c r="T1263">
        <v>3</v>
      </c>
      <c r="U1263" t="s">
        <v>38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  <c r="AG1263" t="s">
        <v>45</v>
      </c>
      <c r="AH1263" t="s">
        <v>46</v>
      </c>
      <c r="AI1263">
        <v>0</v>
      </c>
      <c r="AJ1263" t="s">
        <v>65</v>
      </c>
      <c r="AK1263" t="s">
        <v>72</v>
      </c>
      <c r="AL1263" t="s">
        <v>49</v>
      </c>
      <c r="AM1263" t="s">
        <v>61</v>
      </c>
      <c r="AN1263">
        <f t="shared" si="19"/>
        <v>-2</v>
      </c>
    </row>
    <row r="1264" spans="1:40">
      <c r="A1264">
        <v>43</v>
      </c>
      <c r="B1264" t="s">
        <v>38</v>
      </c>
      <c r="C1264" t="s">
        <v>52</v>
      </c>
      <c r="D1264">
        <v>807</v>
      </c>
      <c r="E1264" t="s">
        <v>53</v>
      </c>
      <c r="F1264">
        <v>17</v>
      </c>
      <c r="G1264">
        <v>3</v>
      </c>
      <c r="H1264" t="s">
        <v>86</v>
      </c>
      <c r="I1264">
        <v>1767</v>
      </c>
      <c r="J1264">
        <v>3</v>
      </c>
      <c r="K1264" t="s">
        <v>54</v>
      </c>
      <c r="L1264">
        <v>38</v>
      </c>
      <c r="M1264">
        <v>2</v>
      </c>
      <c r="N1264">
        <v>1</v>
      </c>
      <c r="O1264" t="s">
        <v>55</v>
      </c>
      <c r="P1264">
        <v>3</v>
      </c>
      <c r="Q1264" t="s">
        <v>56</v>
      </c>
      <c r="R1264">
        <v>2437</v>
      </c>
      <c r="S1264">
        <v>15587</v>
      </c>
      <c r="T1264">
        <v>9</v>
      </c>
      <c r="U1264" t="s">
        <v>38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  <c r="AG1264" t="s">
        <v>45</v>
      </c>
      <c r="AH1264" t="s">
        <v>46</v>
      </c>
      <c r="AI1264">
        <v>1</v>
      </c>
      <c r="AJ1264" t="s">
        <v>65</v>
      </c>
      <c r="AK1264" t="s">
        <v>72</v>
      </c>
      <c r="AL1264" t="s">
        <v>66</v>
      </c>
      <c r="AM1264" t="s">
        <v>61</v>
      </c>
      <c r="AN1264">
        <f t="shared" si="19"/>
        <v>0</v>
      </c>
    </row>
    <row r="1265" spans="1:40">
      <c r="A1265">
        <v>42</v>
      </c>
      <c r="B1265" t="s">
        <v>51</v>
      </c>
      <c r="C1265" t="s">
        <v>39</v>
      </c>
      <c r="D1265">
        <v>855</v>
      </c>
      <c r="E1265" t="s">
        <v>53</v>
      </c>
      <c r="F1265">
        <v>12</v>
      </c>
      <c r="G1265">
        <v>3</v>
      </c>
      <c r="H1265" t="s">
        <v>69</v>
      </c>
      <c r="I1265">
        <v>1768</v>
      </c>
      <c r="J1265">
        <v>2</v>
      </c>
      <c r="K1265" t="s">
        <v>54</v>
      </c>
      <c r="L1265">
        <v>57</v>
      </c>
      <c r="M1265">
        <v>3</v>
      </c>
      <c r="N1265">
        <v>1</v>
      </c>
      <c r="O1265" t="s">
        <v>63</v>
      </c>
      <c r="P1265">
        <v>2</v>
      </c>
      <c r="Q1265" t="s">
        <v>74</v>
      </c>
      <c r="R1265">
        <v>2766</v>
      </c>
      <c r="S1265">
        <v>8952</v>
      </c>
      <c r="T1265">
        <v>8</v>
      </c>
      <c r="U1265" t="s">
        <v>51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  <c r="AG1265" t="s">
        <v>45</v>
      </c>
      <c r="AH1265" t="s">
        <v>71</v>
      </c>
      <c r="AI1265">
        <v>0</v>
      </c>
      <c r="AJ1265" t="s">
        <v>47</v>
      </c>
      <c r="AK1265" t="s">
        <v>72</v>
      </c>
      <c r="AL1265" t="s">
        <v>60</v>
      </c>
      <c r="AM1265" t="s">
        <v>70</v>
      </c>
      <c r="AN1265">
        <f t="shared" si="19"/>
        <v>5</v>
      </c>
    </row>
    <row r="1266" spans="1:40">
      <c r="A1266">
        <v>55</v>
      </c>
      <c r="B1266" t="s">
        <v>51</v>
      </c>
      <c r="C1266" t="s">
        <v>39</v>
      </c>
      <c r="D1266">
        <v>478</v>
      </c>
      <c r="E1266" t="s">
        <v>53</v>
      </c>
      <c r="F1266">
        <v>2</v>
      </c>
      <c r="G1266">
        <v>3</v>
      </c>
      <c r="H1266" t="s">
        <v>69</v>
      </c>
      <c r="I1266">
        <v>1770</v>
      </c>
      <c r="J1266">
        <v>3</v>
      </c>
      <c r="K1266" t="s">
        <v>54</v>
      </c>
      <c r="L1266">
        <v>60</v>
      </c>
      <c r="M1266">
        <v>2</v>
      </c>
      <c r="N1266">
        <v>5</v>
      </c>
      <c r="O1266" t="s">
        <v>83</v>
      </c>
      <c r="P1266">
        <v>1</v>
      </c>
      <c r="Q1266" t="s">
        <v>56</v>
      </c>
      <c r="R1266">
        <v>19038</v>
      </c>
      <c r="S1266">
        <v>19805</v>
      </c>
      <c r="T1266">
        <v>8</v>
      </c>
      <c r="U1266" t="s">
        <v>51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  <c r="AG1266" t="s">
        <v>57</v>
      </c>
      <c r="AH1266" t="s">
        <v>46</v>
      </c>
      <c r="AI1266">
        <v>0</v>
      </c>
      <c r="AJ1266" t="s">
        <v>65</v>
      </c>
      <c r="AK1266" t="s">
        <v>72</v>
      </c>
      <c r="AL1266" t="s">
        <v>73</v>
      </c>
      <c r="AM1266" t="s">
        <v>61</v>
      </c>
      <c r="AN1266">
        <f t="shared" si="19"/>
        <v>6</v>
      </c>
    </row>
    <row r="1267" spans="1:40">
      <c r="A1267">
        <v>33</v>
      </c>
      <c r="B1267" t="s">
        <v>51</v>
      </c>
      <c r="C1267" t="s">
        <v>77</v>
      </c>
      <c r="D1267">
        <v>775</v>
      </c>
      <c r="E1267" t="s">
        <v>53</v>
      </c>
      <c r="F1267">
        <v>4</v>
      </c>
      <c r="G1267">
        <v>3</v>
      </c>
      <c r="H1267" t="s">
        <v>86</v>
      </c>
      <c r="I1267">
        <v>1771</v>
      </c>
      <c r="J1267">
        <v>4</v>
      </c>
      <c r="K1267" t="s">
        <v>54</v>
      </c>
      <c r="L1267">
        <v>90</v>
      </c>
      <c r="M1267">
        <v>3</v>
      </c>
      <c r="N1267">
        <v>2</v>
      </c>
      <c r="O1267" t="s">
        <v>55</v>
      </c>
      <c r="P1267">
        <v>2</v>
      </c>
      <c r="Q1267" t="s">
        <v>74</v>
      </c>
      <c r="R1267">
        <v>3055</v>
      </c>
      <c r="S1267">
        <v>6194</v>
      </c>
      <c r="T1267">
        <v>5</v>
      </c>
      <c r="U1267" t="s">
        <v>51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  <c r="AG1267" t="s">
        <v>67</v>
      </c>
      <c r="AH1267" t="s">
        <v>71</v>
      </c>
      <c r="AI1267">
        <v>0</v>
      </c>
      <c r="AJ1267" t="s">
        <v>47</v>
      </c>
      <c r="AK1267" t="s">
        <v>72</v>
      </c>
      <c r="AL1267" t="s">
        <v>60</v>
      </c>
      <c r="AM1267" t="s">
        <v>70</v>
      </c>
      <c r="AN1267">
        <f t="shared" si="19"/>
        <v>6</v>
      </c>
    </row>
    <row r="1268" spans="1:40">
      <c r="A1268">
        <v>41</v>
      </c>
      <c r="B1268" t="s">
        <v>51</v>
      </c>
      <c r="C1268" t="s">
        <v>39</v>
      </c>
      <c r="D1268">
        <v>548</v>
      </c>
      <c r="E1268" t="s">
        <v>53</v>
      </c>
      <c r="F1268">
        <v>9</v>
      </c>
      <c r="G1268">
        <v>4</v>
      </c>
      <c r="H1268" t="s">
        <v>41</v>
      </c>
      <c r="I1268">
        <v>1772</v>
      </c>
      <c r="J1268">
        <v>3</v>
      </c>
      <c r="K1268" t="s">
        <v>54</v>
      </c>
      <c r="L1268">
        <v>94</v>
      </c>
      <c r="M1268">
        <v>3</v>
      </c>
      <c r="N1268">
        <v>1</v>
      </c>
      <c r="O1268" t="s">
        <v>63</v>
      </c>
      <c r="P1268">
        <v>1</v>
      </c>
      <c r="Q1268" t="s">
        <v>74</v>
      </c>
      <c r="R1268">
        <v>2289</v>
      </c>
      <c r="S1268">
        <v>20520</v>
      </c>
      <c r="T1268">
        <v>1</v>
      </c>
      <c r="U1268" t="s">
        <v>51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  <c r="AG1268" t="s">
        <v>45</v>
      </c>
      <c r="AH1268" t="s">
        <v>46</v>
      </c>
      <c r="AI1268">
        <v>0</v>
      </c>
      <c r="AJ1268" t="s">
        <v>65</v>
      </c>
      <c r="AK1268" t="s">
        <v>68</v>
      </c>
      <c r="AL1268" t="s">
        <v>73</v>
      </c>
      <c r="AM1268" t="s">
        <v>61</v>
      </c>
      <c r="AN1268">
        <f t="shared" si="19"/>
        <v>6</v>
      </c>
    </row>
    <row r="1269" spans="1:40">
      <c r="A1269">
        <v>34</v>
      </c>
      <c r="B1269" t="s">
        <v>51</v>
      </c>
      <c r="C1269" t="s">
        <v>77</v>
      </c>
      <c r="D1269">
        <v>1375</v>
      </c>
      <c r="E1269" t="s">
        <v>40</v>
      </c>
      <c r="F1269">
        <v>10</v>
      </c>
      <c r="G1269">
        <v>3</v>
      </c>
      <c r="H1269" t="s">
        <v>41</v>
      </c>
      <c r="I1269">
        <v>1774</v>
      </c>
      <c r="J1269">
        <v>4</v>
      </c>
      <c r="K1269" t="s">
        <v>54</v>
      </c>
      <c r="L1269">
        <v>87</v>
      </c>
      <c r="M1269">
        <v>3</v>
      </c>
      <c r="N1269">
        <v>2</v>
      </c>
      <c r="O1269" t="s">
        <v>43</v>
      </c>
      <c r="P1269">
        <v>3</v>
      </c>
      <c r="Q1269" t="s">
        <v>74</v>
      </c>
      <c r="R1269">
        <v>4001</v>
      </c>
      <c r="S1269">
        <v>12313</v>
      </c>
      <c r="T1269">
        <v>1</v>
      </c>
      <c r="U1269" t="s">
        <v>38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  <c r="AG1269" t="s">
        <v>67</v>
      </c>
      <c r="AH1269" t="s">
        <v>46</v>
      </c>
      <c r="AI1269">
        <v>0</v>
      </c>
      <c r="AJ1269" t="s">
        <v>80</v>
      </c>
      <c r="AK1269" t="s">
        <v>72</v>
      </c>
      <c r="AL1269" t="s">
        <v>66</v>
      </c>
      <c r="AM1269" t="s">
        <v>61</v>
      </c>
      <c r="AN1269">
        <f t="shared" si="19"/>
        <v>0</v>
      </c>
    </row>
    <row r="1270" spans="1:40">
      <c r="A1270">
        <v>53</v>
      </c>
      <c r="B1270" t="s">
        <v>51</v>
      </c>
      <c r="C1270" t="s">
        <v>77</v>
      </c>
      <c r="D1270">
        <v>661</v>
      </c>
      <c r="E1270" t="s">
        <v>53</v>
      </c>
      <c r="F1270">
        <v>1</v>
      </c>
      <c r="G1270">
        <v>4</v>
      </c>
      <c r="H1270" t="s">
        <v>69</v>
      </c>
      <c r="I1270">
        <v>1775</v>
      </c>
      <c r="J1270">
        <v>1</v>
      </c>
      <c r="K1270" t="s">
        <v>42</v>
      </c>
      <c r="L1270">
        <v>60</v>
      </c>
      <c r="M1270">
        <v>2</v>
      </c>
      <c r="N1270">
        <v>4</v>
      </c>
      <c r="O1270" t="s">
        <v>75</v>
      </c>
      <c r="P1270">
        <v>3</v>
      </c>
      <c r="Q1270" t="s">
        <v>56</v>
      </c>
      <c r="R1270">
        <v>12965</v>
      </c>
      <c r="S1270">
        <v>22308</v>
      </c>
      <c r="T1270">
        <v>4</v>
      </c>
      <c r="U1270" t="s">
        <v>38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  <c r="AG1270" t="s">
        <v>57</v>
      </c>
      <c r="AH1270" t="s">
        <v>46</v>
      </c>
      <c r="AI1270">
        <v>0</v>
      </c>
      <c r="AJ1270" t="s">
        <v>47</v>
      </c>
      <c r="AK1270" t="s">
        <v>68</v>
      </c>
      <c r="AL1270" t="s">
        <v>66</v>
      </c>
      <c r="AM1270" t="s">
        <v>70</v>
      </c>
      <c r="AN1270">
        <f t="shared" si="19"/>
        <v>2</v>
      </c>
    </row>
    <row r="1271" spans="1:40">
      <c r="A1271">
        <v>43</v>
      </c>
      <c r="B1271" t="s">
        <v>51</v>
      </c>
      <c r="C1271" t="s">
        <v>39</v>
      </c>
      <c r="D1271">
        <v>244</v>
      </c>
      <c r="E1271" t="s">
        <v>88</v>
      </c>
      <c r="F1271">
        <v>2</v>
      </c>
      <c r="G1271">
        <v>3</v>
      </c>
      <c r="H1271" t="s">
        <v>41</v>
      </c>
      <c r="I1271">
        <v>1778</v>
      </c>
      <c r="J1271">
        <v>2</v>
      </c>
      <c r="K1271" t="s">
        <v>54</v>
      </c>
      <c r="L1271">
        <v>97</v>
      </c>
      <c r="M1271">
        <v>3</v>
      </c>
      <c r="N1271">
        <v>1</v>
      </c>
      <c r="O1271" t="s">
        <v>88</v>
      </c>
      <c r="P1271">
        <v>4</v>
      </c>
      <c r="Q1271" t="s">
        <v>44</v>
      </c>
      <c r="R1271">
        <v>3539</v>
      </c>
      <c r="S1271">
        <v>5033</v>
      </c>
      <c r="T1271">
        <v>0</v>
      </c>
      <c r="U1271" t="s">
        <v>51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  <c r="AG1271" t="s">
        <v>45</v>
      </c>
      <c r="AH1271" t="s">
        <v>81</v>
      </c>
      <c r="AI1271">
        <v>0</v>
      </c>
      <c r="AJ1271" t="s">
        <v>58</v>
      </c>
      <c r="AK1271" t="s">
        <v>72</v>
      </c>
      <c r="AL1271" t="s">
        <v>49</v>
      </c>
      <c r="AM1271" t="s">
        <v>61</v>
      </c>
      <c r="AN1271">
        <f t="shared" si="19"/>
        <v>-2</v>
      </c>
    </row>
    <row r="1272" spans="1:40">
      <c r="A1272">
        <v>34</v>
      </c>
      <c r="B1272" t="s">
        <v>51</v>
      </c>
      <c r="C1272" t="s">
        <v>39</v>
      </c>
      <c r="D1272">
        <v>511</v>
      </c>
      <c r="E1272" t="s">
        <v>40</v>
      </c>
      <c r="F1272">
        <v>3</v>
      </c>
      <c r="G1272">
        <v>2</v>
      </c>
      <c r="H1272" t="s">
        <v>41</v>
      </c>
      <c r="I1272">
        <v>1779</v>
      </c>
      <c r="J1272">
        <v>4</v>
      </c>
      <c r="K1272" t="s">
        <v>42</v>
      </c>
      <c r="L1272">
        <v>32</v>
      </c>
      <c r="M1272">
        <v>1</v>
      </c>
      <c r="N1272">
        <v>2</v>
      </c>
      <c r="O1272" t="s">
        <v>43</v>
      </c>
      <c r="P1272">
        <v>4</v>
      </c>
      <c r="Q1272" t="s">
        <v>44</v>
      </c>
      <c r="R1272">
        <v>6029</v>
      </c>
      <c r="S1272">
        <v>25353</v>
      </c>
      <c r="T1272">
        <v>5</v>
      </c>
      <c r="U1272" t="s">
        <v>51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  <c r="AG1272" t="s">
        <v>67</v>
      </c>
      <c r="AH1272" t="s">
        <v>46</v>
      </c>
      <c r="AI1272">
        <v>0</v>
      </c>
      <c r="AJ1272" t="s">
        <v>65</v>
      </c>
      <c r="AK1272" t="s">
        <v>48</v>
      </c>
      <c r="AL1272" t="s">
        <v>49</v>
      </c>
      <c r="AM1272" t="s">
        <v>61</v>
      </c>
      <c r="AN1272">
        <f t="shared" si="19"/>
        <v>-1</v>
      </c>
    </row>
    <row r="1273" spans="1:40">
      <c r="A1273">
        <v>21</v>
      </c>
      <c r="B1273" t="s">
        <v>38</v>
      </c>
      <c r="C1273" t="s">
        <v>39</v>
      </c>
      <c r="D1273">
        <v>337</v>
      </c>
      <c r="E1273" t="s">
        <v>40</v>
      </c>
      <c r="F1273">
        <v>7</v>
      </c>
      <c r="G1273">
        <v>1</v>
      </c>
      <c r="H1273" t="s">
        <v>84</v>
      </c>
      <c r="I1273">
        <v>1780</v>
      </c>
      <c r="J1273">
        <v>2</v>
      </c>
      <c r="K1273" t="s">
        <v>54</v>
      </c>
      <c r="L1273">
        <v>31</v>
      </c>
      <c r="M1273">
        <v>3</v>
      </c>
      <c r="N1273">
        <v>1</v>
      </c>
      <c r="O1273" t="s">
        <v>82</v>
      </c>
      <c r="P1273">
        <v>2</v>
      </c>
      <c r="Q1273" t="s">
        <v>44</v>
      </c>
      <c r="R1273">
        <v>2679</v>
      </c>
      <c r="S1273">
        <v>4567</v>
      </c>
      <c r="T1273">
        <v>1</v>
      </c>
      <c r="U1273" t="s">
        <v>51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  <c r="AG1273" t="s">
        <v>78</v>
      </c>
      <c r="AH1273" t="s">
        <v>81</v>
      </c>
      <c r="AI1273">
        <v>1</v>
      </c>
      <c r="AJ1273" t="s">
        <v>65</v>
      </c>
      <c r="AK1273" t="s">
        <v>59</v>
      </c>
      <c r="AL1273" t="s">
        <v>60</v>
      </c>
      <c r="AM1273" t="s">
        <v>61</v>
      </c>
      <c r="AN1273">
        <f t="shared" si="19"/>
        <v>4</v>
      </c>
    </row>
    <row r="1274" spans="1:40">
      <c r="A1274">
        <v>38</v>
      </c>
      <c r="B1274" t="s">
        <v>51</v>
      </c>
      <c r="C1274" t="s">
        <v>39</v>
      </c>
      <c r="D1274">
        <v>1153</v>
      </c>
      <c r="E1274" t="s">
        <v>53</v>
      </c>
      <c r="F1274">
        <v>6</v>
      </c>
      <c r="G1274">
        <v>2</v>
      </c>
      <c r="H1274" t="s">
        <v>62</v>
      </c>
      <c r="I1274">
        <v>1782</v>
      </c>
      <c r="J1274">
        <v>4</v>
      </c>
      <c r="K1274" t="s">
        <v>42</v>
      </c>
      <c r="L1274">
        <v>40</v>
      </c>
      <c r="M1274">
        <v>2</v>
      </c>
      <c r="N1274">
        <v>1</v>
      </c>
      <c r="O1274" t="s">
        <v>63</v>
      </c>
      <c r="P1274">
        <v>3</v>
      </c>
      <c r="Q1274" t="s">
        <v>56</v>
      </c>
      <c r="R1274">
        <v>3702</v>
      </c>
      <c r="S1274">
        <v>16376</v>
      </c>
      <c r="T1274">
        <v>1</v>
      </c>
      <c r="U1274" t="s">
        <v>51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  <c r="AG1274" t="s">
        <v>45</v>
      </c>
      <c r="AH1274" t="s">
        <v>46</v>
      </c>
      <c r="AI1274">
        <v>0</v>
      </c>
      <c r="AJ1274" t="s">
        <v>65</v>
      </c>
      <c r="AK1274" t="s">
        <v>48</v>
      </c>
      <c r="AL1274" t="s">
        <v>66</v>
      </c>
      <c r="AM1274" t="s">
        <v>61</v>
      </c>
      <c r="AN1274">
        <f t="shared" si="19"/>
        <v>0</v>
      </c>
    </row>
    <row r="1275" spans="1:40">
      <c r="A1275">
        <v>22</v>
      </c>
      <c r="B1275" t="s">
        <v>38</v>
      </c>
      <c r="C1275" t="s">
        <v>39</v>
      </c>
      <c r="D1275">
        <v>1294</v>
      </c>
      <c r="E1275" t="s">
        <v>53</v>
      </c>
      <c r="F1275">
        <v>8</v>
      </c>
      <c r="G1275">
        <v>1</v>
      </c>
      <c r="H1275" t="s">
        <v>69</v>
      </c>
      <c r="I1275">
        <v>1783</v>
      </c>
      <c r="J1275">
        <v>3</v>
      </c>
      <c r="K1275" t="s">
        <v>42</v>
      </c>
      <c r="L1275">
        <v>79</v>
      </c>
      <c r="M1275">
        <v>3</v>
      </c>
      <c r="N1275">
        <v>1</v>
      </c>
      <c r="O1275" t="s">
        <v>63</v>
      </c>
      <c r="P1275">
        <v>1</v>
      </c>
      <c r="Q1275" t="s">
        <v>56</v>
      </c>
      <c r="R1275">
        <v>2398</v>
      </c>
      <c r="S1275">
        <v>15999</v>
      </c>
      <c r="T1275">
        <v>1</v>
      </c>
      <c r="U1275" t="s">
        <v>38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  <c r="AG1275" t="s">
        <v>78</v>
      </c>
      <c r="AH1275" t="s">
        <v>46</v>
      </c>
      <c r="AI1275">
        <v>1</v>
      </c>
      <c r="AJ1275" t="s">
        <v>65</v>
      </c>
      <c r="AK1275" t="s">
        <v>59</v>
      </c>
      <c r="AL1275" t="s">
        <v>73</v>
      </c>
      <c r="AM1275" t="s">
        <v>61</v>
      </c>
      <c r="AN1275">
        <f t="shared" si="19"/>
        <v>6</v>
      </c>
    </row>
    <row r="1276" spans="1:40">
      <c r="A1276">
        <v>31</v>
      </c>
      <c r="B1276" t="s">
        <v>51</v>
      </c>
      <c r="C1276" t="s">
        <v>39</v>
      </c>
      <c r="D1276">
        <v>196</v>
      </c>
      <c r="E1276" t="s">
        <v>40</v>
      </c>
      <c r="F1276">
        <v>29</v>
      </c>
      <c r="G1276">
        <v>4</v>
      </c>
      <c r="H1276" t="s">
        <v>84</v>
      </c>
      <c r="I1276">
        <v>1784</v>
      </c>
      <c r="J1276">
        <v>1</v>
      </c>
      <c r="K1276" t="s">
        <v>42</v>
      </c>
      <c r="L1276">
        <v>91</v>
      </c>
      <c r="M1276">
        <v>2</v>
      </c>
      <c r="N1276">
        <v>2</v>
      </c>
      <c r="O1276" t="s">
        <v>43</v>
      </c>
      <c r="P1276">
        <v>4</v>
      </c>
      <c r="Q1276" t="s">
        <v>56</v>
      </c>
      <c r="R1276">
        <v>5468</v>
      </c>
      <c r="S1276">
        <v>13402</v>
      </c>
      <c r="T1276">
        <v>1</v>
      </c>
      <c r="U1276" t="s">
        <v>51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  <c r="AG1276" t="s">
        <v>67</v>
      </c>
      <c r="AH1276" t="s">
        <v>46</v>
      </c>
      <c r="AI1276">
        <v>0</v>
      </c>
      <c r="AJ1276" t="s">
        <v>80</v>
      </c>
      <c r="AK1276" t="s">
        <v>68</v>
      </c>
      <c r="AL1276" t="s">
        <v>49</v>
      </c>
      <c r="AM1276" t="s">
        <v>61</v>
      </c>
      <c r="AN1276">
        <f t="shared" si="19"/>
        <v>2</v>
      </c>
    </row>
    <row r="1277" spans="1:40">
      <c r="A1277">
        <v>51</v>
      </c>
      <c r="B1277" t="s">
        <v>51</v>
      </c>
      <c r="C1277" t="s">
        <v>39</v>
      </c>
      <c r="D1277">
        <v>942</v>
      </c>
      <c r="E1277" t="s">
        <v>53</v>
      </c>
      <c r="F1277">
        <v>3</v>
      </c>
      <c r="G1277">
        <v>3</v>
      </c>
      <c r="H1277" t="s">
        <v>86</v>
      </c>
      <c r="I1277">
        <v>1786</v>
      </c>
      <c r="J1277">
        <v>1</v>
      </c>
      <c r="K1277" t="s">
        <v>42</v>
      </c>
      <c r="L1277">
        <v>53</v>
      </c>
      <c r="M1277">
        <v>3</v>
      </c>
      <c r="N1277">
        <v>3</v>
      </c>
      <c r="O1277" t="s">
        <v>79</v>
      </c>
      <c r="P1277">
        <v>3</v>
      </c>
      <c r="Q1277" t="s">
        <v>56</v>
      </c>
      <c r="R1277">
        <v>13116</v>
      </c>
      <c r="S1277">
        <v>22984</v>
      </c>
      <c r="T1277">
        <v>2</v>
      </c>
      <c r="U1277" t="s">
        <v>51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  <c r="AG1277" t="s">
        <v>57</v>
      </c>
      <c r="AH1277" t="s">
        <v>46</v>
      </c>
      <c r="AI1277">
        <v>0</v>
      </c>
      <c r="AJ1277" t="s">
        <v>65</v>
      </c>
      <c r="AK1277" t="s">
        <v>72</v>
      </c>
      <c r="AL1277" t="s">
        <v>66</v>
      </c>
      <c r="AM1277" t="s">
        <v>61</v>
      </c>
      <c r="AN1277">
        <f t="shared" si="19"/>
        <v>2</v>
      </c>
    </row>
    <row r="1278" spans="1:40">
      <c r="A1278">
        <v>37</v>
      </c>
      <c r="B1278" t="s">
        <v>51</v>
      </c>
      <c r="C1278" t="s">
        <v>39</v>
      </c>
      <c r="D1278">
        <v>589</v>
      </c>
      <c r="E1278" t="s">
        <v>40</v>
      </c>
      <c r="F1278">
        <v>9</v>
      </c>
      <c r="G1278">
        <v>2</v>
      </c>
      <c r="H1278" t="s">
        <v>84</v>
      </c>
      <c r="I1278">
        <v>1787</v>
      </c>
      <c r="J1278">
        <v>2</v>
      </c>
      <c r="K1278" t="s">
        <v>54</v>
      </c>
      <c r="L1278">
        <v>46</v>
      </c>
      <c r="M1278">
        <v>2</v>
      </c>
      <c r="N1278">
        <v>2</v>
      </c>
      <c r="O1278" t="s">
        <v>43</v>
      </c>
      <c r="P1278">
        <v>2</v>
      </c>
      <c r="Q1278" t="s">
        <v>56</v>
      </c>
      <c r="R1278">
        <v>4189</v>
      </c>
      <c r="S1278">
        <v>8800</v>
      </c>
      <c r="T1278">
        <v>1</v>
      </c>
      <c r="U1278" t="s">
        <v>51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  <c r="AG1278" t="s">
        <v>45</v>
      </c>
      <c r="AH1278" t="s">
        <v>71</v>
      </c>
      <c r="AI1278">
        <v>0</v>
      </c>
      <c r="AJ1278" t="s">
        <v>65</v>
      </c>
      <c r="AK1278" t="s">
        <v>48</v>
      </c>
      <c r="AL1278" t="s">
        <v>60</v>
      </c>
      <c r="AM1278" t="s">
        <v>61</v>
      </c>
      <c r="AN1278">
        <f t="shared" si="19"/>
        <v>3</v>
      </c>
    </row>
    <row r="1279" spans="1:40">
      <c r="A1279">
        <v>46</v>
      </c>
      <c r="B1279" t="s">
        <v>51</v>
      </c>
      <c r="C1279" t="s">
        <v>39</v>
      </c>
      <c r="D1279">
        <v>734</v>
      </c>
      <c r="E1279" t="s">
        <v>53</v>
      </c>
      <c r="F1279">
        <v>2</v>
      </c>
      <c r="G1279">
        <v>4</v>
      </c>
      <c r="H1279" t="s">
        <v>69</v>
      </c>
      <c r="I1279">
        <v>1789</v>
      </c>
      <c r="J1279">
        <v>3</v>
      </c>
      <c r="K1279" t="s">
        <v>54</v>
      </c>
      <c r="L1279">
        <v>46</v>
      </c>
      <c r="M1279">
        <v>3</v>
      </c>
      <c r="N1279">
        <v>5</v>
      </c>
      <c r="O1279" t="s">
        <v>83</v>
      </c>
      <c r="P1279">
        <v>4</v>
      </c>
      <c r="Q1279" t="s">
        <v>74</v>
      </c>
      <c r="R1279">
        <v>19328</v>
      </c>
      <c r="S1279">
        <v>14218</v>
      </c>
      <c r="T1279">
        <v>7</v>
      </c>
      <c r="U1279" t="s">
        <v>38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  <c r="AG1279" t="s">
        <v>57</v>
      </c>
      <c r="AH1279" t="s">
        <v>46</v>
      </c>
      <c r="AI1279">
        <v>0</v>
      </c>
      <c r="AJ1279" t="s">
        <v>65</v>
      </c>
      <c r="AK1279" t="s">
        <v>68</v>
      </c>
      <c r="AL1279" t="s">
        <v>49</v>
      </c>
      <c r="AM1279" t="s">
        <v>61</v>
      </c>
      <c r="AN1279">
        <f t="shared" si="19"/>
        <v>-1</v>
      </c>
    </row>
    <row r="1280" spans="1:40">
      <c r="A1280">
        <v>36</v>
      </c>
      <c r="B1280" t="s">
        <v>51</v>
      </c>
      <c r="C1280" t="s">
        <v>39</v>
      </c>
      <c r="D1280">
        <v>1383</v>
      </c>
      <c r="E1280" t="s">
        <v>53</v>
      </c>
      <c r="F1280">
        <v>10</v>
      </c>
      <c r="G1280">
        <v>3</v>
      </c>
      <c r="H1280" t="s">
        <v>41</v>
      </c>
      <c r="I1280">
        <v>1790</v>
      </c>
      <c r="J1280">
        <v>4</v>
      </c>
      <c r="K1280" t="s">
        <v>54</v>
      </c>
      <c r="L1280">
        <v>90</v>
      </c>
      <c r="M1280">
        <v>3</v>
      </c>
      <c r="N1280">
        <v>3</v>
      </c>
      <c r="O1280" t="s">
        <v>76</v>
      </c>
      <c r="P1280">
        <v>1</v>
      </c>
      <c r="Q1280" t="s">
        <v>56</v>
      </c>
      <c r="R1280">
        <v>8321</v>
      </c>
      <c r="S1280">
        <v>25949</v>
      </c>
      <c r="T1280">
        <v>7</v>
      </c>
      <c r="U1280" t="s">
        <v>38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  <c r="AG1280" t="s">
        <v>45</v>
      </c>
      <c r="AH1280" t="s">
        <v>46</v>
      </c>
      <c r="AI1280">
        <v>0</v>
      </c>
      <c r="AJ1280" t="s">
        <v>80</v>
      </c>
      <c r="AK1280" t="s">
        <v>72</v>
      </c>
      <c r="AL1280" t="s">
        <v>73</v>
      </c>
      <c r="AM1280" t="s">
        <v>61</v>
      </c>
      <c r="AN1280">
        <f t="shared" si="19"/>
        <v>11</v>
      </c>
    </row>
    <row r="1281" spans="1:40">
      <c r="A1281">
        <v>44</v>
      </c>
      <c r="B1281" t="s">
        <v>38</v>
      </c>
      <c r="C1281" t="s">
        <v>52</v>
      </c>
      <c r="D1281">
        <v>429</v>
      </c>
      <c r="E1281" t="s">
        <v>53</v>
      </c>
      <c r="F1281">
        <v>1</v>
      </c>
      <c r="G1281">
        <v>2</v>
      </c>
      <c r="H1281" t="s">
        <v>69</v>
      </c>
      <c r="I1281">
        <v>1792</v>
      </c>
      <c r="J1281">
        <v>3</v>
      </c>
      <c r="K1281" t="s">
        <v>54</v>
      </c>
      <c r="L1281">
        <v>99</v>
      </c>
      <c r="M1281">
        <v>3</v>
      </c>
      <c r="N1281">
        <v>1</v>
      </c>
      <c r="O1281" t="s">
        <v>55</v>
      </c>
      <c r="P1281">
        <v>2</v>
      </c>
      <c r="Q1281" t="s">
        <v>74</v>
      </c>
      <c r="R1281">
        <v>2342</v>
      </c>
      <c r="S1281">
        <v>11092</v>
      </c>
      <c r="T1281">
        <v>1</v>
      </c>
      <c r="U1281" t="s">
        <v>38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  <c r="AG1281" t="s">
        <v>45</v>
      </c>
      <c r="AH1281" t="s">
        <v>46</v>
      </c>
      <c r="AI1281">
        <v>1</v>
      </c>
      <c r="AJ1281" t="s">
        <v>47</v>
      </c>
      <c r="AK1281" t="s">
        <v>48</v>
      </c>
      <c r="AL1281" t="s">
        <v>60</v>
      </c>
      <c r="AM1281" t="s">
        <v>70</v>
      </c>
      <c r="AN1281">
        <f t="shared" si="19"/>
        <v>7</v>
      </c>
    </row>
    <row r="1282" spans="1:40">
      <c r="A1282">
        <v>37</v>
      </c>
      <c r="B1282" t="s">
        <v>51</v>
      </c>
      <c r="C1282" t="s">
        <v>39</v>
      </c>
      <c r="D1282">
        <v>1239</v>
      </c>
      <c r="E1282" t="s">
        <v>88</v>
      </c>
      <c r="F1282">
        <v>8</v>
      </c>
      <c r="G1282">
        <v>2</v>
      </c>
      <c r="H1282" t="s">
        <v>62</v>
      </c>
      <c r="I1282">
        <v>1794</v>
      </c>
      <c r="J1282">
        <v>3</v>
      </c>
      <c r="K1282" t="s">
        <v>54</v>
      </c>
      <c r="L1282">
        <v>89</v>
      </c>
      <c r="M1282">
        <v>3</v>
      </c>
      <c r="N1282">
        <v>2</v>
      </c>
      <c r="O1282" t="s">
        <v>88</v>
      </c>
      <c r="P1282">
        <v>2</v>
      </c>
      <c r="Q1282" t="s">
        <v>74</v>
      </c>
      <c r="R1282">
        <v>4071</v>
      </c>
      <c r="S1282">
        <v>12832</v>
      </c>
      <c r="T1282">
        <v>2</v>
      </c>
      <c r="U1282" t="s">
        <v>51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  <c r="AG1282" t="s">
        <v>45</v>
      </c>
      <c r="AH1282" t="s">
        <v>46</v>
      </c>
      <c r="AI1282">
        <v>0</v>
      </c>
      <c r="AJ1282" t="s">
        <v>47</v>
      </c>
      <c r="AK1282" t="s">
        <v>48</v>
      </c>
      <c r="AL1282" t="s">
        <v>60</v>
      </c>
      <c r="AM1282" t="s">
        <v>70</v>
      </c>
      <c r="AN1282">
        <f t="shared" si="19"/>
        <v>9</v>
      </c>
    </row>
    <row r="1283" spans="1:40">
      <c r="A1283">
        <v>35</v>
      </c>
      <c r="B1283" t="s">
        <v>38</v>
      </c>
      <c r="C1283" t="s">
        <v>39</v>
      </c>
      <c r="D1283">
        <v>303</v>
      </c>
      <c r="E1283" t="s">
        <v>40</v>
      </c>
      <c r="F1283">
        <v>27</v>
      </c>
      <c r="G1283">
        <v>3</v>
      </c>
      <c r="H1283" t="s">
        <v>41</v>
      </c>
      <c r="I1283">
        <v>1797</v>
      </c>
      <c r="J1283">
        <v>3</v>
      </c>
      <c r="K1283" t="s">
        <v>54</v>
      </c>
      <c r="L1283">
        <v>84</v>
      </c>
      <c r="M1283">
        <v>3</v>
      </c>
      <c r="N1283">
        <v>2</v>
      </c>
      <c r="O1283" t="s">
        <v>43</v>
      </c>
      <c r="P1283">
        <v>4</v>
      </c>
      <c r="Q1283" t="s">
        <v>44</v>
      </c>
      <c r="R1283">
        <v>5813</v>
      </c>
      <c r="S1283">
        <v>13492</v>
      </c>
      <c r="T1283">
        <v>1</v>
      </c>
      <c r="U1283" t="s">
        <v>38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  <c r="AG1283" t="s">
        <v>67</v>
      </c>
      <c r="AH1283" t="s">
        <v>46</v>
      </c>
      <c r="AI1283">
        <v>1</v>
      </c>
      <c r="AJ1283" t="s">
        <v>58</v>
      </c>
      <c r="AK1283" t="s">
        <v>72</v>
      </c>
      <c r="AL1283" t="s">
        <v>49</v>
      </c>
      <c r="AM1283" t="s">
        <v>61</v>
      </c>
      <c r="AN1283">
        <f t="shared" ref="AN1283:AN1346" si="20">((3-P1283)*3+((3-AB1283)*2+AE1283))</f>
        <v>4</v>
      </c>
    </row>
    <row r="1284" spans="1:40">
      <c r="A1284">
        <v>33</v>
      </c>
      <c r="B1284" t="s">
        <v>51</v>
      </c>
      <c r="C1284" t="s">
        <v>39</v>
      </c>
      <c r="D1284">
        <v>867</v>
      </c>
      <c r="E1284" t="s">
        <v>53</v>
      </c>
      <c r="F1284">
        <v>8</v>
      </c>
      <c r="G1284">
        <v>4</v>
      </c>
      <c r="H1284" t="s">
        <v>41</v>
      </c>
      <c r="I1284">
        <v>1798</v>
      </c>
      <c r="J1284">
        <v>4</v>
      </c>
      <c r="K1284" t="s">
        <v>54</v>
      </c>
      <c r="L1284">
        <v>90</v>
      </c>
      <c r="M1284">
        <v>4</v>
      </c>
      <c r="N1284">
        <v>1</v>
      </c>
      <c r="O1284" t="s">
        <v>55</v>
      </c>
      <c r="P1284">
        <v>1</v>
      </c>
      <c r="Q1284" t="s">
        <v>56</v>
      </c>
      <c r="R1284">
        <v>3143</v>
      </c>
      <c r="S1284">
        <v>6076</v>
      </c>
      <c r="T1284">
        <v>6</v>
      </c>
      <c r="U1284" t="s">
        <v>51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  <c r="AG1284" t="s">
        <v>67</v>
      </c>
      <c r="AH1284" t="s">
        <v>71</v>
      </c>
      <c r="AI1284">
        <v>0</v>
      </c>
      <c r="AJ1284" t="s">
        <v>58</v>
      </c>
      <c r="AK1284" t="s">
        <v>68</v>
      </c>
      <c r="AL1284" t="s">
        <v>73</v>
      </c>
      <c r="AM1284" t="s">
        <v>61</v>
      </c>
      <c r="AN1284">
        <f t="shared" si="20"/>
        <v>13</v>
      </c>
    </row>
    <row r="1285" spans="1:40">
      <c r="A1285">
        <v>28</v>
      </c>
      <c r="B1285" t="s">
        <v>51</v>
      </c>
      <c r="C1285" t="s">
        <v>39</v>
      </c>
      <c r="D1285">
        <v>1181</v>
      </c>
      <c r="E1285" t="s">
        <v>53</v>
      </c>
      <c r="F1285">
        <v>1</v>
      </c>
      <c r="G1285">
        <v>3</v>
      </c>
      <c r="H1285" t="s">
        <v>41</v>
      </c>
      <c r="I1285">
        <v>1799</v>
      </c>
      <c r="J1285">
        <v>3</v>
      </c>
      <c r="K1285" t="s">
        <v>54</v>
      </c>
      <c r="L1285">
        <v>82</v>
      </c>
      <c r="M1285">
        <v>3</v>
      </c>
      <c r="N1285">
        <v>1</v>
      </c>
      <c r="O1285" t="s">
        <v>55</v>
      </c>
      <c r="P1285">
        <v>4</v>
      </c>
      <c r="Q1285" t="s">
        <v>56</v>
      </c>
      <c r="R1285">
        <v>2044</v>
      </c>
      <c r="S1285">
        <v>5531</v>
      </c>
      <c r="T1285">
        <v>1</v>
      </c>
      <c r="U1285" t="s">
        <v>51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  <c r="AG1285" t="s">
        <v>67</v>
      </c>
      <c r="AH1285" t="s">
        <v>81</v>
      </c>
      <c r="AI1285">
        <v>0</v>
      </c>
      <c r="AJ1285" t="s">
        <v>65</v>
      </c>
      <c r="AK1285" t="s">
        <v>72</v>
      </c>
      <c r="AL1285" t="s">
        <v>49</v>
      </c>
      <c r="AM1285" t="s">
        <v>85</v>
      </c>
      <c r="AN1285">
        <f t="shared" si="20"/>
        <v>-5</v>
      </c>
    </row>
    <row r="1286" spans="1:40">
      <c r="A1286">
        <v>39</v>
      </c>
      <c r="B1286" t="s">
        <v>51</v>
      </c>
      <c r="C1286" t="s">
        <v>39</v>
      </c>
      <c r="D1286">
        <v>1253</v>
      </c>
      <c r="E1286" t="s">
        <v>53</v>
      </c>
      <c r="F1286">
        <v>10</v>
      </c>
      <c r="G1286">
        <v>1</v>
      </c>
      <c r="H1286" t="s">
        <v>69</v>
      </c>
      <c r="I1286">
        <v>1800</v>
      </c>
      <c r="J1286">
        <v>3</v>
      </c>
      <c r="K1286" t="s">
        <v>54</v>
      </c>
      <c r="L1286">
        <v>65</v>
      </c>
      <c r="M1286">
        <v>3</v>
      </c>
      <c r="N1286">
        <v>3</v>
      </c>
      <c r="O1286" t="s">
        <v>83</v>
      </c>
      <c r="P1286">
        <v>3</v>
      </c>
      <c r="Q1286" t="s">
        <v>44</v>
      </c>
      <c r="R1286">
        <v>13464</v>
      </c>
      <c r="S1286">
        <v>7914</v>
      </c>
      <c r="T1286">
        <v>7</v>
      </c>
      <c r="U1286" t="s">
        <v>51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  <c r="AG1286" t="s">
        <v>45</v>
      </c>
      <c r="AH1286" t="s">
        <v>71</v>
      </c>
      <c r="AI1286">
        <v>0</v>
      </c>
      <c r="AJ1286" t="s">
        <v>65</v>
      </c>
      <c r="AK1286" t="s">
        <v>59</v>
      </c>
      <c r="AL1286" t="s">
        <v>66</v>
      </c>
      <c r="AM1286" t="s">
        <v>61</v>
      </c>
      <c r="AN1286">
        <f t="shared" si="20"/>
        <v>2</v>
      </c>
    </row>
    <row r="1287" spans="1:40">
      <c r="A1287">
        <v>46</v>
      </c>
      <c r="B1287" t="s">
        <v>51</v>
      </c>
      <c r="C1287" t="s">
        <v>77</v>
      </c>
      <c r="D1287">
        <v>849</v>
      </c>
      <c r="E1287" t="s">
        <v>40</v>
      </c>
      <c r="F1287">
        <v>26</v>
      </c>
      <c r="G1287">
        <v>2</v>
      </c>
      <c r="H1287" t="s">
        <v>41</v>
      </c>
      <c r="I1287">
        <v>1801</v>
      </c>
      <c r="J1287">
        <v>2</v>
      </c>
      <c r="K1287" t="s">
        <v>54</v>
      </c>
      <c r="L1287">
        <v>98</v>
      </c>
      <c r="M1287">
        <v>2</v>
      </c>
      <c r="N1287">
        <v>2</v>
      </c>
      <c r="O1287" t="s">
        <v>43</v>
      </c>
      <c r="P1287">
        <v>2</v>
      </c>
      <c r="Q1287" t="s">
        <v>44</v>
      </c>
      <c r="R1287">
        <v>7991</v>
      </c>
      <c r="S1287">
        <v>25166</v>
      </c>
      <c r="T1287">
        <v>8</v>
      </c>
      <c r="U1287" t="s">
        <v>51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  <c r="AG1287" t="s">
        <v>57</v>
      </c>
      <c r="AH1287" t="s">
        <v>46</v>
      </c>
      <c r="AI1287">
        <v>0</v>
      </c>
      <c r="AJ1287" t="s">
        <v>65</v>
      </c>
      <c r="AK1287" t="s">
        <v>48</v>
      </c>
      <c r="AL1287" t="s">
        <v>60</v>
      </c>
      <c r="AM1287" t="s">
        <v>61</v>
      </c>
      <c r="AN1287">
        <f t="shared" si="20"/>
        <v>5</v>
      </c>
    </row>
    <row r="1288" spans="1:40">
      <c r="A1288">
        <v>40</v>
      </c>
      <c r="B1288" t="s">
        <v>51</v>
      </c>
      <c r="C1288" t="s">
        <v>39</v>
      </c>
      <c r="D1288">
        <v>616</v>
      </c>
      <c r="E1288" t="s">
        <v>53</v>
      </c>
      <c r="F1288">
        <v>2</v>
      </c>
      <c r="G1288">
        <v>2</v>
      </c>
      <c r="H1288" t="s">
        <v>41</v>
      </c>
      <c r="I1288">
        <v>1802</v>
      </c>
      <c r="J1288">
        <v>3</v>
      </c>
      <c r="K1288" t="s">
        <v>42</v>
      </c>
      <c r="L1288">
        <v>99</v>
      </c>
      <c r="M1288">
        <v>3</v>
      </c>
      <c r="N1288">
        <v>1</v>
      </c>
      <c r="O1288" t="s">
        <v>63</v>
      </c>
      <c r="P1288">
        <v>1</v>
      </c>
      <c r="Q1288" t="s">
        <v>56</v>
      </c>
      <c r="R1288">
        <v>3377</v>
      </c>
      <c r="S1288">
        <v>25605</v>
      </c>
      <c r="T1288">
        <v>4</v>
      </c>
      <c r="U1288" t="s">
        <v>51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  <c r="AG1288" t="s">
        <v>45</v>
      </c>
      <c r="AH1288" t="s">
        <v>46</v>
      </c>
      <c r="AI1288">
        <v>0</v>
      </c>
      <c r="AJ1288" t="s">
        <v>47</v>
      </c>
      <c r="AK1288" t="s">
        <v>48</v>
      </c>
      <c r="AL1288" t="s">
        <v>73</v>
      </c>
      <c r="AM1288" t="s">
        <v>70</v>
      </c>
      <c r="AN1288">
        <f t="shared" si="20"/>
        <v>8</v>
      </c>
    </row>
    <row r="1289" spans="1:40">
      <c r="A1289">
        <v>42</v>
      </c>
      <c r="B1289" t="s">
        <v>51</v>
      </c>
      <c r="C1289" t="s">
        <v>39</v>
      </c>
      <c r="D1289">
        <v>1128</v>
      </c>
      <c r="E1289" t="s">
        <v>53</v>
      </c>
      <c r="F1289">
        <v>13</v>
      </c>
      <c r="G1289">
        <v>3</v>
      </c>
      <c r="H1289" t="s">
        <v>69</v>
      </c>
      <c r="I1289">
        <v>1803</v>
      </c>
      <c r="J1289">
        <v>2</v>
      </c>
      <c r="K1289" t="s">
        <v>54</v>
      </c>
      <c r="L1289">
        <v>95</v>
      </c>
      <c r="M1289">
        <v>4</v>
      </c>
      <c r="N1289">
        <v>2</v>
      </c>
      <c r="O1289" t="s">
        <v>76</v>
      </c>
      <c r="P1289">
        <v>1</v>
      </c>
      <c r="Q1289" t="s">
        <v>56</v>
      </c>
      <c r="R1289">
        <v>5538</v>
      </c>
      <c r="S1289">
        <v>5696</v>
      </c>
      <c r="T1289">
        <v>5</v>
      </c>
      <c r="U1289" t="s">
        <v>51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  <c r="AG1289" t="s">
        <v>45</v>
      </c>
      <c r="AH1289" t="s">
        <v>81</v>
      </c>
      <c r="AI1289">
        <v>0</v>
      </c>
      <c r="AJ1289" t="s">
        <v>47</v>
      </c>
      <c r="AK1289" t="s">
        <v>72</v>
      </c>
      <c r="AL1289" t="s">
        <v>73</v>
      </c>
      <c r="AM1289" t="s">
        <v>70</v>
      </c>
      <c r="AN1289">
        <f t="shared" si="20"/>
        <v>8</v>
      </c>
    </row>
    <row r="1290" spans="1:40">
      <c r="A1290">
        <v>35</v>
      </c>
      <c r="B1290" t="s">
        <v>51</v>
      </c>
      <c r="C1290" t="s">
        <v>77</v>
      </c>
      <c r="D1290">
        <v>1180</v>
      </c>
      <c r="E1290" t="s">
        <v>53</v>
      </c>
      <c r="F1290">
        <v>2</v>
      </c>
      <c r="G1290">
        <v>2</v>
      </c>
      <c r="H1290" t="s">
        <v>69</v>
      </c>
      <c r="I1290">
        <v>1804</v>
      </c>
      <c r="J1290">
        <v>2</v>
      </c>
      <c r="K1290" t="s">
        <v>54</v>
      </c>
      <c r="L1290">
        <v>90</v>
      </c>
      <c r="M1290">
        <v>3</v>
      </c>
      <c r="N1290">
        <v>2</v>
      </c>
      <c r="O1290" t="s">
        <v>75</v>
      </c>
      <c r="P1290">
        <v>4</v>
      </c>
      <c r="Q1290" t="s">
        <v>74</v>
      </c>
      <c r="R1290">
        <v>5762</v>
      </c>
      <c r="S1290">
        <v>24442</v>
      </c>
      <c r="T1290">
        <v>2</v>
      </c>
      <c r="U1290" t="s">
        <v>51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  <c r="AG1290" t="s">
        <v>67</v>
      </c>
      <c r="AH1290" t="s">
        <v>46</v>
      </c>
      <c r="AI1290">
        <v>0</v>
      </c>
      <c r="AJ1290" t="s">
        <v>58</v>
      </c>
      <c r="AK1290" t="s">
        <v>48</v>
      </c>
      <c r="AL1290" t="s">
        <v>49</v>
      </c>
      <c r="AM1290" t="s">
        <v>61</v>
      </c>
      <c r="AN1290">
        <f t="shared" si="20"/>
        <v>-2</v>
      </c>
    </row>
    <row r="1291" spans="1:40">
      <c r="A1291">
        <v>38</v>
      </c>
      <c r="B1291" t="s">
        <v>51</v>
      </c>
      <c r="C1291" t="s">
        <v>77</v>
      </c>
      <c r="D1291">
        <v>1336</v>
      </c>
      <c r="E1291" t="s">
        <v>88</v>
      </c>
      <c r="F1291">
        <v>2</v>
      </c>
      <c r="G1291">
        <v>3</v>
      </c>
      <c r="H1291" t="s">
        <v>88</v>
      </c>
      <c r="I1291">
        <v>1805</v>
      </c>
      <c r="J1291">
        <v>1</v>
      </c>
      <c r="K1291" t="s">
        <v>54</v>
      </c>
      <c r="L1291">
        <v>100</v>
      </c>
      <c r="M1291">
        <v>3</v>
      </c>
      <c r="N1291">
        <v>1</v>
      </c>
      <c r="O1291" t="s">
        <v>88</v>
      </c>
      <c r="P1291">
        <v>2</v>
      </c>
      <c r="Q1291" t="s">
        <v>74</v>
      </c>
      <c r="R1291">
        <v>2592</v>
      </c>
      <c r="S1291">
        <v>7129</v>
      </c>
      <c r="T1291">
        <v>5</v>
      </c>
      <c r="U1291" t="s">
        <v>51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  <c r="AG1291" t="s">
        <v>45</v>
      </c>
      <c r="AH1291" t="s">
        <v>71</v>
      </c>
      <c r="AI1291">
        <v>0</v>
      </c>
      <c r="AJ1291" t="s">
        <v>80</v>
      </c>
      <c r="AK1291" t="s">
        <v>72</v>
      </c>
      <c r="AL1291" t="s">
        <v>60</v>
      </c>
      <c r="AM1291" t="s">
        <v>61</v>
      </c>
      <c r="AN1291">
        <f t="shared" si="20"/>
        <v>6</v>
      </c>
    </row>
    <row r="1292" spans="1:40">
      <c r="A1292">
        <v>34</v>
      </c>
      <c r="B1292" t="s">
        <v>38</v>
      </c>
      <c r="C1292" t="s">
        <v>52</v>
      </c>
      <c r="D1292">
        <v>234</v>
      </c>
      <c r="E1292" t="s">
        <v>53</v>
      </c>
      <c r="F1292">
        <v>9</v>
      </c>
      <c r="G1292">
        <v>4</v>
      </c>
      <c r="H1292" t="s">
        <v>41</v>
      </c>
      <c r="I1292">
        <v>1807</v>
      </c>
      <c r="J1292">
        <v>4</v>
      </c>
      <c r="K1292" t="s">
        <v>54</v>
      </c>
      <c r="L1292">
        <v>93</v>
      </c>
      <c r="M1292">
        <v>3</v>
      </c>
      <c r="N1292">
        <v>2</v>
      </c>
      <c r="O1292" t="s">
        <v>63</v>
      </c>
      <c r="P1292">
        <v>1</v>
      </c>
      <c r="Q1292" t="s">
        <v>56</v>
      </c>
      <c r="R1292">
        <v>5346</v>
      </c>
      <c r="S1292">
        <v>6208</v>
      </c>
      <c r="T1292">
        <v>4</v>
      </c>
      <c r="U1292" t="s">
        <v>51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  <c r="AG1292" t="s">
        <v>67</v>
      </c>
      <c r="AH1292" t="s">
        <v>71</v>
      </c>
      <c r="AI1292">
        <v>1</v>
      </c>
      <c r="AJ1292" t="s">
        <v>47</v>
      </c>
      <c r="AK1292" t="s">
        <v>68</v>
      </c>
      <c r="AL1292" t="s">
        <v>73</v>
      </c>
      <c r="AM1292" t="s">
        <v>70</v>
      </c>
      <c r="AN1292">
        <f t="shared" si="20"/>
        <v>8</v>
      </c>
    </row>
    <row r="1293" spans="1:40">
      <c r="A1293">
        <v>37</v>
      </c>
      <c r="B1293" t="s">
        <v>38</v>
      </c>
      <c r="C1293" t="s">
        <v>39</v>
      </c>
      <c r="D1293">
        <v>370</v>
      </c>
      <c r="E1293" t="s">
        <v>53</v>
      </c>
      <c r="F1293">
        <v>10</v>
      </c>
      <c r="G1293">
        <v>4</v>
      </c>
      <c r="H1293" t="s">
        <v>69</v>
      </c>
      <c r="I1293">
        <v>1809</v>
      </c>
      <c r="J1293">
        <v>4</v>
      </c>
      <c r="K1293" t="s">
        <v>54</v>
      </c>
      <c r="L1293">
        <v>58</v>
      </c>
      <c r="M1293">
        <v>3</v>
      </c>
      <c r="N1293">
        <v>2</v>
      </c>
      <c r="O1293" t="s">
        <v>75</v>
      </c>
      <c r="P1293">
        <v>1</v>
      </c>
      <c r="Q1293" t="s">
        <v>44</v>
      </c>
      <c r="R1293">
        <v>4213</v>
      </c>
      <c r="S1293">
        <v>4992</v>
      </c>
      <c r="T1293">
        <v>1</v>
      </c>
      <c r="U1293" t="s">
        <v>51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  <c r="AG1293" t="s">
        <v>45</v>
      </c>
      <c r="AH1293" t="s">
        <v>81</v>
      </c>
      <c r="AI1293">
        <v>1</v>
      </c>
      <c r="AJ1293" t="s">
        <v>47</v>
      </c>
      <c r="AK1293" t="s">
        <v>68</v>
      </c>
      <c r="AL1293" t="s">
        <v>73</v>
      </c>
      <c r="AM1293" t="s">
        <v>50</v>
      </c>
      <c r="AN1293">
        <f t="shared" si="20"/>
        <v>10</v>
      </c>
    </row>
    <row r="1294" spans="1:40">
      <c r="A1294">
        <v>39</v>
      </c>
      <c r="B1294" t="s">
        <v>51</v>
      </c>
      <c r="C1294" t="s">
        <v>52</v>
      </c>
      <c r="D1294">
        <v>766</v>
      </c>
      <c r="E1294" t="s">
        <v>40</v>
      </c>
      <c r="F1294">
        <v>20</v>
      </c>
      <c r="G1294">
        <v>3</v>
      </c>
      <c r="H1294" t="s">
        <v>41</v>
      </c>
      <c r="I1294">
        <v>1812</v>
      </c>
      <c r="J1294">
        <v>3</v>
      </c>
      <c r="K1294" t="s">
        <v>54</v>
      </c>
      <c r="L1294">
        <v>83</v>
      </c>
      <c r="M1294">
        <v>3</v>
      </c>
      <c r="N1294">
        <v>2</v>
      </c>
      <c r="O1294" t="s">
        <v>43</v>
      </c>
      <c r="P1294">
        <v>4</v>
      </c>
      <c r="Q1294" t="s">
        <v>74</v>
      </c>
      <c r="R1294">
        <v>4127</v>
      </c>
      <c r="S1294">
        <v>19188</v>
      </c>
      <c r="T1294">
        <v>2</v>
      </c>
      <c r="U1294" t="s">
        <v>51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  <c r="AG1294" t="s">
        <v>45</v>
      </c>
      <c r="AH1294" t="s">
        <v>46</v>
      </c>
      <c r="AI1294">
        <v>0</v>
      </c>
      <c r="AJ1294" t="s">
        <v>65</v>
      </c>
      <c r="AK1294" t="s">
        <v>72</v>
      </c>
      <c r="AL1294" t="s">
        <v>49</v>
      </c>
      <c r="AM1294" t="s">
        <v>61</v>
      </c>
      <c r="AN1294">
        <f t="shared" si="20"/>
        <v>-1</v>
      </c>
    </row>
    <row r="1295" spans="1:40">
      <c r="A1295">
        <v>43</v>
      </c>
      <c r="B1295" t="s">
        <v>51</v>
      </c>
      <c r="C1295" t="s">
        <v>77</v>
      </c>
      <c r="D1295">
        <v>343</v>
      </c>
      <c r="E1295" t="s">
        <v>53</v>
      </c>
      <c r="F1295">
        <v>9</v>
      </c>
      <c r="G1295">
        <v>3</v>
      </c>
      <c r="H1295" t="s">
        <v>41</v>
      </c>
      <c r="I1295">
        <v>1813</v>
      </c>
      <c r="J1295">
        <v>1</v>
      </c>
      <c r="K1295" t="s">
        <v>54</v>
      </c>
      <c r="L1295">
        <v>52</v>
      </c>
      <c r="M1295">
        <v>3</v>
      </c>
      <c r="N1295">
        <v>1</v>
      </c>
      <c r="O1295" t="s">
        <v>55</v>
      </c>
      <c r="P1295">
        <v>3</v>
      </c>
      <c r="Q1295" t="s">
        <v>44</v>
      </c>
      <c r="R1295">
        <v>2438</v>
      </c>
      <c r="S1295">
        <v>24978</v>
      </c>
      <c r="T1295">
        <v>4</v>
      </c>
      <c r="U1295" t="s">
        <v>51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  <c r="AG1295" t="s">
        <v>45</v>
      </c>
      <c r="AH1295" t="s">
        <v>46</v>
      </c>
      <c r="AI1295">
        <v>0</v>
      </c>
      <c r="AJ1295" t="s">
        <v>47</v>
      </c>
      <c r="AK1295" t="s">
        <v>72</v>
      </c>
      <c r="AL1295" t="s">
        <v>66</v>
      </c>
      <c r="AM1295" t="s">
        <v>70</v>
      </c>
      <c r="AN1295">
        <f t="shared" si="20"/>
        <v>3</v>
      </c>
    </row>
    <row r="1296" spans="1:40">
      <c r="A1296">
        <v>41</v>
      </c>
      <c r="B1296" t="s">
        <v>51</v>
      </c>
      <c r="C1296" t="s">
        <v>39</v>
      </c>
      <c r="D1296">
        <v>447</v>
      </c>
      <c r="E1296" t="s">
        <v>53</v>
      </c>
      <c r="F1296">
        <v>5</v>
      </c>
      <c r="G1296">
        <v>3</v>
      </c>
      <c r="H1296" t="s">
        <v>41</v>
      </c>
      <c r="I1296">
        <v>1814</v>
      </c>
      <c r="J1296">
        <v>2</v>
      </c>
      <c r="K1296" t="s">
        <v>54</v>
      </c>
      <c r="L1296">
        <v>85</v>
      </c>
      <c r="M1296">
        <v>4</v>
      </c>
      <c r="N1296">
        <v>2</v>
      </c>
      <c r="O1296" t="s">
        <v>76</v>
      </c>
      <c r="P1296">
        <v>2</v>
      </c>
      <c r="Q1296" t="s">
        <v>44</v>
      </c>
      <c r="R1296">
        <v>6870</v>
      </c>
      <c r="S1296">
        <v>15530</v>
      </c>
      <c r="T1296">
        <v>3</v>
      </c>
      <c r="U1296" t="s">
        <v>51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  <c r="AG1296" t="s">
        <v>45</v>
      </c>
      <c r="AH1296" t="s">
        <v>46</v>
      </c>
      <c r="AI1296">
        <v>0</v>
      </c>
      <c r="AJ1296" t="s">
        <v>47</v>
      </c>
      <c r="AK1296" t="s">
        <v>72</v>
      </c>
      <c r="AL1296" t="s">
        <v>60</v>
      </c>
      <c r="AM1296" t="s">
        <v>50</v>
      </c>
      <c r="AN1296">
        <f t="shared" si="20"/>
        <v>8</v>
      </c>
    </row>
    <row r="1297" spans="1:40">
      <c r="A1297">
        <v>41</v>
      </c>
      <c r="B1297" t="s">
        <v>51</v>
      </c>
      <c r="C1297" t="s">
        <v>39</v>
      </c>
      <c r="D1297">
        <v>796</v>
      </c>
      <c r="E1297" t="s">
        <v>40</v>
      </c>
      <c r="F1297">
        <v>4</v>
      </c>
      <c r="G1297">
        <v>1</v>
      </c>
      <c r="H1297" t="s">
        <v>84</v>
      </c>
      <c r="I1297">
        <v>1815</v>
      </c>
      <c r="J1297">
        <v>3</v>
      </c>
      <c r="K1297" t="s">
        <v>42</v>
      </c>
      <c r="L1297">
        <v>81</v>
      </c>
      <c r="M1297">
        <v>3</v>
      </c>
      <c r="N1297">
        <v>3</v>
      </c>
      <c r="O1297" t="s">
        <v>43</v>
      </c>
      <c r="P1297">
        <v>3</v>
      </c>
      <c r="Q1297" t="s">
        <v>74</v>
      </c>
      <c r="R1297">
        <v>10447</v>
      </c>
      <c r="S1297">
        <v>26458</v>
      </c>
      <c r="T1297">
        <v>0</v>
      </c>
      <c r="U1297" t="s">
        <v>38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  <c r="AG1297" t="s">
        <v>45</v>
      </c>
      <c r="AH1297" t="s">
        <v>46</v>
      </c>
      <c r="AI1297">
        <v>0</v>
      </c>
      <c r="AJ1297" t="s">
        <v>80</v>
      </c>
      <c r="AK1297" t="s">
        <v>59</v>
      </c>
      <c r="AL1297" t="s">
        <v>66</v>
      </c>
      <c r="AM1297" t="s">
        <v>85</v>
      </c>
      <c r="AN1297">
        <f t="shared" si="20"/>
        <v>11</v>
      </c>
    </row>
    <row r="1298" spans="1:40">
      <c r="A1298">
        <v>30</v>
      </c>
      <c r="B1298" t="s">
        <v>51</v>
      </c>
      <c r="C1298" t="s">
        <v>39</v>
      </c>
      <c r="D1298">
        <v>1092</v>
      </c>
      <c r="E1298" t="s">
        <v>53</v>
      </c>
      <c r="F1298">
        <v>10</v>
      </c>
      <c r="G1298">
        <v>3</v>
      </c>
      <c r="H1298" t="s">
        <v>69</v>
      </c>
      <c r="I1298">
        <v>1816</v>
      </c>
      <c r="J1298">
        <v>1</v>
      </c>
      <c r="K1298" t="s">
        <v>42</v>
      </c>
      <c r="L1298">
        <v>64</v>
      </c>
      <c r="M1298">
        <v>3</v>
      </c>
      <c r="N1298">
        <v>3</v>
      </c>
      <c r="O1298" t="s">
        <v>75</v>
      </c>
      <c r="P1298">
        <v>3</v>
      </c>
      <c r="Q1298" t="s">
        <v>44</v>
      </c>
      <c r="R1298">
        <v>9667</v>
      </c>
      <c r="S1298">
        <v>2739</v>
      </c>
      <c r="T1298">
        <v>9</v>
      </c>
      <c r="U1298" t="s">
        <v>51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  <c r="AG1298" t="s">
        <v>67</v>
      </c>
      <c r="AH1298" t="s">
        <v>64</v>
      </c>
      <c r="AI1298">
        <v>0</v>
      </c>
      <c r="AJ1298" t="s">
        <v>58</v>
      </c>
      <c r="AK1298" t="s">
        <v>72</v>
      </c>
      <c r="AL1298" t="s">
        <v>66</v>
      </c>
      <c r="AM1298" t="s">
        <v>61</v>
      </c>
      <c r="AN1298">
        <f t="shared" si="20"/>
        <v>0</v>
      </c>
    </row>
    <row r="1299" spans="1:40">
      <c r="A1299">
        <v>26</v>
      </c>
      <c r="B1299" t="s">
        <v>38</v>
      </c>
      <c r="C1299" t="s">
        <v>39</v>
      </c>
      <c r="D1299">
        <v>920</v>
      </c>
      <c r="E1299" t="s">
        <v>88</v>
      </c>
      <c r="F1299">
        <v>20</v>
      </c>
      <c r="G1299">
        <v>2</v>
      </c>
      <c r="H1299" t="s">
        <v>69</v>
      </c>
      <c r="I1299">
        <v>1818</v>
      </c>
      <c r="J1299">
        <v>4</v>
      </c>
      <c r="K1299" t="s">
        <v>42</v>
      </c>
      <c r="L1299">
        <v>69</v>
      </c>
      <c r="M1299">
        <v>3</v>
      </c>
      <c r="N1299">
        <v>1</v>
      </c>
      <c r="O1299" t="s">
        <v>88</v>
      </c>
      <c r="P1299">
        <v>2</v>
      </c>
      <c r="Q1299" t="s">
        <v>56</v>
      </c>
      <c r="R1299">
        <v>2148</v>
      </c>
      <c r="S1299">
        <v>6889</v>
      </c>
      <c r="T1299">
        <v>0</v>
      </c>
      <c r="U1299" t="s">
        <v>38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  <c r="AG1299" t="s">
        <v>67</v>
      </c>
      <c r="AH1299" t="s">
        <v>71</v>
      </c>
      <c r="AI1299">
        <v>1</v>
      </c>
      <c r="AJ1299" t="s">
        <v>65</v>
      </c>
      <c r="AK1299" t="s">
        <v>48</v>
      </c>
      <c r="AL1299" t="s">
        <v>60</v>
      </c>
      <c r="AM1299" t="s">
        <v>61</v>
      </c>
      <c r="AN1299">
        <f t="shared" si="20"/>
        <v>4</v>
      </c>
    </row>
    <row r="1300" spans="1:40">
      <c r="A1300">
        <v>46</v>
      </c>
      <c r="B1300" t="s">
        <v>38</v>
      </c>
      <c r="C1300" t="s">
        <v>39</v>
      </c>
      <c r="D1300">
        <v>261</v>
      </c>
      <c r="E1300" t="s">
        <v>53</v>
      </c>
      <c r="F1300">
        <v>21</v>
      </c>
      <c r="G1300">
        <v>2</v>
      </c>
      <c r="H1300" t="s">
        <v>69</v>
      </c>
      <c r="I1300">
        <v>1821</v>
      </c>
      <c r="J1300">
        <v>4</v>
      </c>
      <c r="K1300" t="s">
        <v>42</v>
      </c>
      <c r="L1300">
        <v>66</v>
      </c>
      <c r="M1300">
        <v>3</v>
      </c>
      <c r="N1300">
        <v>2</v>
      </c>
      <c r="O1300" t="s">
        <v>76</v>
      </c>
      <c r="P1300">
        <v>2</v>
      </c>
      <c r="Q1300" t="s">
        <v>56</v>
      </c>
      <c r="R1300">
        <v>8926</v>
      </c>
      <c r="S1300">
        <v>10842</v>
      </c>
      <c r="T1300">
        <v>4</v>
      </c>
      <c r="U1300" t="s">
        <v>51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  <c r="AG1300" t="s">
        <v>57</v>
      </c>
      <c r="AH1300" t="s">
        <v>46</v>
      </c>
      <c r="AI1300">
        <v>1</v>
      </c>
      <c r="AJ1300" t="s">
        <v>58</v>
      </c>
      <c r="AK1300" t="s">
        <v>48</v>
      </c>
      <c r="AL1300" t="s">
        <v>60</v>
      </c>
      <c r="AM1300" t="s">
        <v>85</v>
      </c>
      <c r="AN1300">
        <f t="shared" si="20"/>
        <v>4</v>
      </c>
    </row>
    <row r="1301" spans="1:40">
      <c r="A1301">
        <v>40</v>
      </c>
      <c r="B1301" t="s">
        <v>51</v>
      </c>
      <c r="C1301" t="s">
        <v>39</v>
      </c>
      <c r="D1301">
        <v>1194</v>
      </c>
      <c r="E1301" t="s">
        <v>53</v>
      </c>
      <c r="F1301">
        <v>1</v>
      </c>
      <c r="G1301">
        <v>3</v>
      </c>
      <c r="H1301" t="s">
        <v>41</v>
      </c>
      <c r="I1301">
        <v>1822</v>
      </c>
      <c r="J1301">
        <v>3</v>
      </c>
      <c r="K1301" t="s">
        <v>42</v>
      </c>
      <c r="L1301">
        <v>52</v>
      </c>
      <c r="M1301">
        <v>3</v>
      </c>
      <c r="N1301">
        <v>2</v>
      </c>
      <c r="O1301" t="s">
        <v>76</v>
      </c>
      <c r="P1301">
        <v>4</v>
      </c>
      <c r="Q1301" t="s">
        <v>74</v>
      </c>
      <c r="R1301">
        <v>6513</v>
      </c>
      <c r="S1301">
        <v>9060</v>
      </c>
      <c r="T1301">
        <v>4</v>
      </c>
      <c r="U1301" t="s">
        <v>51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  <c r="AG1301" t="s">
        <v>45</v>
      </c>
      <c r="AH1301" t="s">
        <v>71</v>
      </c>
      <c r="AI1301">
        <v>0</v>
      </c>
      <c r="AJ1301" t="s">
        <v>65</v>
      </c>
      <c r="AK1301" t="s">
        <v>72</v>
      </c>
      <c r="AL1301" t="s">
        <v>49</v>
      </c>
      <c r="AM1301" t="s">
        <v>61</v>
      </c>
      <c r="AN1301">
        <f t="shared" si="20"/>
        <v>-3</v>
      </c>
    </row>
    <row r="1302" spans="1:40">
      <c r="A1302">
        <v>34</v>
      </c>
      <c r="B1302" t="s">
        <v>51</v>
      </c>
      <c r="C1302" t="s">
        <v>39</v>
      </c>
      <c r="D1302">
        <v>810</v>
      </c>
      <c r="E1302" t="s">
        <v>40</v>
      </c>
      <c r="F1302">
        <v>8</v>
      </c>
      <c r="G1302">
        <v>2</v>
      </c>
      <c r="H1302" t="s">
        <v>86</v>
      </c>
      <c r="I1302">
        <v>1823</v>
      </c>
      <c r="J1302">
        <v>2</v>
      </c>
      <c r="K1302" t="s">
        <v>54</v>
      </c>
      <c r="L1302">
        <v>92</v>
      </c>
      <c r="M1302">
        <v>4</v>
      </c>
      <c r="N1302">
        <v>2</v>
      </c>
      <c r="O1302" t="s">
        <v>43</v>
      </c>
      <c r="P1302">
        <v>3</v>
      </c>
      <c r="Q1302" t="s">
        <v>56</v>
      </c>
      <c r="R1302">
        <v>6799</v>
      </c>
      <c r="S1302">
        <v>22128</v>
      </c>
      <c r="T1302">
        <v>1</v>
      </c>
      <c r="U1302" t="s">
        <v>51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  <c r="AG1302" t="s">
        <v>67</v>
      </c>
      <c r="AH1302" t="s">
        <v>46</v>
      </c>
      <c r="AI1302">
        <v>0</v>
      </c>
      <c r="AJ1302" t="s">
        <v>58</v>
      </c>
      <c r="AK1302" t="s">
        <v>48</v>
      </c>
      <c r="AL1302" t="s">
        <v>66</v>
      </c>
      <c r="AM1302" t="s">
        <v>61</v>
      </c>
      <c r="AN1302">
        <f t="shared" si="20"/>
        <v>4</v>
      </c>
    </row>
    <row r="1303" spans="1:40">
      <c r="A1303">
        <v>58</v>
      </c>
      <c r="B1303" t="s">
        <v>51</v>
      </c>
      <c r="C1303" t="s">
        <v>77</v>
      </c>
      <c r="D1303">
        <v>350</v>
      </c>
      <c r="E1303" t="s">
        <v>40</v>
      </c>
      <c r="F1303">
        <v>2</v>
      </c>
      <c r="G1303">
        <v>3</v>
      </c>
      <c r="H1303" t="s">
        <v>69</v>
      </c>
      <c r="I1303">
        <v>1824</v>
      </c>
      <c r="J1303">
        <v>2</v>
      </c>
      <c r="K1303" t="s">
        <v>54</v>
      </c>
      <c r="L1303">
        <v>52</v>
      </c>
      <c r="M1303">
        <v>3</v>
      </c>
      <c r="N1303">
        <v>4</v>
      </c>
      <c r="O1303" t="s">
        <v>79</v>
      </c>
      <c r="P1303">
        <v>2</v>
      </c>
      <c r="Q1303" t="s">
        <v>74</v>
      </c>
      <c r="R1303">
        <v>16291</v>
      </c>
      <c r="S1303">
        <v>22577</v>
      </c>
      <c r="T1303">
        <v>4</v>
      </c>
      <c r="U1303" t="s">
        <v>51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  <c r="AG1303" t="s">
        <v>57</v>
      </c>
      <c r="AH1303" t="s">
        <v>46</v>
      </c>
      <c r="AI1303">
        <v>0</v>
      </c>
      <c r="AJ1303" t="s">
        <v>47</v>
      </c>
      <c r="AK1303" t="s">
        <v>72</v>
      </c>
      <c r="AL1303" t="s">
        <v>60</v>
      </c>
      <c r="AM1303" t="s">
        <v>70</v>
      </c>
      <c r="AN1303">
        <f t="shared" si="20"/>
        <v>19</v>
      </c>
    </row>
    <row r="1304" spans="1:40">
      <c r="A1304">
        <v>35</v>
      </c>
      <c r="B1304" t="s">
        <v>51</v>
      </c>
      <c r="C1304" t="s">
        <v>39</v>
      </c>
      <c r="D1304">
        <v>185</v>
      </c>
      <c r="E1304" t="s">
        <v>53</v>
      </c>
      <c r="F1304">
        <v>23</v>
      </c>
      <c r="G1304">
        <v>4</v>
      </c>
      <c r="H1304" t="s">
        <v>69</v>
      </c>
      <c r="I1304">
        <v>1826</v>
      </c>
      <c r="J1304">
        <v>2</v>
      </c>
      <c r="K1304" t="s">
        <v>54</v>
      </c>
      <c r="L1304">
        <v>91</v>
      </c>
      <c r="M1304">
        <v>1</v>
      </c>
      <c r="N1304">
        <v>1</v>
      </c>
      <c r="O1304" t="s">
        <v>63</v>
      </c>
      <c r="P1304">
        <v>3</v>
      </c>
      <c r="Q1304" t="s">
        <v>56</v>
      </c>
      <c r="R1304">
        <v>2705</v>
      </c>
      <c r="S1304">
        <v>9696</v>
      </c>
      <c r="T1304">
        <v>0</v>
      </c>
      <c r="U1304" t="s">
        <v>51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  <c r="AG1304" t="s">
        <v>67</v>
      </c>
      <c r="AH1304" t="s">
        <v>71</v>
      </c>
      <c r="AI1304">
        <v>0</v>
      </c>
      <c r="AJ1304" t="s">
        <v>65</v>
      </c>
      <c r="AK1304" t="s">
        <v>68</v>
      </c>
      <c r="AL1304" t="s">
        <v>66</v>
      </c>
      <c r="AM1304" t="s">
        <v>85</v>
      </c>
      <c r="AN1304">
        <f t="shared" si="20"/>
        <v>-2</v>
      </c>
    </row>
    <row r="1305" spans="1:40">
      <c r="A1305">
        <v>47</v>
      </c>
      <c r="B1305" t="s">
        <v>51</v>
      </c>
      <c r="C1305" t="s">
        <v>39</v>
      </c>
      <c r="D1305">
        <v>1001</v>
      </c>
      <c r="E1305" t="s">
        <v>53</v>
      </c>
      <c r="F1305">
        <v>4</v>
      </c>
      <c r="G1305">
        <v>3</v>
      </c>
      <c r="H1305" t="s">
        <v>41</v>
      </c>
      <c r="I1305">
        <v>1827</v>
      </c>
      <c r="J1305">
        <v>3</v>
      </c>
      <c r="K1305" t="s">
        <v>42</v>
      </c>
      <c r="L1305">
        <v>92</v>
      </c>
      <c r="M1305">
        <v>2</v>
      </c>
      <c r="N1305">
        <v>3</v>
      </c>
      <c r="O1305" t="s">
        <v>75</v>
      </c>
      <c r="P1305">
        <v>2</v>
      </c>
      <c r="Q1305" t="s">
        <v>74</v>
      </c>
      <c r="R1305">
        <v>10333</v>
      </c>
      <c r="S1305">
        <v>19271</v>
      </c>
      <c r="T1305">
        <v>8</v>
      </c>
      <c r="U1305" t="s">
        <v>38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  <c r="AG1305" t="s">
        <v>57</v>
      </c>
      <c r="AH1305" t="s">
        <v>46</v>
      </c>
      <c r="AI1305">
        <v>0</v>
      </c>
      <c r="AJ1305" t="s">
        <v>80</v>
      </c>
      <c r="AK1305" t="s">
        <v>72</v>
      </c>
      <c r="AL1305" t="s">
        <v>60</v>
      </c>
      <c r="AM1305" t="s">
        <v>61</v>
      </c>
      <c r="AN1305">
        <f t="shared" si="20"/>
        <v>17</v>
      </c>
    </row>
    <row r="1306" spans="1:40">
      <c r="A1306">
        <v>40</v>
      </c>
      <c r="B1306" t="s">
        <v>51</v>
      </c>
      <c r="C1306" t="s">
        <v>39</v>
      </c>
      <c r="D1306">
        <v>750</v>
      </c>
      <c r="E1306" t="s">
        <v>53</v>
      </c>
      <c r="F1306">
        <v>12</v>
      </c>
      <c r="G1306">
        <v>3</v>
      </c>
      <c r="H1306" t="s">
        <v>41</v>
      </c>
      <c r="I1306">
        <v>1829</v>
      </c>
      <c r="J1306">
        <v>2</v>
      </c>
      <c r="K1306" t="s">
        <v>42</v>
      </c>
      <c r="L1306">
        <v>47</v>
      </c>
      <c r="M1306">
        <v>3</v>
      </c>
      <c r="N1306">
        <v>2</v>
      </c>
      <c r="O1306" t="s">
        <v>76</v>
      </c>
      <c r="P1306">
        <v>1</v>
      </c>
      <c r="Q1306" t="s">
        <v>74</v>
      </c>
      <c r="R1306">
        <v>4448</v>
      </c>
      <c r="S1306">
        <v>10748</v>
      </c>
      <c r="T1306">
        <v>2</v>
      </c>
      <c r="U1306" t="s">
        <v>51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  <c r="AG1306" t="s">
        <v>45</v>
      </c>
      <c r="AH1306" t="s">
        <v>46</v>
      </c>
      <c r="AI1306">
        <v>0</v>
      </c>
      <c r="AJ1306" t="s">
        <v>58</v>
      </c>
      <c r="AK1306" t="s">
        <v>72</v>
      </c>
      <c r="AL1306" t="s">
        <v>73</v>
      </c>
      <c r="AM1306" t="s">
        <v>61</v>
      </c>
      <c r="AN1306">
        <f t="shared" si="20"/>
        <v>13</v>
      </c>
    </row>
    <row r="1307" spans="1:40">
      <c r="A1307">
        <v>54</v>
      </c>
      <c r="B1307" t="s">
        <v>51</v>
      </c>
      <c r="C1307" t="s">
        <v>39</v>
      </c>
      <c r="D1307">
        <v>431</v>
      </c>
      <c r="E1307" t="s">
        <v>53</v>
      </c>
      <c r="F1307">
        <v>7</v>
      </c>
      <c r="G1307">
        <v>4</v>
      </c>
      <c r="H1307" t="s">
        <v>69</v>
      </c>
      <c r="I1307">
        <v>1830</v>
      </c>
      <c r="J1307">
        <v>4</v>
      </c>
      <c r="K1307" t="s">
        <v>42</v>
      </c>
      <c r="L1307">
        <v>68</v>
      </c>
      <c r="M1307">
        <v>3</v>
      </c>
      <c r="N1307">
        <v>2</v>
      </c>
      <c r="O1307" t="s">
        <v>55</v>
      </c>
      <c r="P1307">
        <v>4</v>
      </c>
      <c r="Q1307" t="s">
        <v>56</v>
      </c>
      <c r="R1307">
        <v>6854</v>
      </c>
      <c r="S1307">
        <v>15696</v>
      </c>
      <c r="T1307">
        <v>4</v>
      </c>
      <c r="U1307" t="s">
        <v>51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  <c r="AG1307" t="s">
        <v>57</v>
      </c>
      <c r="AH1307" t="s">
        <v>46</v>
      </c>
      <c r="AI1307">
        <v>0</v>
      </c>
      <c r="AJ1307" t="s">
        <v>47</v>
      </c>
      <c r="AK1307" t="s">
        <v>68</v>
      </c>
      <c r="AL1307" t="s">
        <v>49</v>
      </c>
      <c r="AM1307" t="s">
        <v>70</v>
      </c>
      <c r="AN1307">
        <f t="shared" si="20"/>
        <v>0</v>
      </c>
    </row>
    <row r="1308" spans="1:40">
      <c r="A1308">
        <v>31</v>
      </c>
      <c r="B1308" t="s">
        <v>51</v>
      </c>
      <c r="C1308" t="s">
        <v>52</v>
      </c>
      <c r="D1308">
        <v>1125</v>
      </c>
      <c r="E1308" t="s">
        <v>40</v>
      </c>
      <c r="F1308">
        <v>7</v>
      </c>
      <c r="G1308">
        <v>4</v>
      </c>
      <c r="H1308" t="s">
        <v>84</v>
      </c>
      <c r="I1308">
        <v>1833</v>
      </c>
      <c r="J1308">
        <v>1</v>
      </c>
      <c r="K1308" t="s">
        <v>42</v>
      </c>
      <c r="L1308">
        <v>68</v>
      </c>
      <c r="M1308">
        <v>3</v>
      </c>
      <c r="N1308">
        <v>3</v>
      </c>
      <c r="O1308" t="s">
        <v>43</v>
      </c>
      <c r="P1308">
        <v>1</v>
      </c>
      <c r="Q1308" t="s">
        <v>56</v>
      </c>
      <c r="R1308">
        <v>9637</v>
      </c>
      <c r="S1308">
        <v>8277</v>
      </c>
      <c r="T1308">
        <v>2</v>
      </c>
      <c r="U1308" t="s">
        <v>51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  <c r="AG1308" t="s">
        <v>67</v>
      </c>
      <c r="AH1308" t="s">
        <v>71</v>
      </c>
      <c r="AI1308">
        <v>0</v>
      </c>
      <c r="AJ1308" t="s">
        <v>65</v>
      </c>
      <c r="AK1308" t="s">
        <v>68</v>
      </c>
      <c r="AL1308" t="s">
        <v>73</v>
      </c>
      <c r="AM1308" t="s">
        <v>61</v>
      </c>
      <c r="AN1308">
        <f t="shared" si="20"/>
        <v>8</v>
      </c>
    </row>
    <row r="1309" spans="1:40">
      <c r="A1309">
        <v>28</v>
      </c>
      <c r="B1309" t="s">
        <v>51</v>
      </c>
      <c r="C1309" t="s">
        <v>39</v>
      </c>
      <c r="D1309">
        <v>1217</v>
      </c>
      <c r="E1309" t="s">
        <v>53</v>
      </c>
      <c r="F1309">
        <v>1</v>
      </c>
      <c r="G1309">
        <v>3</v>
      </c>
      <c r="H1309" t="s">
        <v>69</v>
      </c>
      <c r="I1309">
        <v>1834</v>
      </c>
      <c r="J1309">
        <v>3</v>
      </c>
      <c r="K1309" t="s">
        <v>42</v>
      </c>
      <c r="L1309">
        <v>67</v>
      </c>
      <c r="M1309">
        <v>3</v>
      </c>
      <c r="N1309">
        <v>1</v>
      </c>
      <c r="O1309" t="s">
        <v>55</v>
      </c>
      <c r="P1309">
        <v>1</v>
      </c>
      <c r="Q1309" t="s">
        <v>56</v>
      </c>
      <c r="R1309">
        <v>3591</v>
      </c>
      <c r="S1309">
        <v>12719</v>
      </c>
      <c r="T1309">
        <v>1</v>
      </c>
      <c r="U1309" t="s">
        <v>51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  <c r="AG1309" t="s">
        <v>67</v>
      </c>
      <c r="AH1309" t="s">
        <v>46</v>
      </c>
      <c r="AI1309">
        <v>0</v>
      </c>
      <c r="AJ1309" t="s">
        <v>65</v>
      </c>
      <c r="AK1309" t="s">
        <v>72</v>
      </c>
      <c r="AL1309" t="s">
        <v>73</v>
      </c>
      <c r="AM1309" t="s">
        <v>61</v>
      </c>
      <c r="AN1309">
        <f t="shared" si="20"/>
        <v>7</v>
      </c>
    </row>
    <row r="1310" spans="1:40">
      <c r="A1310">
        <v>38</v>
      </c>
      <c r="B1310" t="s">
        <v>51</v>
      </c>
      <c r="C1310" t="s">
        <v>39</v>
      </c>
      <c r="D1310">
        <v>723</v>
      </c>
      <c r="E1310" t="s">
        <v>40</v>
      </c>
      <c r="F1310">
        <v>2</v>
      </c>
      <c r="G1310">
        <v>4</v>
      </c>
      <c r="H1310" t="s">
        <v>84</v>
      </c>
      <c r="I1310">
        <v>1835</v>
      </c>
      <c r="J1310">
        <v>2</v>
      </c>
      <c r="K1310" t="s">
        <v>42</v>
      </c>
      <c r="L1310">
        <v>77</v>
      </c>
      <c r="M1310">
        <v>1</v>
      </c>
      <c r="N1310">
        <v>2</v>
      </c>
      <c r="O1310" t="s">
        <v>82</v>
      </c>
      <c r="P1310">
        <v>4</v>
      </c>
      <c r="Q1310" t="s">
        <v>56</v>
      </c>
      <c r="R1310">
        <v>5405</v>
      </c>
      <c r="S1310">
        <v>4244</v>
      </c>
      <c r="T1310">
        <v>2</v>
      </c>
      <c r="U1310" t="s">
        <v>38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  <c r="AG1310" t="s">
        <v>45</v>
      </c>
      <c r="AH1310" t="s">
        <v>81</v>
      </c>
      <c r="AI1310">
        <v>0</v>
      </c>
      <c r="AJ1310" t="s">
        <v>47</v>
      </c>
      <c r="AK1310" t="s">
        <v>68</v>
      </c>
      <c r="AL1310" t="s">
        <v>49</v>
      </c>
      <c r="AM1310" t="s">
        <v>70</v>
      </c>
      <c r="AN1310">
        <f t="shared" si="20"/>
        <v>-1</v>
      </c>
    </row>
    <row r="1311" spans="1:40">
      <c r="A1311">
        <v>26</v>
      </c>
      <c r="B1311" t="s">
        <v>51</v>
      </c>
      <c r="C1311" t="s">
        <v>39</v>
      </c>
      <c r="D1311">
        <v>572</v>
      </c>
      <c r="E1311" t="s">
        <v>40</v>
      </c>
      <c r="F1311">
        <v>10</v>
      </c>
      <c r="G1311">
        <v>3</v>
      </c>
      <c r="H1311" t="s">
        <v>69</v>
      </c>
      <c r="I1311">
        <v>1836</v>
      </c>
      <c r="J1311">
        <v>3</v>
      </c>
      <c r="K1311" t="s">
        <v>54</v>
      </c>
      <c r="L1311">
        <v>46</v>
      </c>
      <c r="M1311">
        <v>3</v>
      </c>
      <c r="N1311">
        <v>2</v>
      </c>
      <c r="O1311" t="s">
        <v>43</v>
      </c>
      <c r="P1311">
        <v>4</v>
      </c>
      <c r="Q1311" t="s">
        <v>44</v>
      </c>
      <c r="R1311">
        <v>4684</v>
      </c>
      <c r="S1311">
        <v>9125</v>
      </c>
      <c r="T1311">
        <v>1</v>
      </c>
      <c r="U1311" t="s">
        <v>51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  <c r="AG1311" t="s">
        <v>67</v>
      </c>
      <c r="AH1311" t="s">
        <v>71</v>
      </c>
      <c r="AI1311">
        <v>0</v>
      </c>
      <c r="AJ1311" t="s">
        <v>65</v>
      </c>
      <c r="AK1311" t="s">
        <v>72</v>
      </c>
      <c r="AL1311" t="s">
        <v>49</v>
      </c>
      <c r="AM1311" t="s">
        <v>61</v>
      </c>
      <c r="AN1311">
        <f t="shared" si="20"/>
        <v>-2</v>
      </c>
    </row>
    <row r="1312" spans="1:40">
      <c r="A1312">
        <v>58</v>
      </c>
      <c r="B1312" t="s">
        <v>51</v>
      </c>
      <c r="C1312" t="s">
        <v>52</v>
      </c>
      <c r="D1312">
        <v>1216</v>
      </c>
      <c r="E1312" t="s">
        <v>53</v>
      </c>
      <c r="F1312">
        <v>15</v>
      </c>
      <c r="G1312">
        <v>4</v>
      </c>
      <c r="H1312" t="s">
        <v>41</v>
      </c>
      <c r="I1312">
        <v>1837</v>
      </c>
      <c r="J1312">
        <v>1</v>
      </c>
      <c r="K1312" t="s">
        <v>54</v>
      </c>
      <c r="L1312">
        <v>87</v>
      </c>
      <c r="M1312">
        <v>3</v>
      </c>
      <c r="N1312">
        <v>4</v>
      </c>
      <c r="O1312" t="s">
        <v>83</v>
      </c>
      <c r="P1312">
        <v>3</v>
      </c>
      <c r="Q1312" t="s">
        <v>56</v>
      </c>
      <c r="R1312">
        <v>15787</v>
      </c>
      <c r="S1312">
        <v>21624</v>
      </c>
      <c r="T1312">
        <v>2</v>
      </c>
      <c r="U1312" t="s">
        <v>38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  <c r="AG1312" t="s">
        <v>57</v>
      </c>
      <c r="AH1312" t="s">
        <v>46</v>
      </c>
      <c r="AI1312">
        <v>0</v>
      </c>
      <c r="AJ1312" t="s">
        <v>65</v>
      </c>
      <c r="AK1312" t="s">
        <v>68</v>
      </c>
      <c r="AL1312" t="s">
        <v>66</v>
      </c>
      <c r="AM1312" t="s">
        <v>61</v>
      </c>
      <c r="AN1312">
        <f t="shared" si="20"/>
        <v>2</v>
      </c>
    </row>
    <row r="1313" spans="1:40">
      <c r="A1313">
        <v>18</v>
      </c>
      <c r="B1313" t="s">
        <v>51</v>
      </c>
      <c r="C1313" t="s">
        <v>77</v>
      </c>
      <c r="D1313">
        <v>1431</v>
      </c>
      <c r="E1313" t="s">
        <v>53</v>
      </c>
      <c r="F1313">
        <v>14</v>
      </c>
      <c r="G1313">
        <v>3</v>
      </c>
      <c r="H1313" t="s">
        <v>69</v>
      </c>
      <c r="I1313">
        <v>1839</v>
      </c>
      <c r="J1313">
        <v>2</v>
      </c>
      <c r="K1313" t="s">
        <v>42</v>
      </c>
      <c r="L1313">
        <v>33</v>
      </c>
      <c r="M1313">
        <v>3</v>
      </c>
      <c r="N1313">
        <v>1</v>
      </c>
      <c r="O1313" t="s">
        <v>55</v>
      </c>
      <c r="P1313">
        <v>3</v>
      </c>
      <c r="Q1313" t="s">
        <v>44</v>
      </c>
      <c r="R1313">
        <v>1514</v>
      </c>
      <c r="S1313">
        <v>8018</v>
      </c>
      <c r="T1313">
        <v>1</v>
      </c>
      <c r="U1313" t="s">
        <v>51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 t="s">
        <v>78</v>
      </c>
      <c r="AH1313" t="s">
        <v>71</v>
      </c>
      <c r="AI1313">
        <v>0</v>
      </c>
      <c r="AJ1313" t="s">
        <v>47</v>
      </c>
      <c r="AK1313" t="s">
        <v>72</v>
      </c>
      <c r="AL1313" t="s">
        <v>66</v>
      </c>
      <c r="AM1313" t="s">
        <v>50</v>
      </c>
      <c r="AN1313">
        <f t="shared" si="20"/>
        <v>4</v>
      </c>
    </row>
    <row r="1314" spans="1:40">
      <c r="A1314">
        <v>31</v>
      </c>
      <c r="B1314" t="s">
        <v>38</v>
      </c>
      <c r="C1314" t="s">
        <v>39</v>
      </c>
      <c r="D1314">
        <v>359</v>
      </c>
      <c r="E1314" t="s">
        <v>88</v>
      </c>
      <c r="F1314">
        <v>18</v>
      </c>
      <c r="G1314">
        <v>5</v>
      </c>
      <c r="H1314" t="s">
        <v>88</v>
      </c>
      <c r="I1314">
        <v>1842</v>
      </c>
      <c r="J1314">
        <v>4</v>
      </c>
      <c r="K1314" t="s">
        <v>54</v>
      </c>
      <c r="L1314">
        <v>89</v>
      </c>
      <c r="M1314">
        <v>4</v>
      </c>
      <c r="N1314">
        <v>1</v>
      </c>
      <c r="O1314" t="s">
        <v>88</v>
      </c>
      <c r="P1314">
        <v>1</v>
      </c>
      <c r="Q1314" t="s">
        <v>56</v>
      </c>
      <c r="R1314">
        <v>2956</v>
      </c>
      <c r="S1314">
        <v>21495</v>
      </c>
      <c r="T1314">
        <v>0</v>
      </c>
      <c r="U1314" t="s">
        <v>51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  <c r="AG1314" t="s">
        <v>67</v>
      </c>
      <c r="AH1314" t="s">
        <v>46</v>
      </c>
      <c r="AI1314">
        <v>1</v>
      </c>
      <c r="AJ1314" t="s">
        <v>65</v>
      </c>
      <c r="AK1314" t="s">
        <v>87</v>
      </c>
      <c r="AL1314" t="s">
        <v>73</v>
      </c>
      <c r="AM1314" t="s">
        <v>61</v>
      </c>
      <c r="AN1314">
        <f t="shared" si="20"/>
        <v>6</v>
      </c>
    </row>
    <row r="1315" spans="1:40">
      <c r="A1315">
        <v>29</v>
      </c>
      <c r="B1315" t="s">
        <v>38</v>
      </c>
      <c r="C1315" t="s">
        <v>39</v>
      </c>
      <c r="D1315">
        <v>350</v>
      </c>
      <c r="E1315" t="s">
        <v>88</v>
      </c>
      <c r="F1315">
        <v>13</v>
      </c>
      <c r="G1315">
        <v>3</v>
      </c>
      <c r="H1315" t="s">
        <v>88</v>
      </c>
      <c r="I1315">
        <v>1844</v>
      </c>
      <c r="J1315">
        <v>1</v>
      </c>
      <c r="K1315" t="s">
        <v>54</v>
      </c>
      <c r="L1315">
        <v>56</v>
      </c>
      <c r="M1315">
        <v>2</v>
      </c>
      <c r="N1315">
        <v>1</v>
      </c>
      <c r="O1315" t="s">
        <v>88</v>
      </c>
      <c r="P1315">
        <v>1</v>
      </c>
      <c r="Q1315" t="s">
        <v>74</v>
      </c>
      <c r="R1315">
        <v>2335</v>
      </c>
      <c r="S1315">
        <v>3157</v>
      </c>
      <c r="T1315">
        <v>4</v>
      </c>
      <c r="U1315" t="s">
        <v>38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  <c r="AG1315" t="s">
        <v>67</v>
      </c>
      <c r="AH1315" t="s">
        <v>81</v>
      </c>
      <c r="AI1315">
        <v>1</v>
      </c>
      <c r="AJ1315" t="s">
        <v>65</v>
      </c>
      <c r="AK1315" t="s">
        <v>72</v>
      </c>
      <c r="AL1315" t="s">
        <v>73</v>
      </c>
      <c r="AM1315" t="s">
        <v>61</v>
      </c>
      <c r="AN1315">
        <f t="shared" si="20"/>
        <v>8</v>
      </c>
    </row>
    <row r="1316" spans="1:40">
      <c r="A1316">
        <v>45</v>
      </c>
      <c r="B1316" t="s">
        <v>51</v>
      </c>
      <c r="C1316" t="s">
        <v>77</v>
      </c>
      <c r="D1316">
        <v>589</v>
      </c>
      <c r="E1316" t="s">
        <v>40</v>
      </c>
      <c r="F1316">
        <v>2</v>
      </c>
      <c r="G1316">
        <v>4</v>
      </c>
      <c r="H1316" t="s">
        <v>41</v>
      </c>
      <c r="I1316">
        <v>1845</v>
      </c>
      <c r="J1316">
        <v>3</v>
      </c>
      <c r="K1316" t="s">
        <v>42</v>
      </c>
      <c r="L1316">
        <v>67</v>
      </c>
      <c r="M1316">
        <v>3</v>
      </c>
      <c r="N1316">
        <v>2</v>
      </c>
      <c r="O1316" t="s">
        <v>43</v>
      </c>
      <c r="P1316">
        <v>3</v>
      </c>
      <c r="Q1316" t="s">
        <v>56</v>
      </c>
      <c r="R1316">
        <v>5154</v>
      </c>
      <c r="S1316">
        <v>19665</v>
      </c>
      <c r="T1316">
        <v>4</v>
      </c>
      <c r="U1316" t="s">
        <v>51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  <c r="AG1316" t="s">
        <v>45</v>
      </c>
      <c r="AH1316" t="s">
        <v>46</v>
      </c>
      <c r="AI1316">
        <v>0</v>
      </c>
      <c r="AJ1316" t="s">
        <v>58</v>
      </c>
      <c r="AK1316" t="s">
        <v>68</v>
      </c>
      <c r="AL1316" t="s">
        <v>66</v>
      </c>
      <c r="AM1316" t="s">
        <v>85</v>
      </c>
      <c r="AN1316">
        <f t="shared" si="20"/>
        <v>3</v>
      </c>
    </row>
    <row r="1317" spans="1:40">
      <c r="A1317">
        <v>36</v>
      </c>
      <c r="B1317" t="s">
        <v>51</v>
      </c>
      <c r="C1317" t="s">
        <v>39</v>
      </c>
      <c r="D1317">
        <v>430</v>
      </c>
      <c r="E1317" t="s">
        <v>53</v>
      </c>
      <c r="F1317">
        <v>2</v>
      </c>
      <c r="G1317">
        <v>4</v>
      </c>
      <c r="H1317" t="s">
        <v>62</v>
      </c>
      <c r="I1317">
        <v>1847</v>
      </c>
      <c r="J1317">
        <v>4</v>
      </c>
      <c r="K1317" t="s">
        <v>42</v>
      </c>
      <c r="L1317">
        <v>73</v>
      </c>
      <c r="M1317">
        <v>3</v>
      </c>
      <c r="N1317">
        <v>2</v>
      </c>
      <c r="O1317" t="s">
        <v>55</v>
      </c>
      <c r="P1317">
        <v>2</v>
      </c>
      <c r="Q1317" t="s">
        <v>56</v>
      </c>
      <c r="R1317">
        <v>6962</v>
      </c>
      <c r="S1317">
        <v>19573</v>
      </c>
      <c r="T1317">
        <v>4</v>
      </c>
      <c r="U1317" t="s">
        <v>38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  <c r="AG1317" t="s">
        <v>45</v>
      </c>
      <c r="AH1317" t="s">
        <v>46</v>
      </c>
      <c r="AI1317">
        <v>0</v>
      </c>
      <c r="AJ1317" t="s">
        <v>65</v>
      </c>
      <c r="AK1317" t="s">
        <v>68</v>
      </c>
      <c r="AL1317" t="s">
        <v>60</v>
      </c>
      <c r="AM1317" t="s">
        <v>61</v>
      </c>
      <c r="AN1317">
        <f t="shared" si="20"/>
        <v>3</v>
      </c>
    </row>
    <row r="1318" spans="1:40">
      <c r="A1318">
        <v>43</v>
      </c>
      <c r="B1318" t="s">
        <v>51</v>
      </c>
      <c r="C1318" t="s">
        <v>52</v>
      </c>
      <c r="D1318">
        <v>1422</v>
      </c>
      <c r="E1318" t="s">
        <v>40</v>
      </c>
      <c r="F1318">
        <v>2</v>
      </c>
      <c r="G1318">
        <v>4</v>
      </c>
      <c r="H1318" t="s">
        <v>41</v>
      </c>
      <c r="I1318">
        <v>1849</v>
      </c>
      <c r="J1318">
        <v>1</v>
      </c>
      <c r="K1318" t="s">
        <v>54</v>
      </c>
      <c r="L1318">
        <v>92</v>
      </c>
      <c r="M1318">
        <v>3</v>
      </c>
      <c r="N1318">
        <v>2</v>
      </c>
      <c r="O1318" t="s">
        <v>43</v>
      </c>
      <c r="P1318">
        <v>4</v>
      </c>
      <c r="Q1318" t="s">
        <v>56</v>
      </c>
      <c r="R1318">
        <v>5675</v>
      </c>
      <c r="S1318">
        <v>19246</v>
      </c>
      <c r="T1318">
        <v>1</v>
      </c>
      <c r="U1318" t="s">
        <v>51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  <c r="AG1318" t="s">
        <v>45</v>
      </c>
      <c r="AH1318" t="s">
        <v>46</v>
      </c>
      <c r="AI1318">
        <v>0</v>
      </c>
      <c r="AJ1318" t="s">
        <v>58</v>
      </c>
      <c r="AK1318" t="s">
        <v>68</v>
      </c>
      <c r="AL1318" t="s">
        <v>49</v>
      </c>
      <c r="AM1318" t="s">
        <v>61</v>
      </c>
      <c r="AN1318">
        <f t="shared" si="20"/>
        <v>4</v>
      </c>
    </row>
    <row r="1319" spans="1:40">
      <c r="A1319">
        <v>27</v>
      </c>
      <c r="B1319" t="s">
        <v>51</v>
      </c>
      <c r="C1319" t="s">
        <v>52</v>
      </c>
      <c r="D1319">
        <v>1297</v>
      </c>
      <c r="E1319" t="s">
        <v>53</v>
      </c>
      <c r="F1319">
        <v>5</v>
      </c>
      <c r="G1319">
        <v>2</v>
      </c>
      <c r="H1319" t="s">
        <v>41</v>
      </c>
      <c r="I1319">
        <v>1850</v>
      </c>
      <c r="J1319">
        <v>4</v>
      </c>
      <c r="K1319" t="s">
        <v>42</v>
      </c>
      <c r="L1319">
        <v>53</v>
      </c>
      <c r="M1319">
        <v>3</v>
      </c>
      <c r="N1319">
        <v>1</v>
      </c>
      <c r="O1319" t="s">
        <v>63</v>
      </c>
      <c r="P1319">
        <v>4</v>
      </c>
      <c r="Q1319" t="s">
        <v>44</v>
      </c>
      <c r="R1319">
        <v>2379</v>
      </c>
      <c r="S1319">
        <v>19826</v>
      </c>
      <c r="T1319">
        <v>0</v>
      </c>
      <c r="U1319" t="s">
        <v>38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  <c r="AG1319" t="s">
        <v>67</v>
      </c>
      <c r="AH1319" t="s">
        <v>46</v>
      </c>
      <c r="AI1319">
        <v>0</v>
      </c>
      <c r="AJ1319" t="s">
        <v>47</v>
      </c>
      <c r="AK1319" t="s">
        <v>48</v>
      </c>
      <c r="AL1319" t="s">
        <v>49</v>
      </c>
      <c r="AM1319" t="s">
        <v>70</v>
      </c>
      <c r="AN1319">
        <f t="shared" si="20"/>
        <v>-1</v>
      </c>
    </row>
    <row r="1320" spans="1:40">
      <c r="A1320">
        <v>29</v>
      </c>
      <c r="B1320" t="s">
        <v>51</v>
      </c>
      <c r="C1320" t="s">
        <v>52</v>
      </c>
      <c r="D1320">
        <v>574</v>
      </c>
      <c r="E1320" t="s">
        <v>53</v>
      </c>
      <c r="F1320">
        <v>20</v>
      </c>
      <c r="G1320">
        <v>1</v>
      </c>
      <c r="H1320" t="s">
        <v>69</v>
      </c>
      <c r="I1320">
        <v>1852</v>
      </c>
      <c r="J1320">
        <v>4</v>
      </c>
      <c r="K1320" t="s">
        <v>54</v>
      </c>
      <c r="L1320">
        <v>40</v>
      </c>
      <c r="M1320">
        <v>3</v>
      </c>
      <c r="N1320">
        <v>1</v>
      </c>
      <c r="O1320" t="s">
        <v>63</v>
      </c>
      <c r="P1320">
        <v>4</v>
      </c>
      <c r="Q1320" t="s">
        <v>56</v>
      </c>
      <c r="R1320">
        <v>3812</v>
      </c>
      <c r="S1320">
        <v>7003</v>
      </c>
      <c r="T1320">
        <v>1</v>
      </c>
      <c r="U1320" t="s">
        <v>51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  <c r="AG1320" t="s">
        <v>67</v>
      </c>
      <c r="AH1320" t="s">
        <v>71</v>
      </c>
      <c r="AI1320">
        <v>0</v>
      </c>
      <c r="AJ1320" t="s">
        <v>80</v>
      </c>
      <c r="AK1320" t="s">
        <v>59</v>
      </c>
      <c r="AL1320" t="s">
        <v>49</v>
      </c>
      <c r="AM1320" t="s">
        <v>85</v>
      </c>
      <c r="AN1320">
        <f t="shared" si="20"/>
        <v>-2</v>
      </c>
    </row>
    <row r="1321" spans="1:40">
      <c r="A1321">
        <v>32</v>
      </c>
      <c r="B1321" t="s">
        <v>51</v>
      </c>
      <c r="C1321" t="s">
        <v>52</v>
      </c>
      <c r="D1321">
        <v>1318</v>
      </c>
      <c r="E1321" t="s">
        <v>40</v>
      </c>
      <c r="F1321">
        <v>10</v>
      </c>
      <c r="G1321">
        <v>4</v>
      </c>
      <c r="H1321" t="s">
        <v>84</v>
      </c>
      <c r="I1321">
        <v>1853</v>
      </c>
      <c r="J1321">
        <v>4</v>
      </c>
      <c r="K1321" t="s">
        <v>54</v>
      </c>
      <c r="L1321">
        <v>79</v>
      </c>
      <c r="M1321">
        <v>3</v>
      </c>
      <c r="N1321">
        <v>2</v>
      </c>
      <c r="O1321" t="s">
        <v>43</v>
      </c>
      <c r="P1321">
        <v>4</v>
      </c>
      <c r="Q1321" t="s">
        <v>44</v>
      </c>
      <c r="R1321">
        <v>4648</v>
      </c>
      <c r="S1321">
        <v>26075</v>
      </c>
      <c r="T1321">
        <v>8</v>
      </c>
      <c r="U1321" t="s">
        <v>51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 t="s">
        <v>67</v>
      </c>
      <c r="AH1321" t="s">
        <v>46</v>
      </c>
      <c r="AI1321">
        <v>0</v>
      </c>
      <c r="AJ1321" t="s">
        <v>65</v>
      </c>
      <c r="AK1321" t="s">
        <v>68</v>
      </c>
      <c r="AL1321" t="s">
        <v>49</v>
      </c>
      <c r="AM1321" t="s">
        <v>85</v>
      </c>
      <c r="AN1321">
        <f t="shared" si="20"/>
        <v>-5</v>
      </c>
    </row>
    <row r="1322" spans="1:40">
      <c r="A1322">
        <v>42</v>
      </c>
      <c r="B1322" t="s">
        <v>51</v>
      </c>
      <c r="C1322" t="s">
        <v>77</v>
      </c>
      <c r="D1322">
        <v>355</v>
      </c>
      <c r="E1322" t="s">
        <v>53</v>
      </c>
      <c r="F1322">
        <v>10</v>
      </c>
      <c r="G1322">
        <v>4</v>
      </c>
      <c r="H1322" t="s">
        <v>86</v>
      </c>
      <c r="I1322">
        <v>1854</v>
      </c>
      <c r="J1322">
        <v>3</v>
      </c>
      <c r="K1322" t="s">
        <v>54</v>
      </c>
      <c r="L1322">
        <v>38</v>
      </c>
      <c r="M1322">
        <v>3</v>
      </c>
      <c r="N1322">
        <v>1</v>
      </c>
      <c r="O1322" t="s">
        <v>55</v>
      </c>
      <c r="P1322">
        <v>3</v>
      </c>
      <c r="Q1322" t="s">
        <v>56</v>
      </c>
      <c r="R1322">
        <v>2936</v>
      </c>
      <c r="S1322">
        <v>6161</v>
      </c>
      <c r="T1322">
        <v>3</v>
      </c>
      <c r="U1322" t="s">
        <v>51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  <c r="AG1322" t="s">
        <v>45</v>
      </c>
      <c r="AH1322" t="s">
        <v>71</v>
      </c>
      <c r="AI1322">
        <v>0</v>
      </c>
      <c r="AJ1322" t="s">
        <v>47</v>
      </c>
      <c r="AK1322" t="s">
        <v>68</v>
      </c>
      <c r="AL1322" t="s">
        <v>66</v>
      </c>
      <c r="AM1322" t="s">
        <v>70</v>
      </c>
      <c r="AN1322">
        <f t="shared" si="20"/>
        <v>5</v>
      </c>
    </row>
    <row r="1323" spans="1:40">
      <c r="A1323">
        <v>47</v>
      </c>
      <c r="B1323" t="s">
        <v>51</v>
      </c>
      <c r="C1323" t="s">
        <v>39</v>
      </c>
      <c r="D1323">
        <v>207</v>
      </c>
      <c r="E1323" t="s">
        <v>53</v>
      </c>
      <c r="F1323">
        <v>9</v>
      </c>
      <c r="G1323">
        <v>4</v>
      </c>
      <c r="H1323" t="s">
        <v>41</v>
      </c>
      <c r="I1323">
        <v>1856</v>
      </c>
      <c r="J1323">
        <v>2</v>
      </c>
      <c r="K1323" t="s">
        <v>42</v>
      </c>
      <c r="L1323">
        <v>64</v>
      </c>
      <c r="M1323">
        <v>3</v>
      </c>
      <c r="N1323">
        <v>1</v>
      </c>
      <c r="O1323" t="s">
        <v>63</v>
      </c>
      <c r="P1323">
        <v>3</v>
      </c>
      <c r="Q1323" t="s">
        <v>44</v>
      </c>
      <c r="R1323">
        <v>2105</v>
      </c>
      <c r="S1323">
        <v>5411</v>
      </c>
      <c r="T1323">
        <v>4</v>
      </c>
      <c r="U1323" t="s">
        <v>51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  <c r="AG1323" t="s">
        <v>57</v>
      </c>
      <c r="AH1323" t="s">
        <v>81</v>
      </c>
      <c r="AI1323">
        <v>0</v>
      </c>
      <c r="AJ1323" t="s">
        <v>65</v>
      </c>
      <c r="AK1323" t="s">
        <v>68</v>
      </c>
      <c r="AL1323" t="s">
        <v>66</v>
      </c>
      <c r="AM1323" t="s">
        <v>61</v>
      </c>
      <c r="AN1323">
        <f t="shared" si="20"/>
        <v>2</v>
      </c>
    </row>
    <row r="1324" spans="1:40">
      <c r="A1324">
        <v>46</v>
      </c>
      <c r="B1324" t="s">
        <v>51</v>
      </c>
      <c r="C1324" t="s">
        <v>39</v>
      </c>
      <c r="D1324">
        <v>706</v>
      </c>
      <c r="E1324" t="s">
        <v>53</v>
      </c>
      <c r="F1324">
        <v>2</v>
      </c>
      <c r="G1324">
        <v>2</v>
      </c>
      <c r="H1324" t="s">
        <v>41</v>
      </c>
      <c r="I1324">
        <v>1857</v>
      </c>
      <c r="J1324">
        <v>4</v>
      </c>
      <c r="K1324" t="s">
        <v>54</v>
      </c>
      <c r="L1324">
        <v>82</v>
      </c>
      <c r="M1324">
        <v>3</v>
      </c>
      <c r="N1324">
        <v>3</v>
      </c>
      <c r="O1324" t="s">
        <v>75</v>
      </c>
      <c r="P1324">
        <v>4</v>
      </c>
      <c r="Q1324" t="s">
        <v>74</v>
      </c>
      <c r="R1324">
        <v>8578</v>
      </c>
      <c r="S1324">
        <v>19989</v>
      </c>
      <c r="T1324">
        <v>3</v>
      </c>
      <c r="U1324" t="s">
        <v>51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  <c r="AG1324" t="s">
        <v>57</v>
      </c>
      <c r="AH1324" t="s">
        <v>46</v>
      </c>
      <c r="AI1324">
        <v>0</v>
      </c>
      <c r="AJ1324" t="s">
        <v>47</v>
      </c>
      <c r="AK1324" t="s">
        <v>48</v>
      </c>
      <c r="AL1324" t="s">
        <v>49</v>
      </c>
      <c r="AM1324" t="s">
        <v>70</v>
      </c>
      <c r="AN1324">
        <f t="shared" si="20"/>
        <v>3</v>
      </c>
    </row>
    <row r="1325" spans="1:40">
      <c r="A1325">
        <v>28</v>
      </c>
      <c r="B1325" t="s">
        <v>51</v>
      </c>
      <c r="C1325" t="s">
        <v>77</v>
      </c>
      <c r="D1325">
        <v>280</v>
      </c>
      <c r="E1325" t="s">
        <v>88</v>
      </c>
      <c r="F1325">
        <v>1</v>
      </c>
      <c r="G1325">
        <v>2</v>
      </c>
      <c r="H1325" t="s">
        <v>41</v>
      </c>
      <c r="I1325">
        <v>1858</v>
      </c>
      <c r="J1325">
        <v>3</v>
      </c>
      <c r="K1325" t="s">
        <v>54</v>
      </c>
      <c r="L1325">
        <v>43</v>
      </c>
      <c r="M1325">
        <v>3</v>
      </c>
      <c r="N1325">
        <v>1</v>
      </c>
      <c r="O1325" t="s">
        <v>88</v>
      </c>
      <c r="P1325">
        <v>4</v>
      </c>
      <c r="Q1325" t="s">
        <v>74</v>
      </c>
      <c r="R1325">
        <v>2706</v>
      </c>
      <c r="S1325">
        <v>10494</v>
      </c>
      <c r="T1325">
        <v>1</v>
      </c>
      <c r="U1325" t="s">
        <v>51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  <c r="AG1325" t="s">
        <v>67</v>
      </c>
      <c r="AH1325" t="s">
        <v>46</v>
      </c>
      <c r="AI1325">
        <v>0</v>
      </c>
      <c r="AJ1325" t="s">
        <v>65</v>
      </c>
      <c r="AK1325" t="s">
        <v>48</v>
      </c>
      <c r="AL1325" t="s">
        <v>49</v>
      </c>
      <c r="AM1325" t="s">
        <v>61</v>
      </c>
      <c r="AN1325">
        <f t="shared" si="20"/>
        <v>-1</v>
      </c>
    </row>
    <row r="1326" spans="1:40">
      <c r="A1326">
        <v>29</v>
      </c>
      <c r="B1326" t="s">
        <v>51</v>
      </c>
      <c r="C1326" t="s">
        <v>39</v>
      </c>
      <c r="D1326">
        <v>726</v>
      </c>
      <c r="E1326" t="s">
        <v>53</v>
      </c>
      <c r="F1326">
        <v>29</v>
      </c>
      <c r="G1326">
        <v>1</v>
      </c>
      <c r="H1326" t="s">
        <v>41</v>
      </c>
      <c r="I1326">
        <v>1859</v>
      </c>
      <c r="J1326">
        <v>4</v>
      </c>
      <c r="K1326" t="s">
        <v>54</v>
      </c>
      <c r="L1326">
        <v>93</v>
      </c>
      <c r="M1326">
        <v>1</v>
      </c>
      <c r="N1326">
        <v>2</v>
      </c>
      <c r="O1326" t="s">
        <v>76</v>
      </c>
      <c r="P1326">
        <v>3</v>
      </c>
      <c r="Q1326" t="s">
        <v>74</v>
      </c>
      <c r="R1326">
        <v>6384</v>
      </c>
      <c r="S1326">
        <v>21143</v>
      </c>
      <c r="T1326">
        <v>8</v>
      </c>
      <c r="U1326" t="s">
        <v>51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  <c r="AG1326" t="s">
        <v>67</v>
      </c>
      <c r="AH1326" t="s">
        <v>46</v>
      </c>
      <c r="AI1326">
        <v>0</v>
      </c>
      <c r="AJ1326" t="s">
        <v>58</v>
      </c>
      <c r="AK1326" t="s">
        <v>59</v>
      </c>
      <c r="AL1326" t="s">
        <v>66</v>
      </c>
      <c r="AM1326" t="s">
        <v>61</v>
      </c>
      <c r="AN1326">
        <f t="shared" si="20"/>
        <v>1</v>
      </c>
    </row>
    <row r="1327" spans="1:40">
      <c r="A1327">
        <v>42</v>
      </c>
      <c r="B1327" t="s">
        <v>51</v>
      </c>
      <c r="C1327" t="s">
        <v>39</v>
      </c>
      <c r="D1327">
        <v>1142</v>
      </c>
      <c r="E1327" t="s">
        <v>53</v>
      </c>
      <c r="F1327">
        <v>8</v>
      </c>
      <c r="G1327">
        <v>3</v>
      </c>
      <c r="H1327" t="s">
        <v>41</v>
      </c>
      <c r="I1327">
        <v>1860</v>
      </c>
      <c r="J1327">
        <v>4</v>
      </c>
      <c r="K1327" t="s">
        <v>54</v>
      </c>
      <c r="L1327">
        <v>81</v>
      </c>
      <c r="M1327">
        <v>3</v>
      </c>
      <c r="N1327">
        <v>1</v>
      </c>
      <c r="O1327" t="s">
        <v>63</v>
      </c>
      <c r="P1327">
        <v>3</v>
      </c>
      <c r="Q1327" t="s">
        <v>44</v>
      </c>
      <c r="R1327">
        <v>3968</v>
      </c>
      <c r="S1327">
        <v>13624</v>
      </c>
      <c r="T1327">
        <v>4</v>
      </c>
      <c r="U1327" t="s">
        <v>51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 t="s">
        <v>45</v>
      </c>
      <c r="AH1327" t="s">
        <v>46</v>
      </c>
      <c r="AI1327">
        <v>0</v>
      </c>
      <c r="AJ1327" t="s">
        <v>65</v>
      </c>
      <c r="AK1327" t="s">
        <v>72</v>
      </c>
      <c r="AL1327" t="s">
        <v>66</v>
      </c>
      <c r="AM1327" t="s">
        <v>61</v>
      </c>
      <c r="AN1327">
        <f t="shared" si="20"/>
        <v>0</v>
      </c>
    </row>
    <row r="1328" spans="1:40">
      <c r="A1328">
        <v>32</v>
      </c>
      <c r="B1328" t="s">
        <v>38</v>
      </c>
      <c r="C1328" t="s">
        <v>39</v>
      </c>
      <c r="D1328">
        <v>414</v>
      </c>
      <c r="E1328" t="s">
        <v>40</v>
      </c>
      <c r="F1328">
        <v>2</v>
      </c>
      <c r="G1328">
        <v>4</v>
      </c>
      <c r="H1328" t="s">
        <v>84</v>
      </c>
      <c r="I1328">
        <v>1862</v>
      </c>
      <c r="J1328">
        <v>3</v>
      </c>
      <c r="K1328" t="s">
        <v>54</v>
      </c>
      <c r="L1328">
        <v>82</v>
      </c>
      <c r="M1328">
        <v>2</v>
      </c>
      <c r="N1328">
        <v>2</v>
      </c>
      <c r="O1328" t="s">
        <v>43</v>
      </c>
      <c r="P1328">
        <v>2</v>
      </c>
      <c r="Q1328" t="s">
        <v>44</v>
      </c>
      <c r="R1328">
        <v>9907</v>
      </c>
      <c r="S1328">
        <v>26186</v>
      </c>
      <c r="T1328">
        <v>7</v>
      </c>
      <c r="U1328" t="s">
        <v>38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  <c r="AG1328" t="s">
        <v>67</v>
      </c>
      <c r="AH1328" t="s">
        <v>46</v>
      </c>
      <c r="AI1328">
        <v>1</v>
      </c>
      <c r="AJ1328" t="s">
        <v>47</v>
      </c>
      <c r="AK1328" t="s">
        <v>68</v>
      </c>
      <c r="AL1328" t="s">
        <v>60</v>
      </c>
      <c r="AM1328" t="s">
        <v>70</v>
      </c>
      <c r="AN1328">
        <f t="shared" si="20"/>
        <v>7</v>
      </c>
    </row>
    <row r="1329" spans="1:40">
      <c r="A1329">
        <v>46</v>
      </c>
      <c r="B1329" t="s">
        <v>51</v>
      </c>
      <c r="C1329" t="s">
        <v>39</v>
      </c>
      <c r="D1329">
        <v>1319</v>
      </c>
      <c r="E1329" t="s">
        <v>40</v>
      </c>
      <c r="F1329">
        <v>3</v>
      </c>
      <c r="G1329">
        <v>3</v>
      </c>
      <c r="H1329" t="s">
        <v>86</v>
      </c>
      <c r="I1329">
        <v>1863</v>
      </c>
      <c r="J1329">
        <v>1</v>
      </c>
      <c r="K1329" t="s">
        <v>42</v>
      </c>
      <c r="L1329">
        <v>45</v>
      </c>
      <c r="M1329">
        <v>4</v>
      </c>
      <c r="N1329">
        <v>4</v>
      </c>
      <c r="O1329" t="s">
        <v>43</v>
      </c>
      <c r="P1329">
        <v>1</v>
      </c>
      <c r="Q1329" t="s">
        <v>74</v>
      </c>
      <c r="R1329">
        <v>13225</v>
      </c>
      <c r="S1329">
        <v>7739</v>
      </c>
      <c r="T1329">
        <v>2</v>
      </c>
      <c r="U1329" t="s">
        <v>51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  <c r="AG1329" t="s">
        <v>57</v>
      </c>
      <c r="AH1329" t="s">
        <v>71</v>
      </c>
      <c r="AI1329">
        <v>0</v>
      </c>
      <c r="AJ1329" t="s">
        <v>80</v>
      </c>
      <c r="AK1329" t="s">
        <v>72</v>
      </c>
      <c r="AL1329" t="s">
        <v>73</v>
      </c>
      <c r="AM1329" t="s">
        <v>61</v>
      </c>
      <c r="AN1329">
        <f t="shared" si="20"/>
        <v>8</v>
      </c>
    </row>
    <row r="1330" spans="1:40">
      <c r="A1330">
        <v>27</v>
      </c>
      <c r="B1330" t="s">
        <v>51</v>
      </c>
      <c r="C1330" t="s">
        <v>39</v>
      </c>
      <c r="D1330">
        <v>728</v>
      </c>
      <c r="E1330" t="s">
        <v>40</v>
      </c>
      <c r="F1330">
        <v>23</v>
      </c>
      <c r="G1330">
        <v>1</v>
      </c>
      <c r="H1330" t="s">
        <v>69</v>
      </c>
      <c r="I1330">
        <v>1864</v>
      </c>
      <c r="J1330">
        <v>2</v>
      </c>
      <c r="K1330" t="s">
        <v>42</v>
      </c>
      <c r="L1330">
        <v>36</v>
      </c>
      <c r="M1330">
        <v>2</v>
      </c>
      <c r="N1330">
        <v>2</v>
      </c>
      <c r="O1330" t="s">
        <v>82</v>
      </c>
      <c r="P1330">
        <v>3</v>
      </c>
      <c r="Q1330" t="s">
        <v>56</v>
      </c>
      <c r="R1330">
        <v>3540</v>
      </c>
      <c r="S1330">
        <v>7018</v>
      </c>
      <c r="T1330">
        <v>1</v>
      </c>
      <c r="U1330" t="s">
        <v>51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  <c r="AG1330" t="s">
        <v>67</v>
      </c>
      <c r="AH1330" t="s">
        <v>71</v>
      </c>
      <c r="AI1330">
        <v>0</v>
      </c>
      <c r="AJ1330" t="s">
        <v>58</v>
      </c>
      <c r="AK1330" t="s">
        <v>59</v>
      </c>
      <c r="AL1330" t="s">
        <v>66</v>
      </c>
      <c r="AM1330" t="s">
        <v>61</v>
      </c>
      <c r="AN1330">
        <f t="shared" si="20"/>
        <v>5</v>
      </c>
    </row>
    <row r="1331" spans="1:40">
      <c r="A1331">
        <v>29</v>
      </c>
      <c r="B1331" t="s">
        <v>51</v>
      </c>
      <c r="C1331" t="s">
        <v>39</v>
      </c>
      <c r="D1331">
        <v>352</v>
      </c>
      <c r="E1331" t="s">
        <v>88</v>
      </c>
      <c r="F1331">
        <v>6</v>
      </c>
      <c r="G1331">
        <v>1</v>
      </c>
      <c r="H1331" t="s">
        <v>69</v>
      </c>
      <c r="I1331">
        <v>1865</v>
      </c>
      <c r="J1331">
        <v>4</v>
      </c>
      <c r="K1331" t="s">
        <v>54</v>
      </c>
      <c r="L1331">
        <v>87</v>
      </c>
      <c r="M1331">
        <v>2</v>
      </c>
      <c r="N1331">
        <v>1</v>
      </c>
      <c r="O1331" t="s">
        <v>88</v>
      </c>
      <c r="P1331">
        <v>2</v>
      </c>
      <c r="Q1331" t="s">
        <v>56</v>
      </c>
      <c r="R1331">
        <v>2804</v>
      </c>
      <c r="S1331">
        <v>15434</v>
      </c>
      <c r="T1331">
        <v>1</v>
      </c>
      <c r="U1331" t="s">
        <v>51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  <c r="AG1331" t="s">
        <v>67</v>
      </c>
      <c r="AH1331" t="s">
        <v>46</v>
      </c>
      <c r="AI1331">
        <v>0</v>
      </c>
      <c r="AJ1331" t="s">
        <v>65</v>
      </c>
      <c r="AK1331" t="s">
        <v>59</v>
      </c>
      <c r="AL1331" t="s">
        <v>60</v>
      </c>
      <c r="AM1331" t="s">
        <v>61</v>
      </c>
      <c r="AN1331">
        <f t="shared" si="20"/>
        <v>3</v>
      </c>
    </row>
    <row r="1332" spans="1:40">
      <c r="A1332">
        <v>43</v>
      </c>
      <c r="B1332" t="s">
        <v>51</v>
      </c>
      <c r="C1332" t="s">
        <v>39</v>
      </c>
      <c r="D1332">
        <v>823</v>
      </c>
      <c r="E1332" t="s">
        <v>53</v>
      </c>
      <c r="F1332">
        <v>6</v>
      </c>
      <c r="G1332">
        <v>3</v>
      </c>
      <c r="H1332" t="s">
        <v>69</v>
      </c>
      <c r="I1332">
        <v>1866</v>
      </c>
      <c r="J1332">
        <v>1</v>
      </c>
      <c r="K1332" t="s">
        <v>42</v>
      </c>
      <c r="L1332">
        <v>81</v>
      </c>
      <c r="M1332">
        <v>2</v>
      </c>
      <c r="N1332">
        <v>5</v>
      </c>
      <c r="O1332" t="s">
        <v>79</v>
      </c>
      <c r="P1332">
        <v>3</v>
      </c>
      <c r="Q1332" t="s">
        <v>56</v>
      </c>
      <c r="R1332">
        <v>19392</v>
      </c>
      <c r="S1332">
        <v>22539</v>
      </c>
      <c r="T1332">
        <v>7</v>
      </c>
      <c r="U1332" t="s">
        <v>51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  <c r="AG1332" t="s">
        <v>45</v>
      </c>
      <c r="AH1332" t="s">
        <v>46</v>
      </c>
      <c r="AI1332">
        <v>0</v>
      </c>
      <c r="AJ1332" t="s">
        <v>80</v>
      </c>
      <c r="AK1332" t="s">
        <v>72</v>
      </c>
      <c r="AL1332" t="s">
        <v>66</v>
      </c>
      <c r="AM1332" t="s">
        <v>61</v>
      </c>
      <c r="AN1332">
        <f t="shared" si="20"/>
        <v>6</v>
      </c>
    </row>
    <row r="1333" spans="1:40">
      <c r="A1333">
        <v>48</v>
      </c>
      <c r="B1333" t="s">
        <v>51</v>
      </c>
      <c r="C1333" t="s">
        <v>39</v>
      </c>
      <c r="D1333">
        <v>1224</v>
      </c>
      <c r="E1333" t="s">
        <v>53</v>
      </c>
      <c r="F1333">
        <v>10</v>
      </c>
      <c r="G1333">
        <v>3</v>
      </c>
      <c r="H1333" t="s">
        <v>41</v>
      </c>
      <c r="I1333">
        <v>1867</v>
      </c>
      <c r="J1333">
        <v>4</v>
      </c>
      <c r="K1333" t="s">
        <v>54</v>
      </c>
      <c r="L1333">
        <v>91</v>
      </c>
      <c r="M1333">
        <v>2</v>
      </c>
      <c r="N1333">
        <v>5</v>
      </c>
      <c r="O1333" t="s">
        <v>83</v>
      </c>
      <c r="P1333">
        <v>2</v>
      </c>
      <c r="Q1333" t="s">
        <v>56</v>
      </c>
      <c r="R1333">
        <v>19665</v>
      </c>
      <c r="S1333">
        <v>13583</v>
      </c>
      <c r="T1333">
        <v>4</v>
      </c>
      <c r="U1333" t="s">
        <v>51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  <c r="AG1333" t="s">
        <v>57</v>
      </c>
      <c r="AH1333" t="s">
        <v>46</v>
      </c>
      <c r="AI1333">
        <v>0</v>
      </c>
      <c r="AJ1333" t="s">
        <v>80</v>
      </c>
      <c r="AK1333" t="s">
        <v>72</v>
      </c>
      <c r="AL1333" t="s">
        <v>60</v>
      </c>
      <c r="AM1333" t="s">
        <v>61</v>
      </c>
      <c r="AN1333">
        <f t="shared" si="20"/>
        <v>15</v>
      </c>
    </row>
    <row r="1334" spans="1:40">
      <c r="A1334">
        <v>29</v>
      </c>
      <c r="B1334" t="s">
        <v>38</v>
      </c>
      <c r="C1334" t="s">
        <v>52</v>
      </c>
      <c r="D1334">
        <v>459</v>
      </c>
      <c r="E1334" t="s">
        <v>53</v>
      </c>
      <c r="F1334">
        <v>24</v>
      </c>
      <c r="G1334">
        <v>2</v>
      </c>
      <c r="H1334" t="s">
        <v>41</v>
      </c>
      <c r="I1334">
        <v>1868</v>
      </c>
      <c r="J1334">
        <v>4</v>
      </c>
      <c r="K1334" t="s">
        <v>54</v>
      </c>
      <c r="L1334">
        <v>73</v>
      </c>
      <c r="M1334">
        <v>2</v>
      </c>
      <c r="N1334">
        <v>1</v>
      </c>
      <c r="O1334" t="s">
        <v>55</v>
      </c>
      <c r="P1334">
        <v>4</v>
      </c>
      <c r="Q1334" t="s">
        <v>44</v>
      </c>
      <c r="R1334">
        <v>2439</v>
      </c>
      <c r="S1334">
        <v>14753</v>
      </c>
      <c r="T1334">
        <v>1</v>
      </c>
      <c r="U1334" t="s">
        <v>38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  <c r="AG1334" t="s">
        <v>67</v>
      </c>
      <c r="AH1334" t="s">
        <v>46</v>
      </c>
      <c r="AI1334">
        <v>1</v>
      </c>
      <c r="AJ1334" t="s">
        <v>47</v>
      </c>
      <c r="AK1334" t="s">
        <v>48</v>
      </c>
      <c r="AL1334" t="s">
        <v>49</v>
      </c>
      <c r="AM1334" t="s">
        <v>70</v>
      </c>
      <c r="AN1334">
        <f t="shared" si="20"/>
        <v>0</v>
      </c>
    </row>
    <row r="1335" spans="1:40">
      <c r="A1335">
        <v>46</v>
      </c>
      <c r="B1335" t="s">
        <v>38</v>
      </c>
      <c r="C1335" t="s">
        <v>39</v>
      </c>
      <c r="D1335">
        <v>1254</v>
      </c>
      <c r="E1335" t="s">
        <v>40</v>
      </c>
      <c r="F1335">
        <v>10</v>
      </c>
      <c r="G1335">
        <v>3</v>
      </c>
      <c r="H1335" t="s">
        <v>41</v>
      </c>
      <c r="I1335">
        <v>1869</v>
      </c>
      <c r="J1335">
        <v>3</v>
      </c>
      <c r="K1335" t="s">
        <v>42</v>
      </c>
      <c r="L1335">
        <v>64</v>
      </c>
      <c r="M1335">
        <v>3</v>
      </c>
      <c r="N1335">
        <v>3</v>
      </c>
      <c r="O1335" t="s">
        <v>43</v>
      </c>
      <c r="P1335">
        <v>2</v>
      </c>
      <c r="Q1335" t="s">
        <v>56</v>
      </c>
      <c r="R1335">
        <v>7314</v>
      </c>
      <c r="S1335">
        <v>14011</v>
      </c>
      <c r="T1335">
        <v>5</v>
      </c>
      <c r="U1335" t="s">
        <v>51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  <c r="AG1335" t="s">
        <v>57</v>
      </c>
      <c r="AH1335" t="s">
        <v>46</v>
      </c>
      <c r="AI1335">
        <v>1</v>
      </c>
      <c r="AJ1335" t="s">
        <v>58</v>
      </c>
      <c r="AK1335" t="s">
        <v>72</v>
      </c>
      <c r="AL1335" t="s">
        <v>60</v>
      </c>
      <c r="AM1335" t="s">
        <v>61</v>
      </c>
      <c r="AN1335">
        <f t="shared" si="20"/>
        <v>3</v>
      </c>
    </row>
    <row r="1336" spans="1:40">
      <c r="A1336">
        <v>27</v>
      </c>
      <c r="B1336" t="s">
        <v>51</v>
      </c>
      <c r="C1336" t="s">
        <v>52</v>
      </c>
      <c r="D1336">
        <v>1131</v>
      </c>
      <c r="E1336" t="s">
        <v>53</v>
      </c>
      <c r="F1336">
        <v>15</v>
      </c>
      <c r="G1336">
        <v>3</v>
      </c>
      <c r="H1336" t="s">
        <v>41</v>
      </c>
      <c r="I1336">
        <v>1870</v>
      </c>
      <c r="J1336">
        <v>4</v>
      </c>
      <c r="K1336" t="s">
        <v>42</v>
      </c>
      <c r="L1336">
        <v>77</v>
      </c>
      <c r="M1336">
        <v>2</v>
      </c>
      <c r="N1336">
        <v>1</v>
      </c>
      <c r="O1336" t="s">
        <v>55</v>
      </c>
      <c r="P1336">
        <v>1</v>
      </c>
      <c r="Q1336" t="s">
        <v>56</v>
      </c>
      <c r="R1336">
        <v>4774</v>
      </c>
      <c r="S1336">
        <v>23844</v>
      </c>
      <c r="T1336">
        <v>0</v>
      </c>
      <c r="U1336" t="s">
        <v>51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  <c r="AG1336" t="s">
        <v>67</v>
      </c>
      <c r="AH1336" t="s">
        <v>46</v>
      </c>
      <c r="AI1336">
        <v>0</v>
      </c>
      <c r="AJ1336" t="s">
        <v>47</v>
      </c>
      <c r="AK1336" t="s">
        <v>72</v>
      </c>
      <c r="AL1336" t="s">
        <v>73</v>
      </c>
      <c r="AM1336" t="s">
        <v>70</v>
      </c>
      <c r="AN1336">
        <f t="shared" si="20"/>
        <v>15</v>
      </c>
    </row>
    <row r="1337" spans="1:40">
      <c r="A1337">
        <v>39</v>
      </c>
      <c r="B1337" t="s">
        <v>51</v>
      </c>
      <c r="C1337" t="s">
        <v>39</v>
      </c>
      <c r="D1337">
        <v>835</v>
      </c>
      <c r="E1337" t="s">
        <v>53</v>
      </c>
      <c r="F1337">
        <v>19</v>
      </c>
      <c r="G1337">
        <v>4</v>
      </c>
      <c r="H1337" t="s">
        <v>62</v>
      </c>
      <c r="I1337">
        <v>1871</v>
      </c>
      <c r="J1337">
        <v>4</v>
      </c>
      <c r="K1337" t="s">
        <v>54</v>
      </c>
      <c r="L1337">
        <v>41</v>
      </c>
      <c r="M1337">
        <v>3</v>
      </c>
      <c r="N1337">
        <v>2</v>
      </c>
      <c r="O1337" t="s">
        <v>55</v>
      </c>
      <c r="P1337">
        <v>4</v>
      </c>
      <c r="Q1337" t="s">
        <v>74</v>
      </c>
      <c r="R1337">
        <v>3902</v>
      </c>
      <c r="S1337">
        <v>5141</v>
      </c>
      <c r="T1337">
        <v>8</v>
      </c>
      <c r="U1337" t="s">
        <v>51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  <c r="AG1337" t="s">
        <v>45</v>
      </c>
      <c r="AH1337" t="s">
        <v>81</v>
      </c>
      <c r="AI1337">
        <v>0</v>
      </c>
      <c r="AJ1337" t="s">
        <v>65</v>
      </c>
      <c r="AK1337" t="s">
        <v>68</v>
      </c>
      <c r="AL1337" t="s">
        <v>49</v>
      </c>
      <c r="AM1337" t="s">
        <v>61</v>
      </c>
      <c r="AN1337">
        <f t="shared" si="20"/>
        <v>-1</v>
      </c>
    </row>
    <row r="1338" spans="1:40">
      <c r="A1338">
        <v>55</v>
      </c>
      <c r="B1338" t="s">
        <v>51</v>
      </c>
      <c r="C1338" t="s">
        <v>39</v>
      </c>
      <c r="D1338">
        <v>836</v>
      </c>
      <c r="E1338" t="s">
        <v>53</v>
      </c>
      <c r="F1338">
        <v>2</v>
      </c>
      <c r="G1338">
        <v>4</v>
      </c>
      <c r="H1338" t="s">
        <v>86</v>
      </c>
      <c r="I1338">
        <v>1873</v>
      </c>
      <c r="J1338">
        <v>2</v>
      </c>
      <c r="K1338" t="s">
        <v>54</v>
      </c>
      <c r="L1338">
        <v>98</v>
      </c>
      <c r="M1338">
        <v>2</v>
      </c>
      <c r="N1338">
        <v>1</v>
      </c>
      <c r="O1338" t="s">
        <v>55</v>
      </c>
      <c r="P1338">
        <v>4</v>
      </c>
      <c r="Q1338" t="s">
        <v>56</v>
      </c>
      <c r="R1338">
        <v>2662</v>
      </c>
      <c r="S1338">
        <v>7975</v>
      </c>
      <c r="T1338">
        <v>8</v>
      </c>
      <c r="U1338" t="s">
        <v>51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  <c r="AG1338" t="s">
        <v>57</v>
      </c>
      <c r="AH1338" t="s">
        <v>71</v>
      </c>
      <c r="AI1338">
        <v>0</v>
      </c>
      <c r="AJ1338" t="s">
        <v>65</v>
      </c>
      <c r="AK1338" t="s">
        <v>68</v>
      </c>
      <c r="AL1338" t="s">
        <v>49</v>
      </c>
      <c r="AM1338" t="s">
        <v>85</v>
      </c>
      <c r="AN1338">
        <f t="shared" si="20"/>
        <v>-5</v>
      </c>
    </row>
    <row r="1339" spans="1:40">
      <c r="A1339">
        <v>28</v>
      </c>
      <c r="B1339" t="s">
        <v>51</v>
      </c>
      <c r="C1339" t="s">
        <v>39</v>
      </c>
      <c r="D1339">
        <v>1172</v>
      </c>
      <c r="E1339" t="s">
        <v>40</v>
      </c>
      <c r="F1339">
        <v>3</v>
      </c>
      <c r="G1339">
        <v>3</v>
      </c>
      <c r="H1339" t="s">
        <v>69</v>
      </c>
      <c r="I1339">
        <v>1875</v>
      </c>
      <c r="J1339">
        <v>2</v>
      </c>
      <c r="K1339" t="s">
        <v>42</v>
      </c>
      <c r="L1339">
        <v>78</v>
      </c>
      <c r="M1339">
        <v>3</v>
      </c>
      <c r="N1339">
        <v>1</v>
      </c>
      <c r="O1339" t="s">
        <v>82</v>
      </c>
      <c r="P1339">
        <v>2</v>
      </c>
      <c r="Q1339" t="s">
        <v>56</v>
      </c>
      <c r="R1339">
        <v>2856</v>
      </c>
      <c r="S1339">
        <v>3692</v>
      </c>
      <c r="T1339">
        <v>1</v>
      </c>
      <c r="U1339" t="s">
        <v>51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  <c r="AG1339" t="s">
        <v>67</v>
      </c>
      <c r="AH1339" t="s">
        <v>81</v>
      </c>
      <c r="AI1339">
        <v>0</v>
      </c>
      <c r="AJ1339" t="s">
        <v>65</v>
      </c>
      <c r="AK1339" t="s">
        <v>72</v>
      </c>
      <c r="AL1339" t="s">
        <v>60</v>
      </c>
      <c r="AM1339" t="s">
        <v>61</v>
      </c>
      <c r="AN1339">
        <f t="shared" si="20"/>
        <v>3</v>
      </c>
    </row>
    <row r="1340" spans="1:40">
      <c r="A1340">
        <v>30</v>
      </c>
      <c r="B1340" t="s">
        <v>38</v>
      </c>
      <c r="C1340" t="s">
        <v>39</v>
      </c>
      <c r="D1340">
        <v>945</v>
      </c>
      <c r="E1340" t="s">
        <v>40</v>
      </c>
      <c r="F1340">
        <v>9</v>
      </c>
      <c r="G1340">
        <v>3</v>
      </c>
      <c r="H1340" t="s">
        <v>69</v>
      </c>
      <c r="I1340">
        <v>1876</v>
      </c>
      <c r="J1340">
        <v>2</v>
      </c>
      <c r="K1340" t="s">
        <v>54</v>
      </c>
      <c r="L1340">
        <v>89</v>
      </c>
      <c r="M1340">
        <v>3</v>
      </c>
      <c r="N1340">
        <v>1</v>
      </c>
      <c r="O1340" t="s">
        <v>82</v>
      </c>
      <c r="P1340">
        <v>4</v>
      </c>
      <c r="Q1340" t="s">
        <v>44</v>
      </c>
      <c r="R1340">
        <v>1081</v>
      </c>
      <c r="S1340">
        <v>16019</v>
      </c>
      <c r="T1340">
        <v>1</v>
      </c>
      <c r="U1340" t="s">
        <v>51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  <c r="AG1340" t="s">
        <v>67</v>
      </c>
      <c r="AH1340" t="s">
        <v>46</v>
      </c>
      <c r="AI1340">
        <v>1</v>
      </c>
      <c r="AJ1340" t="s">
        <v>47</v>
      </c>
      <c r="AK1340" t="s">
        <v>72</v>
      </c>
      <c r="AL1340" t="s">
        <v>49</v>
      </c>
      <c r="AM1340" t="s">
        <v>70</v>
      </c>
      <c r="AN1340">
        <f t="shared" si="20"/>
        <v>-1</v>
      </c>
    </row>
    <row r="1341" spans="1:40">
      <c r="A1341">
        <v>22</v>
      </c>
      <c r="B1341" t="s">
        <v>38</v>
      </c>
      <c r="C1341" t="s">
        <v>39</v>
      </c>
      <c r="D1341">
        <v>391</v>
      </c>
      <c r="E1341" t="s">
        <v>53</v>
      </c>
      <c r="F1341">
        <v>7</v>
      </c>
      <c r="G1341">
        <v>1</v>
      </c>
      <c r="H1341" t="s">
        <v>41</v>
      </c>
      <c r="I1341">
        <v>1878</v>
      </c>
      <c r="J1341">
        <v>4</v>
      </c>
      <c r="K1341" t="s">
        <v>54</v>
      </c>
      <c r="L1341">
        <v>75</v>
      </c>
      <c r="M1341">
        <v>3</v>
      </c>
      <c r="N1341">
        <v>1</v>
      </c>
      <c r="O1341" t="s">
        <v>55</v>
      </c>
      <c r="P1341">
        <v>2</v>
      </c>
      <c r="Q1341" t="s">
        <v>44</v>
      </c>
      <c r="R1341">
        <v>2472</v>
      </c>
      <c r="S1341">
        <v>26092</v>
      </c>
      <c r="T1341">
        <v>1</v>
      </c>
      <c r="U1341" t="s">
        <v>38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  <c r="AG1341" t="s">
        <v>78</v>
      </c>
      <c r="AH1341" t="s">
        <v>46</v>
      </c>
      <c r="AI1341">
        <v>1</v>
      </c>
      <c r="AJ1341" t="s">
        <v>65</v>
      </c>
      <c r="AK1341" t="s">
        <v>59</v>
      </c>
      <c r="AL1341" t="s">
        <v>60</v>
      </c>
      <c r="AM1341" t="s">
        <v>61</v>
      </c>
      <c r="AN1341">
        <f t="shared" si="20"/>
        <v>3</v>
      </c>
    </row>
    <row r="1342" spans="1:40">
      <c r="A1342">
        <v>36</v>
      </c>
      <c r="B1342" t="s">
        <v>51</v>
      </c>
      <c r="C1342" t="s">
        <v>39</v>
      </c>
      <c r="D1342">
        <v>1266</v>
      </c>
      <c r="E1342" t="s">
        <v>40</v>
      </c>
      <c r="F1342">
        <v>10</v>
      </c>
      <c r="G1342">
        <v>4</v>
      </c>
      <c r="H1342" t="s">
        <v>86</v>
      </c>
      <c r="I1342">
        <v>1880</v>
      </c>
      <c r="J1342">
        <v>2</v>
      </c>
      <c r="K1342" t="s">
        <v>42</v>
      </c>
      <c r="L1342">
        <v>63</v>
      </c>
      <c r="M1342">
        <v>2</v>
      </c>
      <c r="N1342">
        <v>2</v>
      </c>
      <c r="O1342" t="s">
        <v>43</v>
      </c>
      <c r="P1342">
        <v>3</v>
      </c>
      <c r="Q1342" t="s">
        <v>56</v>
      </c>
      <c r="R1342">
        <v>5673</v>
      </c>
      <c r="S1342">
        <v>6060</v>
      </c>
      <c r="T1342">
        <v>1</v>
      </c>
      <c r="U1342" t="s">
        <v>38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  <c r="AG1342" t="s">
        <v>45</v>
      </c>
      <c r="AH1342" t="s">
        <v>71</v>
      </c>
      <c r="AI1342">
        <v>0</v>
      </c>
      <c r="AJ1342" t="s">
        <v>58</v>
      </c>
      <c r="AK1342" t="s">
        <v>68</v>
      </c>
      <c r="AL1342" t="s">
        <v>66</v>
      </c>
      <c r="AM1342" t="s">
        <v>61</v>
      </c>
      <c r="AN1342">
        <f t="shared" si="20"/>
        <v>1</v>
      </c>
    </row>
    <row r="1343" spans="1:40">
      <c r="A1343">
        <v>31</v>
      </c>
      <c r="B1343" t="s">
        <v>51</v>
      </c>
      <c r="C1343" t="s">
        <v>39</v>
      </c>
      <c r="D1343">
        <v>311</v>
      </c>
      <c r="E1343" t="s">
        <v>53</v>
      </c>
      <c r="F1343">
        <v>20</v>
      </c>
      <c r="G1343">
        <v>3</v>
      </c>
      <c r="H1343" t="s">
        <v>41</v>
      </c>
      <c r="I1343">
        <v>1881</v>
      </c>
      <c r="J1343">
        <v>2</v>
      </c>
      <c r="K1343" t="s">
        <v>54</v>
      </c>
      <c r="L1343">
        <v>89</v>
      </c>
      <c r="M1343">
        <v>3</v>
      </c>
      <c r="N1343">
        <v>2</v>
      </c>
      <c r="O1343" t="s">
        <v>63</v>
      </c>
      <c r="P1343">
        <v>3</v>
      </c>
      <c r="Q1343" t="s">
        <v>74</v>
      </c>
      <c r="R1343">
        <v>4197</v>
      </c>
      <c r="S1343">
        <v>18624</v>
      </c>
      <c r="T1343">
        <v>1</v>
      </c>
      <c r="U1343" t="s">
        <v>51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  <c r="AG1343" t="s">
        <v>67</v>
      </c>
      <c r="AH1343" t="s">
        <v>46</v>
      </c>
      <c r="AI1343">
        <v>0</v>
      </c>
      <c r="AJ1343" t="s">
        <v>58</v>
      </c>
      <c r="AK1343" t="s">
        <v>72</v>
      </c>
      <c r="AL1343" t="s">
        <v>66</v>
      </c>
      <c r="AM1343" t="s">
        <v>61</v>
      </c>
      <c r="AN1343">
        <f t="shared" si="20"/>
        <v>0</v>
      </c>
    </row>
    <row r="1344" spans="1:40">
      <c r="A1344">
        <v>34</v>
      </c>
      <c r="B1344" t="s">
        <v>51</v>
      </c>
      <c r="C1344" t="s">
        <v>39</v>
      </c>
      <c r="D1344">
        <v>1480</v>
      </c>
      <c r="E1344" t="s">
        <v>40</v>
      </c>
      <c r="F1344">
        <v>4</v>
      </c>
      <c r="G1344">
        <v>3</v>
      </c>
      <c r="H1344" t="s">
        <v>41</v>
      </c>
      <c r="I1344">
        <v>1882</v>
      </c>
      <c r="J1344">
        <v>3</v>
      </c>
      <c r="K1344" t="s">
        <v>54</v>
      </c>
      <c r="L1344">
        <v>64</v>
      </c>
      <c r="M1344">
        <v>3</v>
      </c>
      <c r="N1344">
        <v>3</v>
      </c>
      <c r="O1344" t="s">
        <v>43</v>
      </c>
      <c r="P1344">
        <v>4</v>
      </c>
      <c r="Q1344" t="s">
        <v>56</v>
      </c>
      <c r="R1344">
        <v>9713</v>
      </c>
      <c r="S1344">
        <v>24444</v>
      </c>
      <c r="T1344">
        <v>2</v>
      </c>
      <c r="U1344" t="s">
        <v>38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  <c r="AG1344" t="s">
        <v>67</v>
      </c>
      <c r="AH1344" t="s">
        <v>46</v>
      </c>
      <c r="AI1344">
        <v>0</v>
      </c>
      <c r="AJ1344" t="s">
        <v>65</v>
      </c>
      <c r="AK1344" t="s">
        <v>72</v>
      </c>
      <c r="AL1344" t="s">
        <v>49</v>
      </c>
      <c r="AM1344" t="s">
        <v>61</v>
      </c>
      <c r="AN1344">
        <f t="shared" si="20"/>
        <v>-2</v>
      </c>
    </row>
    <row r="1345" spans="1:40">
      <c r="A1345">
        <v>29</v>
      </c>
      <c r="B1345" t="s">
        <v>51</v>
      </c>
      <c r="C1345" t="s">
        <v>39</v>
      </c>
      <c r="D1345">
        <v>592</v>
      </c>
      <c r="E1345" t="s">
        <v>53</v>
      </c>
      <c r="F1345">
        <v>7</v>
      </c>
      <c r="G1345">
        <v>3</v>
      </c>
      <c r="H1345" t="s">
        <v>41</v>
      </c>
      <c r="I1345">
        <v>1883</v>
      </c>
      <c r="J1345">
        <v>4</v>
      </c>
      <c r="K1345" t="s">
        <v>54</v>
      </c>
      <c r="L1345">
        <v>59</v>
      </c>
      <c r="M1345">
        <v>3</v>
      </c>
      <c r="N1345">
        <v>1</v>
      </c>
      <c r="O1345" t="s">
        <v>63</v>
      </c>
      <c r="P1345">
        <v>1</v>
      </c>
      <c r="Q1345" t="s">
        <v>44</v>
      </c>
      <c r="R1345">
        <v>2062</v>
      </c>
      <c r="S1345">
        <v>19384</v>
      </c>
      <c r="T1345">
        <v>3</v>
      </c>
      <c r="U1345" t="s">
        <v>51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  <c r="AG1345" t="s">
        <v>67</v>
      </c>
      <c r="AH1345" t="s">
        <v>46</v>
      </c>
      <c r="AI1345">
        <v>0</v>
      </c>
      <c r="AJ1345" t="s">
        <v>65</v>
      </c>
      <c r="AK1345" t="s">
        <v>72</v>
      </c>
      <c r="AL1345" t="s">
        <v>73</v>
      </c>
      <c r="AM1345" t="s">
        <v>61</v>
      </c>
      <c r="AN1345">
        <f t="shared" si="20"/>
        <v>7</v>
      </c>
    </row>
    <row r="1346" spans="1:40">
      <c r="A1346">
        <v>37</v>
      </c>
      <c r="B1346" t="s">
        <v>51</v>
      </c>
      <c r="C1346" t="s">
        <v>39</v>
      </c>
      <c r="D1346">
        <v>783</v>
      </c>
      <c r="E1346" t="s">
        <v>53</v>
      </c>
      <c r="F1346">
        <v>7</v>
      </c>
      <c r="G1346">
        <v>4</v>
      </c>
      <c r="H1346" t="s">
        <v>69</v>
      </c>
      <c r="I1346">
        <v>1885</v>
      </c>
      <c r="J1346">
        <v>4</v>
      </c>
      <c r="K1346" t="s">
        <v>54</v>
      </c>
      <c r="L1346">
        <v>78</v>
      </c>
      <c r="M1346">
        <v>3</v>
      </c>
      <c r="N1346">
        <v>2</v>
      </c>
      <c r="O1346" t="s">
        <v>55</v>
      </c>
      <c r="P1346">
        <v>1</v>
      </c>
      <c r="Q1346" t="s">
        <v>56</v>
      </c>
      <c r="R1346">
        <v>4284</v>
      </c>
      <c r="S1346">
        <v>13588</v>
      </c>
      <c r="T1346">
        <v>5</v>
      </c>
      <c r="U1346" t="s">
        <v>38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  <c r="AG1346" t="s">
        <v>45</v>
      </c>
      <c r="AH1346" t="s">
        <v>46</v>
      </c>
      <c r="AI1346">
        <v>0</v>
      </c>
      <c r="AJ1346" t="s">
        <v>65</v>
      </c>
      <c r="AK1346" t="s">
        <v>68</v>
      </c>
      <c r="AL1346" t="s">
        <v>73</v>
      </c>
      <c r="AM1346" t="s">
        <v>61</v>
      </c>
      <c r="AN1346">
        <f t="shared" si="20"/>
        <v>6</v>
      </c>
    </row>
    <row r="1347" spans="1:40">
      <c r="A1347">
        <v>35</v>
      </c>
      <c r="B1347" t="s">
        <v>51</v>
      </c>
      <c r="C1347" t="s">
        <v>39</v>
      </c>
      <c r="D1347">
        <v>219</v>
      </c>
      <c r="E1347" t="s">
        <v>53</v>
      </c>
      <c r="F1347">
        <v>16</v>
      </c>
      <c r="G1347">
        <v>2</v>
      </c>
      <c r="H1347" t="s">
        <v>62</v>
      </c>
      <c r="I1347">
        <v>1886</v>
      </c>
      <c r="J1347">
        <v>4</v>
      </c>
      <c r="K1347" t="s">
        <v>42</v>
      </c>
      <c r="L1347">
        <v>44</v>
      </c>
      <c r="M1347">
        <v>2</v>
      </c>
      <c r="N1347">
        <v>2</v>
      </c>
      <c r="O1347" t="s">
        <v>75</v>
      </c>
      <c r="P1347">
        <v>2</v>
      </c>
      <c r="Q1347" t="s">
        <v>56</v>
      </c>
      <c r="R1347">
        <v>4788</v>
      </c>
      <c r="S1347">
        <v>25388</v>
      </c>
      <c r="T1347">
        <v>0</v>
      </c>
      <c r="U1347" t="s">
        <v>38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  <c r="AG1347" t="s">
        <v>67</v>
      </c>
      <c r="AH1347" t="s">
        <v>46</v>
      </c>
      <c r="AI1347">
        <v>0</v>
      </c>
      <c r="AJ1347" t="s">
        <v>65</v>
      </c>
      <c r="AK1347" t="s">
        <v>48</v>
      </c>
      <c r="AL1347" t="s">
        <v>60</v>
      </c>
      <c r="AM1347" t="s">
        <v>61</v>
      </c>
      <c r="AN1347">
        <f t="shared" ref="AN1347:AN1410" si="21">((3-P1347)*3+((3-AB1347)*2+AE1347))</f>
        <v>3</v>
      </c>
    </row>
    <row r="1348" spans="1:40">
      <c r="A1348">
        <v>45</v>
      </c>
      <c r="B1348" t="s">
        <v>51</v>
      </c>
      <c r="C1348" t="s">
        <v>39</v>
      </c>
      <c r="D1348">
        <v>556</v>
      </c>
      <c r="E1348" t="s">
        <v>53</v>
      </c>
      <c r="F1348">
        <v>25</v>
      </c>
      <c r="G1348">
        <v>2</v>
      </c>
      <c r="H1348" t="s">
        <v>41</v>
      </c>
      <c r="I1348">
        <v>1888</v>
      </c>
      <c r="J1348">
        <v>2</v>
      </c>
      <c r="K1348" t="s">
        <v>42</v>
      </c>
      <c r="L1348">
        <v>93</v>
      </c>
      <c r="M1348">
        <v>2</v>
      </c>
      <c r="N1348">
        <v>2</v>
      </c>
      <c r="O1348" t="s">
        <v>75</v>
      </c>
      <c r="P1348">
        <v>4</v>
      </c>
      <c r="Q1348" t="s">
        <v>56</v>
      </c>
      <c r="R1348">
        <v>5906</v>
      </c>
      <c r="S1348">
        <v>23888</v>
      </c>
      <c r="T1348">
        <v>0</v>
      </c>
      <c r="U1348" t="s">
        <v>51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  <c r="AG1348" t="s">
        <v>45</v>
      </c>
      <c r="AH1348" t="s">
        <v>46</v>
      </c>
      <c r="AI1348">
        <v>0</v>
      </c>
      <c r="AJ1348" t="s">
        <v>47</v>
      </c>
      <c r="AK1348" t="s">
        <v>48</v>
      </c>
      <c r="AL1348" t="s">
        <v>49</v>
      </c>
      <c r="AM1348" t="s">
        <v>70</v>
      </c>
      <c r="AN1348">
        <f t="shared" si="21"/>
        <v>2</v>
      </c>
    </row>
    <row r="1349" spans="1:40">
      <c r="A1349">
        <v>36</v>
      </c>
      <c r="B1349" t="s">
        <v>51</v>
      </c>
      <c r="C1349" t="s">
        <v>52</v>
      </c>
      <c r="D1349">
        <v>1213</v>
      </c>
      <c r="E1349" t="s">
        <v>88</v>
      </c>
      <c r="F1349">
        <v>2</v>
      </c>
      <c r="G1349">
        <v>1</v>
      </c>
      <c r="H1349" t="s">
        <v>88</v>
      </c>
      <c r="I1349">
        <v>1890</v>
      </c>
      <c r="J1349">
        <v>2</v>
      </c>
      <c r="K1349" t="s">
        <v>54</v>
      </c>
      <c r="L1349">
        <v>94</v>
      </c>
      <c r="M1349">
        <v>2</v>
      </c>
      <c r="N1349">
        <v>2</v>
      </c>
      <c r="O1349" t="s">
        <v>88</v>
      </c>
      <c r="P1349">
        <v>4</v>
      </c>
      <c r="Q1349" t="s">
        <v>44</v>
      </c>
      <c r="R1349">
        <v>3886</v>
      </c>
      <c r="S1349">
        <v>4223</v>
      </c>
      <c r="T1349">
        <v>1</v>
      </c>
      <c r="U1349" t="s">
        <v>51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  <c r="AG1349" t="s">
        <v>45</v>
      </c>
      <c r="AH1349" t="s">
        <v>81</v>
      </c>
      <c r="AI1349">
        <v>0</v>
      </c>
      <c r="AJ1349" t="s">
        <v>47</v>
      </c>
      <c r="AK1349" t="s">
        <v>59</v>
      </c>
      <c r="AL1349" t="s">
        <v>49</v>
      </c>
      <c r="AM1349" t="s">
        <v>70</v>
      </c>
      <c r="AN1349">
        <f t="shared" si="21"/>
        <v>-1</v>
      </c>
    </row>
    <row r="1350" spans="1:40">
      <c r="A1350">
        <v>40</v>
      </c>
      <c r="B1350" t="s">
        <v>51</v>
      </c>
      <c r="C1350" t="s">
        <v>39</v>
      </c>
      <c r="D1350">
        <v>1137</v>
      </c>
      <c r="E1350" t="s">
        <v>53</v>
      </c>
      <c r="F1350">
        <v>1</v>
      </c>
      <c r="G1350">
        <v>4</v>
      </c>
      <c r="H1350" t="s">
        <v>41</v>
      </c>
      <c r="I1350">
        <v>1892</v>
      </c>
      <c r="J1350">
        <v>1</v>
      </c>
      <c r="K1350" t="s">
        <v>54</v>
      </c>
      <c r="L1350">
        <v>98</v>
      </c>
      <c r="M1350">
        <v>3</v>
      </c>
      <c r="N1350">
        <v>4</v>
      </c>
      <c r="O1350" t="s">
        <v>79</v>
      </c>
      <c r="P1350">
        <v>1</v>
      </c>
      <c r="Q1350" t="s">
        <v>74</v>
      </c>
      <c r="R1350">
        <v>16823</v>
      </c>
      <c r="S1350">
        <v>18991</v>
      </c>
      <c r="T1350">
        <v>2</v>
      </c>
      <c r="U1350" t="s">
        <v>51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  <c r="AG1350" t="s">
        <v>45</v>
      </c>
      <c r="AH1350" t="s">
        <v>46</v>
      </c>
      <c r="AI1350">
        <v>0</v>
      </c>
      <c r="AJ1350" t="s">
        <v>80</v>
      </c>
      <c r="AK1350" t="s">
        <v>68</v>
      </c>
      <c r="AL1350" t="s">
        <v>73</v>
      </c>
      <c r="AM1350" t="s">
        <v>61</v>
      </c>
      <c r="AN1350">
        <f t="shared" si="21"/>
        <v>17</v>
      </c>
    </row>
    <row r="1351" spans="1:40">
      <c r="A1351">
        <v>26</v>
      </c>
      <c r="B1351" t="s">
        <v>51</v>
      </c>
      <c r="C1351" t="s">
        <v>39</v>
      </c>
      <c r="D1351">
        <v>482</v>
      </c>
      <c r="E1351" t="s">
        <v>53</v>
      </c>
      <c r="F1351">
        <v>1</v>
      </c>
      <c r="G1351">
        <v>2</v>
      </c>
      <c r="H1351" t="s">
        <v>41</v>
      </c>
      <c r="I1351">
        <v>1893</v>
      </c>
      <c r="J1351">
        <v>2</v>
      </c>
      <c r="K1351" t="s">
        <v>42</v>
      </c>
      <c r="L1351">
        <v>90</v>
      </c>
      <c r="M1351">
        <v>2</v>
      </c>
      <c r="N1351">
        <v>1</v>
      </c>
      <c r="O1351" t="s">
        <v>55</v>
      </c>
      <c r="P1351">
        <v>3</v>
      </c>
      <c r="Q1351" t="s">
        <v>56</v>
      </c>
      <c r="R1351">
        <v>2933</v>
      </c>
      <c r="S1351">
        <v>14908</v>
      </c>
      <c r="T1351">
        <v>1</v>
      </c>
      <c r="U1351" t="s">
        <v>38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  <c r="AG1351" t="s">
        <v>67</v>
      </c>
      <c r="AH1351" t="s">
        <v>46</v>
      </c>
      <c r="AI1351">
        <v>0</v>
      </c>
      <c r="AJ1351" t="s">
        <v>47</v>
      </c>
      <c r="AK1351" t="s">
        <v>48</v>
      </c>
      <c r="AL1351" t="s">
        <v>66</v>
      </c>
      <c r="AM1351" t="s">
        <v>70</v>
      </c>
      <c r="AN1351">
        <f t="shared" si="21"/>
        <v>3</v>
      </c>
    </row>
    <row r="1352" spans="1:40">
      <c r="A1352">
        <v>27</v>
      </c>
      <c r="B1352" t="s">
        <v>51</v>
      </c>
      <c r="C1352" t="s">
        <v>39</v>
      </c>
      <c r="D1352">
        <v>511</v>
      </c>
      <c r="E1352" t="s">
        <v>40</v>
      </c>
      <c r="F1352">
        <v>2</v>
      </c>
      <c r="G1352">
        <v>2</v>
      </c>
      <c r="H1352" t="s">
        <v>69</v>
      </c>
      <c r="I1352">
        <v>1898</v>
      </c>
      <c r="J1352">
        <v>1</v>
      </c>
      <c r="K1352" t="s">
        <v>42</v>
      </c>
      <c r="L1352">
        <v>89</v>
      </c>
      <c r="M1352">
        <v>4</v>
      </c>
      <c r="N1352">
        <v>2</v>
      </c>
      <c r="O1352" t="s">
        <v>43</v>
      </c>
      <c r="P1352">
        <v>3</v>
      </c>
      <c r="Q1352" t="s">
        <v>44</v>
      </c>
      <c r="R1352">
        <v>6500</v>
      </c>
      <c r="S1352">
        <v>26997</v>
      </c>
      <c r="T1352">
        <v>0</v>
      </c>
      <c r="U1352" t="s">
        <v>51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  <c r="AG1352" t="s">
        <v>67</v>
      </c>
      <c r="AH1352" t="s">
        <v>46</v>
      </c>
      <c r="AI1352">
        <v>0</v>
      </c>
      <c r="AJ1352" t="s">
        <v>47</v>
      </c>
      <c r="AK1352" t="s">
        <v>48</v>
      </c>
      <c r="AL1352" t="s">
        <v>66</v>
      </c>
      <c r="AM1352" t="s">
        <v>70</v>
      </c>
      <c r="AN1352">
        <f t="shared" si="21"/>
        <v>2</v>
      </c>
    </row>
    <row r="1353" spans="1:40">
      <c r="A1353">
        <v>48</v>
      </c>
      <c r="B1353" t="s">
        <v>51</v>
      </c>
      <c r="C1353" t="s">
        <v>52</v>
      </c>
      <c r="D1353">
        <v>117</v>
      </c>
      <c r="E1353" t="s">
        <v>53</v>
      </c>
      <c r="F1353">
        <v>22</v>
      </c>
      <c r="G1353">
        <v>3</v>
      </c>
      <c r="H1353" t="s">
        <v>69</v>
      </c>
      <c r="I1353">
        <v>1900</v>
      </c>
      <c r="J1353">
        <v>4</v>
      </c>
      <c r="K1353" t="s">
        <v>42</v>
      </c>
      <c r="L1353">
        <v>58</v>
      </c>
      <c r="M1353">
        <v>3</v>
      </c>
      <c r="N1353">
        <v>4</v>
      </c>
      <c r="O1353" t="s">
        <v>79</v>
      </c>
      <c r="P1353">
        <v>4</v>
      </c>
      <c r="Q1353" t="s">
        <v>74</v>
      </c>
      <c r="R1353">
        <v>17174</v>
      </c>
      <c r="S1353">
        <v>2437</v>
      </c>
      <c r="T1353">
        <v>3</v>
      </c>
      <c r="U1353" t="s">
        <v>51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  <c r="AG1353" t="s">
        <v>57</v>
      </c>
      <c r="AH1353" t="s">
        <v>64</v>
      </c>
      <c r="AI1353">
        <v>0</v>
      </c>
      <c r="AJ1353" t="s">
        <v>80</v>
      </c>
      <c r="AK1353" t="s">
        <v>72</v>
      </c>
      <c r="AL1353" t="s">
        <v>49</v>
      </c>
      <c r="AM1353" t="s">
        <v>61</v>
      </c>
      <c r="AN1353">
        <f t="shared" si="21"/>
        <v>1</v>
      </c>
    </row>
    <row r="1354" spans="1:40">
      <c r="A1354">
        <v>44</v>
      </c>
      <c r="B1354" t="s">
        <v>51</v>
      </c>
      <c r="C1354" t="s">
        <v>39</v>
      </c>
      <c r="D1354">
        <v>170</v>
      </c>
      <c r="E1354" t="s">
        <v>53</v>
      </c>
      <c r="F1354">
        <v>1</v>
      </c>
      <c r="G1354">
        <v>4</v>
      </c>
      <c r="H1354" t="s">
        <v>41</v>
      </c>
      <c r="I1354">
        <v>1903</v>
      </c>
      <c r="J1354">
        <v>2</v>
      </c>
      <c r="K1354" t="s">
        <v>54</v>
      </c>
      <c r="L1354">
        <v>78</v>
      </c>
      <c r="M1354">
        <v>4</v>
      </c>
      <c r="N1354">
        <v>2</v>
      </c>
      <c r="O1354" t="s">
        <v>76</v>
      </c>
      <c r="P1354">
        <v>1</v>
      </c>
      <c r="Q1354" t="s">
        <v>56</v>
      </c>
      <c r="R1354">
        <v>5033</v>
      </c>
      <c r="S1354">
        <v>9364</v>
      </c>
      <c r="T1354">
        <v>2</v>
      </c>
      <c r="U1354" t="s">
        <v>51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  <c r="AG1354" t="s">
        <v>45</v>
      </c>
      <c r="AH1354" t="s">
        <v>71</v>
      </c>
      <c r="AI1354">
        <v>0</v>
      </c>
      <c r="AJ1354" t="s">
        <v>65</v>
      </c>
      <c r="AK1354" t="s">
        <v>68</v>
      </c>
      <c r="AL1354" t="s">
        <v>73</v>
      </c>
      <c r="AM1354" t="s">
        <v>61</v>
      </c>
      <c r="AN1354">
        <f t="shared" si="21"/>
        <v>8</v>
      </c>
    </row>
    <row r="1355" spans="1:40">
      <c r="A1355">
        <v>34</v>
      </c>
      <c r="B1355" t="s">
        <v>38</v>
      </c>
      <c r="C1355" t="s">
        <v>77</v>
      </c>
      <c r="D1355">
        <v>967</v>
      </c>
      <c r="E1355" t="s">
        <v>53</v>
      </c>
      <c r="F1355">
        <v>16</v>
      </c>
      <c r="G1355">
        <v>4</v>
      </c>
      <c r="H1355" t="s">
        <v>86</v>
      </c>
      <c r="I1355">
        <v>1905</v>
      </c>
      <c r="J1355">
        <v>4</v>
      </c>
      <c r="K1355" t="s">
        <v>54</v>
      </c>
      <c r="L1355">
        <v>85</v>
      </c>
      <c r="M1355">
        <v>1</v>
      </c>
      <c r="N1355">
        <v>1</v>
      </c>
      <c r="O1355" t="s">
        <v>55</v>
      </c>
      <c r="P1355">
        <v>1</v>
      </c>
      <c r="Q1355" t="s">
        <v>56</v>
      </c>
      <c r="R1355">
        <v>2307</v>
      </c>
      <c r="S1355">
        <v>14460</v>
      </c>
      <c r="T1355">
        <v>1</v>
      </c>
      <c r="U1355" t="s">
        <v>38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  <c r="AG1355" t="s">
        <v>67</v>
      </c>
      <c r="AH1355" t="s">
        <v>46</v>
      </c>
      <c r="AI1355">
        <v>1</v>
      </c>
      <c r="AJ1355" t="s">
        <v>65</v>
      </c>
      <c r="AK1355" t="s">
        <v>68</v>
      </c>
      <c r="AL1355" t="s">
        <v>73</v>
      </c>
      <c r="AM1355" t="s">
        <v>61</v>
      </c>
      <c r="AN1355">
        <f t="shared" si="21"/>
        <v>9</v>
      </c>
    </row>
    <row r="1356" spans="1:40">
      <c r="A1356">
        <v>56</v>
      </c>
      <c r="B1356" t="s">
        <v>38</v>
      </c>
      <c r="C1356" t="s">
        <v>39</v>
      </c>
      <c r="D1356">
        <v>1162</v>
      </c>
      <c r="E1356" t="s">
        <v>53</v>
      </c>
      <c r="F1356">
        <v>24</v>
      </c>
      <c r="G1356">
        <v>2</v>
      </c>
      <c r="H1356" t="s">
        <v>41</v>
      </c>
      <c r="I1356">
        <v>1907</v>
      </c>
      <c r="J1356">
        <v>1</v>
      </c>
      <c r="K1356" t="s">
        <v>54</v>
      </c>
      <c r="L1356">
        <v>97</v>
      </c>
      <c r="M1356">
        <v>3</v>
      </c>
      <c r="N1356">
        <v>1</v>
      </c>
      <c r="O1356" t="s">
        <v>63</v>
      </c>
      <c r="P1356">
        <v>4</v>
      </c>
      <c r="Q1356" t="s">
        <v>44</v>
      </c>
      <c r="R1356">
        <v>2587</v>
      </c>
      <c r="S1356">
        <v>10261</v>
      </c>
      <c r="T1356">
        <v>1</v>
      </c>
      <c r="U1356" t="s">
        <v>51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  <c r="AG1356" t="s">
        <v>57</v>
      </c>
      <c r="AH1356" t="s">
        <v>46</v>
      </c>
      <c r="AI1356">
        <v>1</v>
      </c>
      <c r="AJ1356" t="s">
        <v>65</v>
      </c>
      <c r="AK1356" t="s">
        <v>48</v>
      </c>
      <c r="AL1356" t="s">
        <v>49</v>
      </c>
      <c r="AM1356" t="s">
        <v>61</v>
      </c>
      <c r="AN1356">
        <f t="shared" si="21"/>
        <v>-2</v>
      </c>
    </row>
    <row r="1357" spans="1:40">
      <c r="A1357">
        <v>36</v>
      </c>
      <c r="B1357" t="s">
        <v>51</v>
      </c>
      <c r="C1357" t="s">
        <v>39</v>
      </c>
      <c r="D1357">
        <v>335</v>
      </c>
      <c r="E1357" t="s">
        <v>40</v>
      </c>
      <c r="F1357">
        <v>17</v>
      </c>
      <c r="G1357">
        <v>2</v>
      </c>
      <c r="H1357" t="s">
        <v>84</v>
      </c>
      <c r="I1357">
        <v>1908</v>
      </c>
      <c r="J1357">
        <v>3</v>
      </c>
      <c r="K1357" t="s">
        <v>54</v>
      </c>
      <c r="L1357">
        <v>33</v>
      </c>
      <c r="M1357">
        <v>2</v>
      </c>
      <c r="N1357">
        <v>2</v>
      </c>
      <c r="O1357" t="s">
        <v>43</v>
      </c>
      <c r="P1357">
        <v>2</v>
      </c>
      <c r="Q1357" t="s">
        <v>56</v>
      </c>
      <c r="R1357">
        <v>5507</v>
      </c>
      <c r="S1357">
        <v>16822</v>
      </c>
      <c r="T1357">
        <v>2</v>
      </c>
      <c r="U1357" t="s">
        <v>51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  <c r="AG1357" t="s">
        <v>45</v>
      </c>
      <c r="AH1357" t="s">
        <v>46</v>
      </c>
      <c r="AI1357">
        <v>0</v>
      </c>
      <c r="AJ1357" t="s">
        <v>47</v>
      </c>
      <c r="AK1357" t="s">
        <v>48</v>
      </c>
      <c r="AL1357" t="s">
        <v>60</v>
      </c>
      <c r="AM1357" t="s">
        <v>50</v>
      </c>
      <c r="AN1357">
        <f t="shared" si="21"/>
        <v>8</v>
      </c>
    </row>
    <row r="1358" spans="1:40">
      <c r="A1358">
        <v>41</v>
      </c>
      <c r="B1358" t="s">
        <v>51</v>
      </c>
      <c r="C1358" t="s">
        <v>39</v>
      </c>
      <c r="D1358">
        <v>337</v>
      </c>
      <c r="E1358" t="s">
        <v>40</v>
      </c>
      <c r="F1358">
        <v>8</v>
      </c>
      <c r="G1358">
        <v>3</v>
      </c>
      <c r="H1358" t="s">
        <v>84</v>
      </c>
      <c r="I1358">
        <v>1909</v>
      </c>
      <c r="J1358">
        <v>3</v>
      </c>
      <c r="K1358" t="s">
        <v>42</v>
      </c>
      <c r="L1358">
        <v>54</v>
      </c>
      <c r="M1358">
        <v>3</v>
      </c>
      <c r="N1358">
        <v>2</v>
      </c>
      <c r="O1358" t="s">
        <v>43</v>
      </c>
      <c r="P1358">
        <v>2</v>
      </c>
      <c r="Q1358" t="s">
        <v>56</v>
      </c>
      <c r="R1358">
        <v>4393</v>
      </c>
      <c r="S1358">
        <v>26841</v>
      </c>
      <c r="T1358">
        <v>5</v>
      </c>
      <c r="U1358" t="s">
        <v>51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  <c r="AG1358" t="s">
        <v>45</v>
      </c>
      <c r="AH1358" t="s">
        <v>46</v>
      </c>
      <c r="AI1358">
        <v>0</v>
      </c>
      <c r="AJ1358" t="s">
        <v>65</v>
      </c>
      <c r="AK1358" t="s">
        <v>72</v>
      </c>
      <c r="AL1358" t="s">
        <v>60</v>
      </c>
      <c r="AM1358" t="s">
        <v>61</v>
      </c>
      <c r="AN1358">
        <f t="shared" si="21"/>
        <v>4</v>
      </c>
    </row>
    <row r="1359" spans="1:40">
      <c r="A1359">
        <v>42</v>
      </c>
      <c r="B1359" t="s">
        <v>51</v>
      </c>
      <c r="C1359" t="s">
        <v>39</v>
      </c>
      <c r="D1359">
        <v>1396</v>
      </c>
      <c r="E1359" t="s">
        <v>53</v>
      </c>
      <c r="F1359">
        <v>6</v>
      </c>
      <c r="G1359">
        <v>3</v>
      </c>
      <c r="H1359" t="s">
        <v>69</v>
      </c>
      <c r="I1359">
        <v>1911</v>
      </c>
      <c r="J1359">
        <v>3</v>
      </c>
      <c r="K1359" t="s">
        <v>54</v>
      </c>
      <c r="L1359">
        <v>83</v>
      </c>
      <c r="M1359">
        <v>3</v>
      </c>
      <c r="N1359">
        <v>3</v>
      </c>
      <c r="O1359" t="s">
        <v>83</v>
      </c>
      <c r="P1359">
        <v>1</v>
      </c>
      <c r="Q1359" t="s">
        <v>56</v>
      </c>
      <c r="R1359">
        <v>13348</v>
      </c>
      <c r="S1359">
        <v>14842</v>
      </c>
      <c r="T1359">
        <v>9</v>
      </c>
      <c r="U1359" t="s">
        <v>51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  <c r="AG1359" t="s">
        <v>45</v>
      </c>
      <c r="AH1359" t="s">
        <v>46</v>
      </c>
      <c r="AI1359">
        <v>0</v>
      </c>
      <c r="AJ1359" t="s">
        <v>80</v>
      </c>
      <c r="AK1359" t="s">
        <v>72</v>
      </c>
      <c r="AL1359" t="s">
        <v>73</v>
      </c>
      <c r="AM1359" t="s">
        <v>85</v>
      </c>
      <c r="AN1359">
        <f t="shared" si="21"/>
        <v>9</v>
      </c>
    </row>
    <row r="1360" spans="1:40">
      <c r="A1360">
        <v>31</v>
      </c>
      <c r="B1360" t="s">
        <v>51</v>
      </c>
      <c r="C1360" t="s">
        <v>39</v>
      </c>
      <c r="D1360">
        <v>1079</v>
      </c>
      <c r="E1360" t="s">
        <v>40</v>
      </c>
      <c r="F1360">
        <v>10</v>
      </c>
      <c r="G1360">
        <v>2</v>
      </c>
      <c r="H1360" t="s">
        <v>69</v>
      </c>
      <c r="I1360">
        <v>1912</v>
      </c>
      <c r="J1360">
        <v>3</v>
      </c>
      <c r="K1360" t="s">
        <v>42</v>
      </c>
      <c r="L1360">
        <v>86</v>
      </c>
      <c r="M1360">
        <v>3</v>
      </c>
      <c r="N1360">
        <v>2</v>
      </c>
      <c r="O1360" t="s">
        <v>43</v>
      </c>
      <c r="P1360">
        <v>4</v>
      </c>
      <c r="Q1360" t="s">
        <v>74</v>
      </c>
      <c r="R1360">
        <v>6583</v>
      </c>
      <c r="S1360">
        <v>20115</v>
      </c>
      <c r="T1360">
        <v>2</v>
      </c>
      <c r="U1360" t="s">
        <v>38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  <c r="AG1360" t="s">
        <v>67</v>
      </c>
      <c r="AH1360" t="s">
        <v>46</v>
      </c>
      <c r="AI1360">
        <v>0</v>
      </c>
      <c r="AJ1360" t="s">
        <v>65</v>
      </c>
      <c r="AK1360" t="s">
        <v>48</v>
      </c>
      <c r="AL1360" t="s">
        <v>49</v>
      </c>
      <c r="AM1360" t="s">
        <v>61</v>
      </c>
      <c r="AN1360">
        <f t="shared" si="21"/>
        <v>-2</v>
      </c>
    </row>
    <row r="1361" spans="1:40">
      <c r="A1361">
        <v>34</v>
      </c>
      <c r="B1361" t="s">
        <v>51</v>
      </c>
      <c r="C1361" t="s">
        <v>39</v>
      </c>
      <c r="D1361">
        <v>735</v>
      </c>
      <c r="E1361" t="s">
        <v>40</v>
      </c>
      <c r="F1361">
        <v>3</v>
      </c>
      <c r="G1361">
        <v>1</v>
      </c>
      <c r="H1361" t="s">
        <v>69</v>
      </c>
      <c r="I1361">
        <v>1915</v>
      </c>
      <c r="J1361">
        <v>4</v>
      </c>
      <c r="K1361" t="s">
        <v>42</v>
      </c>
      <c r="L1361">
        <v>75</v>
      </c>
      <c r="M1361">
        <v>2</v>
      </c>
      <c r="N1361">
        <v>2</v>
      </c>
      <c r="O1361" t="s">
        <v>43</v>
      </c>
      <c r="P1361">
        <v>4</v>
      </c>
      <c r="Q1361" t="s">
        <v>56</v>
      </c>
      <c r="R1361">
        <v>8103</v>
      </c>
      <c r="S1361">
        <v>16495</v>
      </c>
      <c r="T1361">
        <v>3</v>
      </c>
      <c r="U1361" t="s">
        <v>38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  <c r="AG1361" t="s">
        <v>67</v>
      </c>
      <c r="AH1361" t="s">
        <v>46</v>
      </c>
      <c r="AI1361">
        <v>0</v>
      </c>
      <c r="AJ1361" t="s">
        <v>47</v>
      </c>
      <c r="AK1361" t="s">
        <v>59</v>
      </c>
      <c r="AL1361" t="s">
        <v>49</v>
      </c>
      <c r="AM1361" t="s">
        <v>70</v>
      </c>
      <c r="AN1361">
        <f t="shared" si="21"/>
        <v>-1</v>
      </c>
    </row>
    <row r="1362" spans="1:40">
      <c r="A1362">
        <v>31</v>
      </c>
      <c r="B1362" t="s">
        <v>51</v>
      </c>
      <c r="C1362" t="s">
        <v>39</v>
      </c>
      <c r="D1362">
        <v>471</v>
      </c>
      <c r="E1362" t="s">
        <v>53</v>
      </c>
      <c r="F1362">
        <v>4</v>
      </c>
      <c r="G1362">
        <v>3</v>
      </c>
      <c r="H1362" t="s">
        <v>69</v>
      </c>
      <c r="I1362">
        <v>1916</v>
      </c>
      <c r="J1362">
        <v>1</v>
      </c>
      <c r="K1362" t="s">
        <v>42</v>
      </c>
      <c r="L1362">
        <v>62</v>
      </c>
      <c r="M1362">
        <v>4</v>
      </c>
      <c r="N1362">
        <v>1</v>
      </c>
      <c r="O1362" t="s">
        <v>63</v>
      </c>
      <c r="P1362">
        <v>3</v>
      </c>
      <c r="Q1362" t="s">
        <v>74</v>
      </c>
      <c r="R1362">
        <v>3978</v>
      </c>
      <c r="S1362">
        <v>16031</v>
      </c>
      <c r="T1362">
        <v>8</v>
      </c>
      <c r="U1362" t="s">
        <v>51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  <c r="AG1362" t="s">
        <v>67</v>
      </c>
      <c r="AH1362" t="s">
        <v>46</v>
      </c>
      <c r="AI1362">
        <v>0</v>
      </c>
      <c r="AJ1362" t="s">
        <v>47</v>
      </c>
      <c r="AK1362" t="s">
        <v>72</v>
      </c>
      <c r="AL1362" t="s">
        <v>66</v>
      </c>
      <c r="AM1362" t="s">
        <v>70</v>
      </c>
      <c r="AN1362">
        <f t="shared" si="21"/>
        <v>4</v>
      </c>
    </row>
    <row r="1363" spans="1:40">
      <c r="A1363">
        <v>26</v>
      </c>
      <c r="B1363" t="s">
        <v>51</v>
      </c>
      <c r="C1363" t="s">
        <v>52</v>
      </c>
      <c r="D1363">
        <v>1096</v>
      </c>
      <c r="E1363" t="s">
        <v>53</v>
      </c>
      <c r="F1363">
        <v>6</v>
      </c>
      <c r="G1363">
        <v>3</v>
      </c>
      <c r="H1363" t="s">
        <v>62</v>
      </c>
      <c r="I1363">
        <v>1918</v>
      </c>
      <c r="J1363">
        <v>3</v>
      </c>
      <c r="K1363" t="s">
        <v>54</v>
      </c>
      <c r="L1363">
        <v>61</v>
      </c>
      <c r="M1363">
        <v>4</v>
      </c>
      <c r="N1363">
        <v>1</v>
      </c>
      <c r="O1363" t="s">
        <v>63</v>
      </c>
      <c r="P1363">
        <v>4</v>
      </c>
      <c r="Q1363" t="s">
        <v>56</v>
      </c>
      <c r="R1363">
        <v>2544</v>
      </c>
      <c r="S1363">
        <v>7102</v>
      </c>
      <c r="T1363">
        <v>0</v>
      </c>
      <c r="U1363" t="s">
        <v>51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  <c r="AG1363" t="s">
        <v>67</v>
      </c>
      <c r="AH1363" t="s">
        <v>71</v>
      </c>
      <c r="AI1363">
        <v>0</v>
      </c>
      <c r="AJ1363" t="s">
        <v>58</v>
      </c>
      <c r="AK1363" t="s">
        <v>72</v>
      </c>
      <c r="AL1363" t="s">
        <v>49</v>
      </c>
      <c r="AM1363" t="s">
        <v>61</v>
      </c>
      <c r="AN1363">
        <f t="shared" si="21"/>
        <v>4</v>
      </c>
    </row>
    <row r="1364" spans="1:40">
      <c r="A1364">
        <v>45</v>
      </c>
      <c r="B1364" t="s">
        <v>51</v>
      </c>
      <c r="C1364" t="s">
        <v>52</v>
      </c>
      <c r="D1364">
        <v>1297</v>
      </c>
      <c r="E1364" t="s">
        <v>53</v>
      </c>
      <c r="F1364">
        <v>1</v>
      </c>
      <c r="G1364">
        <v>4</v>
      </c>
      <c r="H1364" t="s">
        <v>69</v>
      </c>
      <c r="I1364">
        <v>1922</v>
      </c>
      <c r="J1364">
        <v>2</v>
      </c>
      <c r="K1364" t="s">
        <v>54</v>
      </c>
      <c r="L1364">
        <v>44</v>
      </c>
      <c r="M1364">
        <v>3</v>
      </c>
      <c r="N1364">
        <v>2</v>
      </c>
      <c r="O1364" t="s">
        <v>76</v>
      </c>
      <c r="P1364">
        <v>3</v>
      </c>
      <c r="Q1364" t="s">
        <v>44</v>
      </c>
      <c r="R1364">
        <v>5399</v>
      </c>
      <c r="S1364">
        <v>14511</v>
      </c>
      <c r="T1364">
        <v>4</v>
      </c>
      <c r="U1364" t="s">
        <v>51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  <c r="AG1364" t="s">
        <v>45</v>
      </c>
      <c r="AH1364" t="s">
        <v>46</v>
      </c>
      <c r="AI1364">
        <v>0</v>
      </c>
      <c r="AJ1364" t="s">
        <v>65</v>
      </c>
      <c r="AK1364" t="s">
        <v>68</v>
      </c>
      <c r="AL1364" t="s">
        <v>66</v>
      </c>
      <c r="AM1364" t="s">
        <v>61</v>
      </c>
      <c r="AN1364">
        <f t="shared" si="21"/>
        <v>0</v>
      </c>
    </row>
    <row r="1365" spans="1:40">
      <c r="A1365">
        <v>33</v>
      </c>
      <c r="B1365" t="s">
        <v>51</v>
      </c>
      <c r="C1365" t="s">
        <v>39</v>
      </c>
      <c r="D1365">
        <v>217</v>
      </c>
      <c r="E1365" t="s">
        <v>40</v>
      </c>
      <c r="F1365">
        <v>10</v>
      </c>
      <c r="G1365">
        <v>4</v>
      </c>
      <c r="H1365" t="s">
        <v>84</v>
      </c>
      <c r="I1365">
        <v>1924</v>
      </c>
      <c r="J1365">
        <v>2</v>
      </c>
      <c r="K1365" t="s">
        <v>54</v>
      </c>
      <c r="L1365">
        <v>43</v>
      </c>
      <c r="M1365">
        <v>3</v>
      </c>
      <c r="N1365">
        <v>2</v>
      </c>
      <c r="O1365" t="s">
        <v>43</v>
      </c>
      <c r="P1365">
        <v>3</v>
      </c>
      <c r="Q1365" t="s">
        <v>44</v>
      </c>
      <c r="R1365">
        <v>5487</v>
      </c>
      <c r="S1365">
        <v>10410</v>
      </c>
      <c r="T1365">
        <v>1</v>
      </c>
      <c r="U1365" t="s">
        <v>51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  <c r="AG1365" t="s">
        <v>67</v>
      </c>
      <c r="AH1365" t="s">
        <v>46</v>
      </c>
      <c r="AI1365">
        <v>0</v>
      </c>
      <c r="AJ1365" t="s">
        <v>47</v>
      </c>
      <c r="AK1365" t="s">
        <v>68</v>
      </c>
      <c r="AL1365" t="s">
        <v>66</v>
      </c>
      <c r="AM1365" t="s">
        <v>70</v>
      </c>
      <c r="AN1365">
        <f t="shared" si="21"/>
        <v>2</v>
      </c>
    </row>
    <row r="1366" spans="1:40">
      <c r="A1366">
        <v>28</v>
      </c>
      <c r="B1366" t="s">
        <v>51</v>
      </c>
      <c r="C1366" t="s">
        <v>52</v>
      </c>
      <c r="D1366">
        <v>783</v>
      </c>
      <c r="E1366" t="s">
        <v>40</v>
      </c>
      <c r="F1366">
        <v>1</v>
      </c>
      <c r="G1366">
        <v>2</v>
      </c>
      <c r="H1366" t="s">
        <v>41</v>
      </c>
      <c r="I1366">
        <v>1927</v>
      </c>
      <c r="J1366">
        <v>3</v>
      </c>
      <c r="K1366" t="s">
        <v>54</v>
      </c>
      <c r="L1366">
        <v>42</v>
      </c>
      <c r="M1366">
        <v>2</v>
      </c>
      <c r="N1366">
        <v>2</v>
      </c>
      <c r="O1366" t="s">
        <v>43</v>
      </c>
      <c r="P1366">
        <v>4</v>
      </c>
      <c r="Q1366" t="s">
        <v>56</v>
      </c>
      <c r="R1366">
        <v>6834</v>
      </c>
      <c r="S1366">
        <v>19255</v>
      </c>
      <c r="T1366">
        <v>1</v>
      </c>
      <c r="U1366" t="s">
        <v>38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  <c r="AG1366" t="s">
        <v>67</v>
      </c>
      <c r="AH1366" t="s">
        <v>46</v>
      </c>
      <c r="AI1366">
        <v>0</v>
      </c>
      <c r="AJ1366" t="s">
        <v>58</v>
      </c>
      <c r="AK1366" t="s">
        <v>48</v>
      </c>
      <c r="AL1366" t="s">
        <v>49</v>
      </c>
      <c r="AM1366" t="s">
        <v>61</v>
      </c>
      <c r="AN1366">
        <f t="shared" si="21"/>
        <v>-3</v>
      </c>
    </row>
    <row r="1367" spans="1:40">
      <c r="A1367">
        <v>29</v>
      </c>
      <c r="B1367" t="s">
        <v>38</v>
      </c>
      <c r="C1367" t="s">
        <v>52</v>
      </c>
      <c r="D1367">
        <v>746</v>
      </c>
      <c r="E1367" t="s">
        <v>40</v>
      </c>
      <c r="F1367">
        <v>24</v>
      </c>
      <c r="G1367">
        <v>3</v>
      </c>
      <c r="H1367" t="s">
        <v>86</v>
      </c>
      <c r="I1367">
        <v>1928</v>
      </c>
      <c r="J1367">
        <v>3</v>
      </c>
      <c r="K1367" t="s">
        <v>54</v>
      </c>
      <c r="L1367">
        <v>45</v>
      </c>
      <c r="M1367">
        <v>4</v>
      </c>
      <c r="N1367">
        <v>1</v>
      </c>
      <c r="O1367" t="s">
        <v>82</v>
      </c>
      <c r="P1367">
        <v>1</v>
      </c>
      <c r="Q1367" t="s">
        <v>44</v>
      </c>
      <c r="R1367">
        <v>1091</v>
      </c>
      <c r="S1367">
        <v>10642</v>
      </c>
      <c r="T1367">
        <v>1</v>
      </c>
      <c r="U1367" t="s">
        <v>51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  <c r="AG1367" t="s">
        <v>67</v>
      </c>
      <c r="AH1367" t="s">
        <v>46</v>
      </c>
      <c r="AI1367">
        <v>1</v>
      </c>
      <c r="AJ1367" t="s">
        <v>65</v>
      </c>
      <c r="AK1367" t="s">
        <v>72</v>
      </c>
      <c r="AL1367" t="s">
        <v>73</v>
      </c>
      <c r="AM1367" t="s">
        <v>61</v>
      </c>
      <c r="AN1367">
        <f t="shared" si="21"/>
        <v>6</v>
      </c>
    </row>
    <row r="1368" spans="1:40">
      <c r="A1368">
        <v>39</v>
      </c>
      <c r="B1368" t="s">
        <v>51</v>
      </c>
      <c r="C1368" t="s">
        <v>77</v>
      </c>
      <c r="D1368">
        <v>1251</v>
      </c>
      <c r="E1368" t="s">
        <v>40</v>
      </c>
      <c r="F1368">
        <v>21</v>
      </c>
      <c r="G1368">
        <v>4</v>
      </c>
      <c r="H1368" t="s">
        <v>41</v>
      </c>
      <c r="I1368">
        <v>1929</v>
      </c>
      <c r="J1368">
        <v>1</v>
      </c>
      <c r="K1368" t="s">
        <v>42</v>
      </c>
      <c r="L1368">
        <v>32</v>
      </c>
      <c r="M1368">
        <v>1</v>
      </c>
      <c r="N1368">
        <v>2</v>
      </c>
      <c r="O1368" t="s">
        <v>43</v>
      </c>
      <c r="P1368">
        <v>3</v>
      </c>
      <c r="Q1368" t="s">
        <v>56</v>
      </c>
      <c r="R1368">
        <v>5736</v>
      </c>
      <c r="S1368">
        <v>3987</v>
      </c>
      <c r="T1368">
        <v>6</v>
      </c>
      <c r="U1368" t="s">
        <v>51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  <c r="AG1368" t="s">
        <v>45</v>
      </c>
      <c r="AH1368" t="s">
        <v>81</v>
      </c>
      <c r="AI1368">
        <v>0</v>
      </c>
      <c r="AJ1368" t="s">
        <v>65</v>
      </c>
      <c r="AK1368" t="s">
        <v>68</v>
      </c>
      <c r="AL1368" t="s">
        <v>66</v>
      </c>
      <c r="AM1368" t="s">
        <v>61</v>
      </c>
      <c r="AN1368">
        <f t="shared" si="21"/>
        <v>1</v>
      </c>
    </row>
    <row r="1369" spans="1:40">
      <c r="A1369">
        <v>27</v>
      </c>
      <c r="B1369" t="s">
        <v>51</v>
      </c>
      <c r="C1369" t="s">
        <v>39</v>
      </c>
      <c r="D1369">
        <v>1354</v>
      </c>
      <c r="E1369" t="s">
        <v>53</v>
      </c>
      <c r="F1369">
        <v>2</v>
      </c>
      <c r="G1369">
        <v>4</v>
      </c>
      <c r="H1369" t="s">
        <v>86</v>
      </c>
      <c r="I1369">
        <v>1931</v>
      </c>
      <c r="J1369">
        <v>2</v>
      </c>
      <c r="K1369" t="s">
        <v>54</v>
      </c>
      <c r="L1369">
        <v>41</v>
      </c>
      <c r="M1369">
        <v>3</v>
      </c>
      <c r="N1369">
        <v>1</v>
      </c>
      <c r="O1369" t="s">
        <v>55</v>
      </c>
      <c r="P1369">
        <v>2</v>
      </c>
      <c r="Q1369" t="s">
        <v>56</v>
      </c>
      <c r="R1369">
        <v>2226</v>
      </c>
      <c r="S1369">
        <v>6073</v>
      </c>
      <c r="T1369">
        <v>1</v>
      </c>
      <c r="U1369" t="s">
        <v>51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  <c r="AG1369" t="s">
        <v>67</v>
      </c>
      <c r="AH1369" t="s">
        <v>71</v>
      </c>
      <c r="AI1369">
        <v>0</v>
      </c>
      <c r="AJ1369" t="s">
        <v>47</v>
      </c>
      <c r="AK1369" t="s">
        <v>68</v>
      </c>
      <c r="AL1369" t="s">
        <v>60</v>
      </c>
      <c r="AM1369" t="s">
        <v>70</v>
      </c>
      <c r="AN1369">
        <f t="shared" si="21"/>
        <v>6</v>
      </c>
    </row>
    <row r="1370" spans="1:40">
      <c r="A1370">
        <v>34</v>
      </c>
      <c r="B1370" t="s">
        <v>51</v>
      </c>
      <c r="C1370" t="s">
        <v>52</v>
      </c>
      <c r="D1370">
        <v>735</v>
      </c>
      <c r="E1370" t="s">
        <v>53</v>
      </c>
      <c r="F1370">
        <v>22</v>
      </c>
      <c r="G1370">
        <v>4</v>
      </c>
      <c r="H1370" t="s">
        <v>62</v>
      </c>
      <c r="I1370">
        <v>1932</v>
      </c>
      <c r="J1370">
        <v>3</v>
      </c>
      <c r="K1370" t="s">
        <v>54</v>
      </c>
      <c r="L1370">
        <v>86</v>
      </c>
      <c r="M1370">
        <v>2</v>
      </c>
      <c r="N1370">
        <v>2</v>
      </c>
      <c r="O1370" t="s">
        <v>55</v>
      </c>
      <c r="P1370">
        <v>4</v>
      </c>
      <c r="Q1370" t="s">
        <v>56</v>
      </c>
      <c r="R1370">
        <v>5747</v>
      </c>
      <c r="S1370">
        <v>26496</v>
      </c>
      <c r="T1370">
        <v>1</v>
      </c>
      <c r="U1370" t="s">
        <v>38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  <c r="AG1370" t="s">
        <v>67</v>
      </c>
      <c r="AH1370" t="s">
        <v>46</v>
      </c>
      <c r="AI1370">
        <v>0</v>
      </c>
      <c r="AJ1370" t="s">
        <v>80</v>
      </c>
      <c r="AK1370" t="s">
        <v>68</v>
      </c>
      <c r="AL1370" t="s">
        <v>49</v>
      </c>
      <c r="AM1370" t="s">
        <v>61</v>
      </c>
      <c r="AN1370">
        <f t="shared" si="21"/>
        <v>3</v>
      </c>
    </row>
    <row r="1371" spans="1:40">
      <c r="A1371">
        <v>28</v>
      </c>
      <c r="B1371" t="s">
        <v>38</v>
      </c>
      <c r="C1371" t="s">
        <v>39</v>
      </c>
      <c r="D1371">
        <v>1475</v>
      </c>
      <c r="E1371" t="s">
        <v>40</v>
      </c>
      <c r="F1371">
        <v>13</v>
      </c>
      <c r="G1371">
        <v>2</v>
      </c>
      <c r="H1371" t="s">
        <v>84</v>
      </c>
      <c r="I1371">
        <v>1933</v>
      </c>
      <c r="J1371">
        <v>4</v>
      </c>
      <c r="K1371" t="s">
        <v>42</v>
      </c>
      <c r="L1371">
        <v>84</v>
      </c>
      <c r="M1371">
        <v>3</v>
      </c>
      <c r="N1371">
        <v>2</v>
      </c>
      <c r="O1371" t="s">
        <v>43</v>
      </c>
      <c r="P1371">
        <v>3</v>
      </c>
      <c r="Q1371" t="s">
        <v>44</v>
      </c>
      <c r="R1371">
        <v>9854</v>
      </c>
      <c r="S1371">
        <v>23352</v>
      </c>
      <c r="T1371">
        <v>3</v>
      </c>
      <c r="U1371" t="s">
        <v>38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  <c r="AG1371" t="s">
        <v>67</v>
      </c>
      <c r="AH1371" t="s">
        <v>46</v>
      </c>
      <c r="AI1371">
        <v>1</v>
      </c>
      <c r="AJ1371" t="s">
        <v>65</v>
      </c>
      <c r="AK1371" t="s">
        <v>48</v>
      </c>
      <c r="AL1371" t="s">
        <v>66</v>
      </c>
      <c r="AM1371" t="s">
        <v>61</v>
      </c>
      <c r="AN1371">
        <f t="shared" si="21"/>
        <v>2</v>
      </c>
    </row>
    <row r="1372" spans="1:40">
      <c r="A1372">
        <v>47</v>
      </c>
      <c r="B1372" t="s">
        <v>51</v>
      </c>
      <c r="C1372" t="s">
        <v>77</v>
      </c>
      <c r="D1372">
        <v>1169</v>
      </c>
      <c r="E1372" t="s">
        <v>53</v>
      </c>
      <c r="F1372">
        <v>14</v>
      </c>
      <c r="G1372">
        <v>4</v>
      </c>
      <c r="H1372" t="s">
        <v>86</v>
      </c>
      <c r="I1372">
        <v>1934</v>
      </c>
      <c r="J1372">
        <v>3</v>
      </c>
      <c r="K1372" t="s">
        <v>54</v>
      </c>
      <c r="L1372">
        <v>64</v>
      </c>
      <c r="M1372">
        <v>3</v>
      </c>
      <c r="N1372">
        <v>2</v>
      </c>
      <c r="O1372" t="s">
        <v>55</v>
      </c>
      <c r="P1372">
        <v>2</v>
      </c>
      <c r="Q1372" t="s">
        <v>56</v>
      </c>
      <c r="R1372">
        <v>5467</v>
      </c>
      <c r="S1372">
        <v>2125</v>
      </c>
      <c r="T1372">
        <v>8</v>
      </c>
      <c r="U1372" t="s">
        <v>51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  <c r="AG1372" t="s">
        <v>57</v>
      </c>
      <c r="AH1372" t="s">
        <v>64</v>
      </c>
      <c r="AI1372">
        <v>0</v>
      </c>
      <c r="AJ1372" t="s">
        <v>58</v>
      </c>
      <c r="AK1372" t="s">
        <v>68</v>
      </c>
      <c r="AL1372" t="s">
        <v>60</v>
      </c>
      <c r="AM1372" t="s">
        <v>85</v>
      </c>
      <c r="AN1372">
        <f t="shared" si="21"/>
        <v>2</v>
      </c>
    </row>
    <row r="1373" spans="1:40">
      <c r="A1373">
        <v>56</v>
      </c>
      <c r="B1373" t="s">
        <v>51</v>
      </c>
      <c r="C1373" t="s">
        <v>39</v>
      </c>
      <c r="D1373">
        <v>1443</v>
      </c>
      <c r="E1373" t="s">
        <v>40</v>
      </c>
      <c r="F1373">
        <v>11</v>
      </c>
      <c r="G1373">
        <v>5</v>
      </c>
      <c r="H1373" t="s">
        <v>84</v>
      </c>
      <c r="I1373">
        <v>1935</v>
      </c>
      <c r="J1373">
        <v>4</v>
      </c>
      <c r="K1373" t="s">
        <v>42</v>
      </c>
      <c r="L1373">
        <v>89</v>
      </c>
      <c r="M1373">
        <v>2</v>
      </c>
      <c r="N1373">
        <v>2</v>
      </c>
      <c r="O1373" t="s">
        <v>43</v>
      </c>
      <c r="P1373">
        <v>1</v>
      </c>
      <c r="Q1373" t="s">
        <v>56</v>
      </c>
      <c r="R1373">
        <v>5380</v>
      </c>
      <c r="S1373">
        <v>20328</v>
      </c>
      <c r="T1373">
        <v>4</v>
      </c>
      <c r="U1373" t="s">
        <v>51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  <c r="AG1373" t="s">
        <v>57</v>
      </c>
      <c r="AH1373" t="s">
        <v>46</v>
      </c>
      <c r="AI1373">
        <v>0</v>
      </c>
      <c r="AJ1373" t="s">
        <v>65</v>
      </c>
      <c r="AK1373" t="s">
        <v>87</v>
      </c>
      <c r="AL1373" t="s">
        <v>73</v>
      </c>
      <c r="AM1373" t="s">
        <v>61</v>
      </c>
      <c r="AN1373">
        <f t="shared" si="21"/>
        <v>6</v>
      </c>
    </row>
    <row r="1374" spans="1:40">
      <c r="A1374">
        <v>39</v>
      </c>
      <c r="B1374" t="s">
        <v>51</v>
      </c>
      <c r="C1374" t="s">
        <v>39</v>
      </c>
      <c r="D1374">
        <v>867</v>
      </c>
      <c r="E1374" t="s">
        <v>53</v>
      </c>
      <c r="F1374">
        <v>9</v>
      </c>
      <c r="G1374">
        <v>2</v>
      </c>
      <c r="H1374" t="s">
        <v>69</v>
      </c>
      <c r="I1374">
        <v>1936</v>
      </c>
      <c r="J1374">
        <v>1</v>
      </c>
      <c r="K1374" t="s">
        <v>54</v>
      </c>
      <c r="L1374">
        <v>87</v>
      </c>
      <c r="M1374">
        <v>3</v>
      </c>
      <c r="N1374">
        <v>2</v>
      </c>
      <c r="O1374" t="s">
        <v>75</v>
      </c>
      <c r="P1374">
        <v>1</v>
      </c>
      <c r="Q1374" t="s">
        <v>56</v>
      </c>
      <c r="R1374">
        <v>5151</v>
      </c>
      <c r="S1374">
        <v>12315</v>
      </c>
      <c r="T1374">
        <v>1</v>
      </c>
      <c r="U1374" t="s">
        <v>51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  <c r="AG1374" t="s">
        <v>45</v>
      </c>
      <c r="AH1374" t="s">
        <v>46</v>
      </c>
      <c r="AI1374">
        <v>0</v>
      </c>
      <c r="AJ1374" t="s">
        <v>58</v>
      </c>
      <c r="AK1374" t="s">
        <v>48</v>
      </c>
      <c r="AL1374" t="s">
        <v>73</v>
      </c>
      <c r="AM1374" t="s">
        <v>61</v>
      </c>
      <c r="AN1374">
        <f t="shared" si="21"/>
        <v>13</v>
      </c>
    </row>
    <row r="1375" spans="1:40">
      <c r="A1375">
        <v>38</v>
      </c>
      <c r="B1375" t="s">
        <v>51</v>
      </c>
      <c r="C1375" t="s">
        <v>52</v>
      </c>
      <c r="D1375">
        <v>1394</v>
      </c>
      <c r="E1375" t="s">
        <v>53</v>
      </c>
      <c r="F1375">
        <v>8</v>
      </c>
      <c r="G1375">
        <v>3</v>
      </c>
      <c r="H1375" t="s">
        <v>69</v>
      </c>
      <c r="I1375">
        <v>1937</v>
      </c>
      <c r="J1375">
        <v>4</v>
      </c>
      <c r="K1375" t="s">
        <v>42</v>
      </c>
      <c r="L1375">
        <v>58</v>
      </c>
      <c r="M1375">
        <v>2</v>
      </c>
      <c r="N1375">
        <v>2</v>
      </c>
      <c r="O1375" t="s">
        <v>55</v>
      </c>
      <c r="P1375">
        <v>2</v>
      </c>
      <c r="Q1375" t="s">
        <v>74</v>
      </c>
      <c r="R1375">
        <v>2133</v>
      </c>
      <c r="S1375">
        <v>18115</v>
      </c>
      <c r="T1375">
        <v>1</v>
      </c>
      <c r="U1375" t="s">
        <v>38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  <c r="AG1375" t="s">
        <v>45</v>
      </c>
      <c r="AH1375" t="s">
        <v>46</v>
      </c>
      <c r="AI1375">
        <v>0</v>
      </c>
      <c r="AJ1375" t="s">
        <v>80</v>
      </c>
      <c r="AK1375" t="s">
        <v>72</v>
      </c>
      <c r="AL1375" t="s">
        <v>60</v>
      </c>
      <c r="AM1375" t="s">
        <v>61</v>
      </c>
      <c r="AN1375">
        <f t="shared" si="21"/>
        <v>3</v>
      </c>
    </row>
    <row r="1376" spans="1:40">
      <c r="A1376">
        <v>58</v>
      </c>
      <c r="B1376" t="s">
        <v>51</v>
      </c>
      <c r="C1376" t="s">
        <v>39</v>
      </c>
      <c r="D1376">
        <v>605</v>
      </c>
      <c r="E1376" t="s">
        <v>40</v>
      </c>
      <c r="F1376">
        <v>21</v>
      </c>
      <c r="G1376">
        <v>3</v>
      </c>
      <c r="H1376" t="s">
        <v>41</v>
      </c>
      <c r="I1376">
        <v>1938</v>
      </c>
      <c r="J1376">
        <v>4</v>
      </c>
      <c r="K1376" t="s">
        <v>42</v>
      </c>
      <c r="L1376">
        <v>72</v>
      </c>
      <c r="M1376">
        <v>3</v>
      </c>
      <c r="N1376">
        <v>4</v>
      </c>
      <c r="O1376" t="s">
        <v>79</v>
      </c>
      <c r="P1376">
        <v>4</v>
      </c>
      <c r="Q1376" t="s">
        <v>56</v>
      </c>
      <c r="R1376">
        <v>17875</v>
      </c>
      <c r="S1376">
        <v>11761</v>
      </c>
      <c r="T1376">
        <v>4</v>
      </c>
      <c r="U1376" t="s">
        <v>38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  <c r="AG1376" t="s">
        <v>57</v>
      </c>
      <c r="AH1376" t="s">
        <v>46</v>
      </c>
      <c r="AI1376">
        <v>0</v>
      </c>
      <c r="AJ1376" t="s">
        <v>47</v>
      </c>
      <c r="AK1376" t="s">
        <v>72</v>
      </c>
      <c r="AL1376" t="s">
        <v>49</v>
      </c>
      <c r="AM1376" t="s">
        <v>70</v>
      </c>
      <c r="AN1376">
        <f t="shared" si="21"/>
        <v>-1</v>
      </c>
    </row>
    <row r="1377" spans="1:40">
      <c r="A1377">
        <v>32</v>
      </c>
      <c r="B1377" t="s">
        <v>38</v>
      </c>
      <c r="C1377" t="s">
        <v>52</v>
      </c>
      <c r="D1377">
        <v>238</v>
      </c>
      <c r="E1377" t="s">
        <v>53</v>
      </c>
      <c r="F1377">
        <v>5</v>
      </c>
      <c r="G1377">
        <v>2</v>
      </c>
      <c r="H1377" t="s">
        <v>41</v>
      </c>
      <c r="I1377">
        <v>1939</v>
      </c>
      <c r="J1377">
        <v>1</v>
      </c>
      <c r="K1377" t="s">
        <v>42</v>
      </c>
      <c r="L1377">
        <v>47</v>
      </c>
      <c r="M1377">
        <v>4</v>
      </c>
      <c r="N1377">
        <v>1</v>
      </c>
      <c r="O1377" t="s">
        <v>55</v>
      </c>
      <c r="P1377">
        <v>3</v>
      </c>
      <c r="Q1377" t="s">
        <v>44</v>
      </c>
      <c r="R1377">
        <v>2432</v>
      </c>
      <c r="S1377">
        <v>15318</v>
      </c>
      <c r="T1377">
        <v>3</v>
      </c>
      <c r="U1377" t="s">
        <v>38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  <c r="AG1377" t="s">
        <v>67</v>
      </c>
      <c r="AH1377" t="s">
        <v>46</v>
      </c>
      <c r="AI1377">
        <v>1</v>
      </c>
      <c r="AJ1377" t="s">
        <v>65</v>
      </c>
      <c r="AK1377" t="s">
        <v>48</v>
      </c>
      <c r="AL1377" t="s">
        <v>66</v>
      </c>
      <c r="AM1377" t="s">
        <v>61</v>
      </c>
      <c r="AN1377">
        <f t="shared" si="21"/>
        <v>0</v>
      </c>
    </row>
    <row r="1378" spans="1:40">
      <c r="A1378">
        <v>38</v>
      </c>
      <c r="B1378" t="s">
        <v>51</v>
      </c>
      <c r="C1378" t="s">
        <v>39</v>
      </c>
      <c r="D1378">
        <v>1206</v>
      </c>
      <c r="E1378" t="s">
        <v>53</v>
      </c>
      <c r="F1378">
        <v>9</v>
      </c>
      <c r="G1378">
        <v>2</v>
      </c>
      <c r="H1378" t="s">
        <v>41</v>
      </c>
      <c r="I1378">
        <v>1940</v>
      </c>
      <c r="J1378">
        <v>2</v>
      </c>
      <c r="K1378" t="s">
        <v>54</v>
      </c>
      <c r="L1378">
        <v>71</v>
      </c>
      <c r="M1378">
        <v>3</v>
      </c>
      <c r="N1378">
        <v>1</v>
      </c>
      <c r="O1378" t="s">
        <v>55</v>
      </c>
      <c r="P1378">
        <v>4</v>
      </c>
      <c r="Q1378" t="s">
        <v>74</v>
      </c>
      <c r="R1378">
        <v>4771</v>
      </c>
      <c r="S1378">
        <v>14293</v>
      </c>
      <c r="T1378">
        <v>2</v>
      </c>
      <c r="U1378" t="s">
        <v>51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  <c r="AG1378" t="s">
        <v>45</v>
      </c>
      <c r="AH1378" t="s">
        <v>46</v>
      </c>
      <c r="AI1378">
        <v>0</v>
      </c>
      <c r="AJ1378" t="s">
        <v>65</v>
      </c>
      <c r="AK1378" t="s">
        <v>48</v>
      </c>
      <c r="AL1378" t="s">
        <v>49</v>
      </c>
      <c r="AM1378" t="s">
        <v>85</v>
      </c>
      <c r="AN1378">
        <f t="shared" si="21"/>
        <v>-5</v>
      </c>
    </row>
    <row r="1379" spans="1:40">
      <c r="A1379">
        <v>49</v>
      </c>
      <c r="B1379" t="s">
        <v>51</v>
      </c>
      <c r="C1379" t="s">
        <v>52</v>
      </c>
      <c r="D1379">
        <v>1064</v>
      </c>
      <c r="E1379" t="s">
        <v>53</v>
      </c>
      <c r="F1379">
        <v>2</v>
      </c>
      <c r="G1379">
        <v>1</v>
      </c>
      <c r="H1379" t="s">
        <v>41</v>
      </c>
      <c r="I1379">
        <v>1941</v>
      </c>
      <c r="J1379">
        <v>2</v>
      </c>
      <c r="K1379" t="s">
        <v>54</v>
      </c>
      <c r="L1379">
        <v>42</v>
      </c>
      <c r="M1379">
        <v>3</v>
      </c>
      <c r="N1379">
        <v>5</v>
      </c>
      <c r="O1379" t="s">
        <v>83</v>
      </c>
      <c r="P1379">
        <v>4</v>
      </c>
      <c r="Q1379" t="s">
        <v>56</v>
      </c>
      <c r="R1379">
        <v>19161</v>
      </c>
      <c r="S1379">
        <v>13738</v>
      </c>
      <c r="T1379">
        <v>3</v>
      </c>
      <c r="U1379" t="s">
        <v>51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  <c r="AG1379" t="s">
        <v>57</v>
      </c>
      <c r="AH1379" t="s">
        <v>46</v>
      </c>
      <c r="AI1379">
        <v>0</v>
      </c>
      <c r="AJ1379" t="s">
        <v>65</v>
      </c>
      <c r="AK1379" t="s">
        <v>59</v>
      </c>
      <c r="AL1379" t="s">
        <v>49</v>
      </c>
      <c r="AM1379" t="s">
        <v>61</v>
      </c>
      <c r="AN1379">
        <f t="shared" si="21"/>
        <v>1</v>
      </c>
    </row>
    <row r="1380" spans="1:40">
      <c r="A1380">
        <v>42</v>
      </c>
      <c r="B1380" t="s">
        <v>51</v>
      </c>
      <c r="C1380" t="s">
        <v>39</v>
      </c>
      <c r="D1380">
        <v>419</v>
      </c>
      <c r="E1380" t="s">
        <v>40</v>
      </c>
      <c r="F1380">
        <v>12</v>
      </c>
      <c r="G1380">
        <v>4</v>
      </c>
      <c r="H1380" t="s">
        <v>84</v>
      </c>
      <c r="I1380">
        <v>1943</v>
      </c>
      <c r="J1380">
        <v>2</v>
      </c>
      <c r="K1380" t="s">
        <v>54</v>
      </c>
      <c r="L1380">
        <v>77</v>
      </c>
      <c r="M1380">
        <v>3</v>
      </c>
      <c r="N1380">
        <v>2</v>
      </c>
      <c r="O1380" t="s">
        <v>43</v>
      </c>
      <c r="P1380">
        <v>4</v>
      </c>
      <c r="Q1380" t="s">
        <v>74</v>
      </c>
      <c r="R1380">
        <v>5087</v>
      </c>
      <c r="S1380">
        <v>2900</v>
      </c>
      <c r="T1380">
        <v>3</v>
      </c>
      <c r="U1380" t="s">
        <v>38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  <c r="AG1380" t="s">
        <v>45</v>
      </c>
      <c r="AH1380" t="s">
        <v>64</v>
      </c>
      <c r="AI1380">
        <v>0</v>
      </c>
      <c r="AJ1380" t="s">
        <v>65</v>
      </c>
      <c r="AK1380" t="s">
        <v>68</v>
      </c>
      <c r="AL1380" t="s">
        <v>49</v>
      </c>
      <c r="AM1380" t="s">
        <v>61</v>
      </c>
      <c r="AN1380">
        <f t="shared" si="21"/>
        <v>-3</v>
      </c>
    </row>
    <row r="1381" spans="1:40">
      <c r="A1381">
        <v>27</v>
      </c>
      <c r="B1381" t="s">
        <v>38</v>
      </c>
      <c r="C1381" t="s">
        <v>52</v>
      </c>
      <c r="D1381">
        <v>1337</v>
      </c>
      <c r="E1381" t="s">
        <v>88</v>
      </c>
      <c r="F1381">
        <v>22</v>
      </c>
      <c r="G1381">
        <v>3</v>
      </c>
      <c r="H1381" t="s">
        <v>88</v>
      </c>
      <c r="I1381">
        <v>1944</v>
      </c>
      <c r="J1381">
        <v>1</v>
      </c>
      <c r="K1381" t="s">
        <v>42</v>
      </c>
      <c r="L1381">
        <v>58</v>
      </c>
      <c r="M1381">
        <v>2</v>
      </c>
      <c r="N1381">
        <v>1</v>
      </c>
      <c r="O1381" t="s">
        <v>88</v>
      </c>
      <c r="P1381">
        <v>2</v>
      </c>
      <c r="Q1381" t="s">
        <v>56</v>
      </c>
      <c r="R1381">
        <v>2863</v>
      </c>
      <c r="S1381">
        <v>19555</v>
      </c>
      <c r="T1381">
        <v>1</v>
      </c>
      <c r="U1381" t="s">
        <v>51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  <c r="AG1381" t="s">
        <v>67</v>
      </c>
      <c r="AH1381" t="s">
        <v>46</v>
      </c>
      <c r="AI1381">
        <v>1</v>
      </c>
      <c r="AJ1381" t="s">
        <v>65</v>
      </c>
      <c r="AK1381" t="s">
        <v>72</v>
      </c>
      <c r="AL1381" t="s">
        <v>60</v>
      </c>
      <c r="AM1381" t="s">
        <v>61</v>
      </c>
      <c r="AN1381">
        <f t="shared" si="21"/>
        <v>3</v>
      </c>
    </row>
    <row r="1382" spans="1:40">
      <c r="A1382">
        <v>35</v>
      </c>
      <c r="B1382" t="s">
        <v>51</v>
      </c>
      <c r="C1382" t="s">
        <v>39</v>
      </c>
      <c r="D1382">
        <v>682</v>
      </c>
      <c r="E1382" t="s">
        <v>40</v>
      </c>
      <c r="F1382">
        <v>18</v>
      </c>
      <c r="G1382">
        <v>4</v>
      </c>
      <c r="H1382" t="s">
        <v>69</v>
      </c>
      <c r="I1382">
        <v>1945</v>
      </c>
      <c r="J1382">
        <v>2</v>
      </c>
      <c r="K1382" t="s">
        <v>54</v>
      </c>
      <c r="L1382">
        <v>71</v>
      </c>
      <c r="M1382">
        <v>3</v>
      </c>
      <c r="N1382">
        <v>2</v>
      </c>
      <c r="O1382" t="s">
        <v>43</v>
      </c>
      <c r="P1382">
        <v>1</v>
      </c>
      <c r="Q1382" t="s">
        <v>56</v>
      </c>
      <c r="R1382">
        <v>5561</v>
      </c>
      <c r="S1382">
        <v>15975</v>
      </c>
      <c r="T1382">
        <v>0</v>
      </c>
      <c r="U1382" t="s">
        <v>51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  <c r="AG1382" t="s">
        <v>67</v>
      </c>
      <c r="AH1382" t="s">
        <v>46</v>
      </c>
      <c r="AI1382">
        <v>0</v>
      </c>
      <c r="AJ1382" t="s">
        <v>47</v>
      </c>
      <c r="AK1382" t="s">
        <v>68</v>
      </c>
      <c r="AL1382" t="s">
        <v>73</v>
      </c>
      <c r="AM1382" t="s">
        <v>50</v>
      </c>
      <c r="AN1382">
        <f t="shared" si="21"/>
        <v>10</v>
      </c>
    </row>
    <row r="1383" spans="1:40">
      <c r="A1383">
        <v>28</v>
      </c>
      <c r="B1383" t="s">
        <v>51</v>
      </c>
      <c r="C1383" t="s">
        <v>77</v>
      </c>
      <c r="D1383">
        <v>1103</v>
      </c>
      <c r="E1383" t="s">
        <v>53</v>
      </c>
      <c r="F1383">
        <v>16</v>
      </c>
      <c r="G1383">
        <v>3</v>
      </c>
      <c r="H1383" t="s">
        <v>69</v>
      </c>
      <c r="I1383">
        <v>1947</v>
      </c>
      <c r="J1383">
        <v>3</v>
      </c>
      <c r="K1383" t="s">
        <v>54</v>
      </c>
      <c r="L1383">
        <v>49</v>
      </c>
      <c r="M1383">
        <v>3</v>
      </c>
      <c r="N1383">
        <v>1</v>
      </c>
      <c r="O1383" t="s">
        <v>55</v>
      </c>
      <c r="P1383">
        <v>3</v>
      </c>
      <c r="Q1383" t="s">
        <v>44</v>
      </c>
      <c r="R1383">
        <v>2144</v>
      </c>
      <c r="S1383">
        <v>2122</v>
      </c>
      <c r="T1383">
        <v>1</v>
      </c>
      <c r="U1383" t="s">
        <v>51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  <c r="AG1383" t="s">
        <v>67</v>
      </c>
      <c r="AH1383" t="s">
        <v>64</v>
      </c>
      <c r="AI1383">
        <v>0</v>
      </c>
      <c r="AJ1383" t="s">
        <v>47</v>
      </c>
      <c r="AK1383" t="s">
        <v>72</v>
      </c>
      <c r="AL1383" t="s">
        <v>66</v>
      </c>
      <c r="AM1383" t="s">
        <v>70</v>
      </c>
      <c r="AN1383">
        <f t="shared" si="21"/>
        <v>3</v>
      </c>
    </row>
    <row r="1384" spans="1:40">
      <c r="A1384">
        <v>31</v>
      </c>
      <c r="B1384" t="s">
        <v>51</v>
      </c>
      <c r="C1384" t="s">
        <v>77</v>
      </c>
      <c r="D1384">
        <v>976</v>
      </c>
      <c r="E1384" t="s">
        <v>53</v>
      </c>
      <c r="F1384">
        <v>3</v>
      </c>
      <c r="G1384">
        <v>2</v>
      </c>
      <c r="H1384" t="s">
        <v>69</v>
      </c>
      <c r="I1384">
        <v>1948</v>
      </c>
      <c r="J1384">
        <v>3</v>
      </c>
      <c r="K1384" t="s">
        <v>54</v>
      </c>
      <c r="L1384">
        <v>48</v>
      </c>
      <c r="M1384">
        <v>3</v>
      </c>
      <c r="N1384">
        <v>1</v>
      </c>
      <c r="O1384" t="s">
        <v>55</v>
      </c>
      <c r="P1384">
        <v>1</v>
      </c>
      <c r="Q1384" t="s">
        <v>74</v>
      </c>
      <c r="R1384">
        <v>3065</v>
      </c>
      <c r="S1384">
        <v>3995</v>
      </c>
      <c r="T1384">
        <v>1</v>
      </c>
      <c r="U1384" t="s">
        <v>38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  <c r="AG1384" t="s">
        <v>67</v>
      </c>
      <c r="AH1384" t="s">
        <v>81</v>
      </c>
      <c r="AI1384">
        <v>0</v>
      </c>
      <c r="AJ1384" t="s">
        <v>65</v>
      </c>
      <c r="AK1384" t="s">
        <v>48</v>
      </c>
      <c r="AL1384" t="s">
        <v>73</v>
      </c>
      <c r="AM1384" t="s">
        <v>85</v>
      </c>
      <c r="AN1384">
        <f t="shared" si="21"/>
        <v>6</v>
      </c>
    </row>
    <row r="1385" spans="1:40">
      <c r="A1385">
        <v>36</v>
      </c>
      <c r="B1385" t="s">
        <v>51</v>
      </c>
      <c r="C1385" t="s">
        <v>77</v>
      </c>
      <c r="D1385">
        <v>1351</v>
      </c>
      <c r="E1385" t="s">
        <v>53</v>
      </c>
      <c r="F1385">
        <v>9</v>
      </c>
      <c r="G1385">
        <v>4</v>
      </c>
      <c r="H1385" t="s">
        <v>41</v>
      </c>
      <c r="I1385">
        <v>1949</v>
      </c>
      <c r="J1385">
        <v>1</v>
      </c>
      <c r="K1385" t="s">
        <v>54</v>
      </c>
      <c r="L1385">
        <v>66</v>
      </c>
      <c r="M1385">
        <v>4</v>
      </c>
      <c r="N1385">
        <v>1</v>
      </c>
      <c r="O1385" t="s">
        <v>63</v>
      </c>
      <c r="P1385">
        <v>2</v>
      </c>
      <c r="Q1385" t="s">
        <v>56</v>
      </c>
      <c r="R1385">
        <v>2810</v>
      </c>
      <c r="S1385">
        <v>9238</v>
      </c>
      <c r="T1385">
        <v>1</v>
      </c>
      <c r="U1385" t="s">
        <v>51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  <c r="AG1385" t="s">
        <v>45</v>
      </c>
      <c r="AH1385" t="s">
        <v>71</v>
      </c>
      <c r="AI1385">
        <v>0</v>
      </c>
      <c r="AJ1385" t="s">
        <v>65</v>
      </c>
      <c r="AK1385" t="s">
        <v>68</v>
      </c>
      <c r="AL1385" t="s">
        <v>60</v>
      </c>
      <c r="AM1385" t="s">
        <v>61</v>
      </c>
      <c r="AN1385">
        <f t="shared" si="21"/>
        <v>3</v>
      </c>
    </row>
    <row r="1386" spans="1:40">
      <c r="A1386">
        <v>34</v>
      </c>
      <c r="B1386" t="s">
        <v>51</v>
      </c>
      <c r="C1386" t="s">
        <v>39</v>
      </c>
      <c r="D1386">
        <v>937</v>
      </c>
      <c r="E1386" t="s">
        <v>40</v>
      </c>
      <c r="F1386">
        <v>1</v>
      </c>
      <c r="G1386">
        <v>3</v>
      </c>
      <c r="H1386" t="s">
        <v>84</v>
      </c>
      <c r="I1386">
        <v>1950</v>
      </c>
      <c r="J1386">
        <v>1</v>
      </c>
      <c r="K1386" t="s">
        <v>54</v>
      </c>
      <c r="L1386">
        <v>32</v>
      </c>
      <c r="M1386">
        <v>3</v>
      </c>
      <c r="N1386">
        <v>3</v>
      </c>
      <c r="O1386" t="s">
        <v>43</v>
      </c>
      <c r="P1386">
        <v>4</v>
      </c>
      <c r="Q1386" t="s">
        <v>44</v>
      </c>
      <c r="R1386">
        <v>9888</v>
      </c>
      <c r="S1386">
        <v>6770</v>
      </c>
      <c r="T1386">
        <v>1</v>
      </c>
      <c r="U1386" t="s">
        <v>51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  <c r="AG1386" t="s">
        <v>67</v>
      </c>
      <c r="AH1386" t="s">
        <v>71</v>
      </c>
      <c r="AI1386">
        <v>0</v>
      </c>
      <c r="AJ1386" t="s">
        <v>47</v>
      </c>
      <c r="AK1386" t="s">
        <v>72</v>
      </c>
      <c r="AL1386" t="s">
        <v>49</v>
      </c>
      <c r="AM1386" t="s">
        <v>70</v>
      </c>
      <c r="AN1386">
        <f t="shared" si="21"/>
        <v>1</v>
      </c>
    </row>
    <row r="1387" spans="1:40">
      <c r="A1387">
        <v>34</v>
      </c>
      <c r="B1387" t="s">
        <v>51</v>
      </c>
      <c r="C1387" t="s">
        <v>39</v>
      </c>
      <c r="D1387">
        <v>1239</v>
      </c>
      <c r="E1387" t="s">
        <v>40</v>
      </c>
      <c r="F1387">
        <v>13</v>
      </c>
      <c r="G1387">
        <v>4</v>
      </c>
      <c r="H1387" t="s">
        <v>69</v>
      </c>
      <c r="I1387">
        <v>1951</v>
      </c>
      <c r="J1387">
        <v>4</v>
      </c>
      <c r="K1387" t="s">
        <v>54</v>
      </c>
      <c r="L1387">
        <v>39</v>
      </c>
      <c r="M1387">
        <v>3</v>
      </c>
      <c r="N1387">
        <v>3</v>
      </c>
      <c r="O1387" t="s">
        <v>43</v>
      </c>
      <c r="P1387">
        <v>3</v>
      </c>
      <c r="Q1387" t="s">
        <v>74</v>
      </c>
      <c r="R1387">
        <v>8628</v>
      </c>
      <c r="S1387">
        <v>22914</v>
      </c>
      <c r="T1387">
        <v>1</v>
      </c>
      <c r="U1387" t="s">
        <v>51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  <c r="AG1387" t="s">
        <v>67</v>
      </c>
      <c r="AH1387" t="s">
        <v>46</v>
      </c>
      <c r="AI1387">
        <v>0</v>
      </c>
      <c r="AJ1387" t="s">
        <v>47</v>
      </c>
      <c r="AK1387" t="s">
        <v>68</v>
      </c>
      <c r="AL1387" t="s">
        <v>66</v>
      </c>
      <c r="AM1387" t="s">
        <v>70</v>
      </c>
      <c r="AN1387">
        <f t="shared" si="21"/>
        <v>3</v>
      </c>
    </row>
    <row r="1388" spans="1:40">
      <c r="A1388">
        <v>26</v>
      </c>
      <c r="B1388" t="s">
        <v>51</v>
      </c>
      <c r="C1388" t="s">
        <v>39</v>
      </c>
      <c r="D1388">
        <v>157</v>
      </c>
      <c r="E1388" t="s">
        <v>53</v>
      </c>
      <c r="F1388">
        <v>1</v>
      </c>
      <c r="G1388">
        <v>3</v>
      </c>
      <c r="H1388" t="s">
        <v>69</v>
      </c>
      <c r="I1388">
        <v>1952</v>
      </c>
      <c r="J1388">
        <v>3</v>
      </c>
      <c r="K1388" t="s">
        <v>54</v>
      </c>
      <c r="L1388">
        <v>95</v>
      </c>
      <c r="M1388">
        <v>3</v>
      </c>
      <c r="N1388">
        <v>1</v>
      </c>
      <c r="O1388" t="s">
        <v>63</v>
      </c>
      <c r="P1388">
        <v>1</v>
      </c>
      <c r="Q1388" t="s">
        <v>44</v>
      </c>
      <c r="R1388">
        <v>2867</v>
      </c>
      <c r="S1388">
        <v>20006</v>
      </c>
      <c r="T1388">
        <v>0</v>
      </c>
      <c r="U1388" t="s">
        <v>51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  <c r="AG1388" t="s">
        <v>67</v>
      </c>
      <c r="AH1388" t="s">
        <v>46</v>
      </c>
      <c r="AI1388">
        <v>0</v>
      </c>
      <c r="AJ1388" t="s">
        <v>47</v>
      </c>
      <c r="AK1388" t="s">
        <v>72</v>
      </c>
      <c r="AL1388" t="s">
        <v>73</v>
      </c>
      <c r="AM1388" t="s">
        <v>70</v>
      </c>
      <c r="AN1388">
        <f t="shared" si="21"/>
        <v>15</v>
      </c>
    </row>
    <row r="1389" spans="1:40">
      <c r="A1389">
        <v>29</v>
      </c>
      <c r="B1389" t="s">
        <v>51</v>
      </c>
      <c r="C1389" t="s">
        <v>39</v>
      </c>
      <c r="D1389">
        <v>136</v>
      </c>
      <c r="E1389" t="s">
        <v>53</v>
      </c>
      <c r="F1389">
        <v>1</v>
      </c>
      <c r="G1389">
        <v>3</v>
      </c>
      <c r="H1389" t="s">
        <v>41</v>
      </c>
      <c r="I1389">
        <v>1954</v>
      </c>
      <c r="J1389">
        <v>1</v>
      </c>
      <c r="K1389" t="s">
        <v>54</v>
      </c>
      <c r="L1389">
        <v>89</v>
      </c>
      <c r="M1389">
        <v>3</v>
      </c>
      <c r="N1389">
        <v>2</v>
      </c>
      <c r="O1389" t="s">
        <v>76</v>
      </c>
      <c r="P1389">
        <v>1</v>
      </c>
      <c r="Q1389" t="s">
        <v>56</v>
      </c>
      <c r="R1389">
        <v>5373</v>
      </c>
      <c r="S1389">
        <v>6225</v>
      </c>
      <c r="T1389">
        <v>0</v>
      </c>
      <c r="U1389" t="s">
        <v>51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  <c r="AG1389" t="s">
        <v>67</v>
      </c>
      <c r="AH1389" t="s">
        <v>71</v>
      </c>
      <c r="AI1389">
        <v>0</v>
      </c>
      <c r="AJ1389" t="s">
        <v>47</v>
      </c>
      <c r="AK1389" t="s">
        <v>72</v>
      </c>
      <c r="AL1389" t="s">
        <v>73</v>
      </c>
      <c r="AM1389" t="s">
        <v>70</v>
      </c>
      <c r="AN1389">
        <f t="shared" si="21"/>
        <v>8</v>
      </c>
    </row>
    <row r="1390" spans="1:40">
      <c r="A1390">
        <v>32</v>
      </c>
      <c r="B1390" t="s">
        <v>51</v>
      </c>
      <c r="C1390" t="s">
        <v>77</v>
      </c>
      <c r="D1390">
        <v>1146</v>
      </c>
      <c r="E1390" t="s">
        <v>53</v>
      </c>
      <c r="F1390">
        <v>15</v>
      </c>
      <c r="G1390">
        <v>4</v>
      </c>
      <c r="H1390" t="s">
        <v>69</v>
      </c>
      <c r="I1390">
        <v>1955</v>
      </c>
      <c r="J1390">
        <v>3</v>
      </c>
      <c r="K1390" t="s">
        <v>42</v>
      </c>
      <c r="L1390">
        <v>34</v>
      </c>
      <c r="M1390">
        <v>3</v>
      </c>
      <c r="N1390">
        <v>2</v>
      </c>
      <c r="O1390" t="s">
        <v>76</v>
      </c>
      <c r="P1390">
        <v>4</v>
      </c>
      <c r="Q1390" t="s">
        <v>74</v>
      </c>
      <c r="R1390">
        <v>6667</v>
      </c>
      <c r="S1390">
        <v>16542</v>
      </c>
      <c r="T1390">
        <v>5</v>
      </c>
      <c r="U1390" t="s">
        <v>51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  <c r="AG1390" t="s">
        <v>67</v>
      </c>
      <c r="AH1390" t="s">
        <v>46</v>
      </c>
      <c r="AI1390">
        <v>0</v>
      </c>
      <c r="AJ1390" t="s">
        <v>65</v>
      </c>
      <c r="AK1390" t="s">
        <v>68</v>
      </c>
      <c r="AL1390" t="s">
        <v>49</v>
      </c>
      <c r="AM1390" t="s">
        <v>61</v>
      </c>
      <c r="AN1390">
        <f t="shared" si="21"/>
        <v>-2</v>
      </c>
    </row>
    <row r="1391" spans="1:40">
      <c r="A1391">
        <v>31</v>
      </c>
      <c r="B1391" t="s">
        <v>51</v>
      </c>
      <c r="C1391" t="s">
        <v>52</v>
      </c>
      <c r="D1391">
        <v>1125</v>
      </c>
      <c r="E1391" t="s">
        <v>53</v>
      </c>
      <c r="F1391">
        <v>1</v>
      </c>
      <c r="G1391">
        <v>3</v>
      </c>
      <c r="H1391" t="s">
        <v>41</v>
      </c>
      <c r="I1391">
        <v>1956</v>
      </c>
      <c r="J1391">
        <v>4</v>
      </c>
      <c r="K1391" t="s">
        <v>54</v>
      </c>
      <c r="L1391">
        <v>48</v>
      </c>
      <c r="M1391">
        <v>1</v>
      </c>
      <c r="N1391">
        <v>2</v>
      </c>
      <c r="O1391" t="s">
        <v>55</v>
      </c>
      <c r="P1391">
        <v>1</v>
      </c>
      <c r="Q1391" t="s">
        <v>56</v>
      </c>
      <c r="R1391">
        <v>5003</v>
      </c>
      <c r="S1391">
        <v>5771</v>
      </c>
      <c r="T1391">
        <v>1</v>
      </c>
      <c r="U1391" t="s">
        <v>51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  <c r="AG1391" t="s">
        <v>67</v>
      </c>
      <c r="AH1391" t="s">
        <v>81</v>
      </c>
      <c r="AI1391">
        <v>0</v>
      </c>
      <c r="AJ1391" t="s">
        <v>58</v>
      </c>
      <c r="AK1391" t="s">
        <v>72</v>
      </c>
      <c r="AL1391" t="s">
        <v>73</v>
      </c>
      <c r="AM1391" t="s">
        <v>61</v>
      </c>
      <c r="AN1391">
        <f t="shared" si="21"/>
        <v>14</v>
      </c>
    </row>
    <row r="1392" spans="1:40">
      <c r="A1392">
        <v>28</v>
      </c>
      <c r="B1392" t="s">
        <v>38</v>
      </c>
      <c r="C1392" t="s">
        <v>39</v>
      </c>
      <c r="D1392">
        <v>1404</v>
      </c>
      <c r="E1392" t="s">
        <v>53</v>
      </c>
      <c r="F1392">
        <v>17</v>
      </c>
      <c r="G1392">
        <v>3</v>
      </c>
      <c r="H1392" t="s">
        <v>86</v>
      </c>
      <c r="I1392">
        <v>1960</v>
      </c>
      <c r="J1392">
        <v>3</v>
      </c>
      <c r="K1392" t="s">
        <v>54</v>
      </c>
      <c r="L1392">
        <v>32</v>
      </c>
      <c r="M1392">
        <v>2</v>
      </c>
      <c r="N1392">
        <v>1</v>
      </c>
      <c r="O1392" t="s">
        <v>63</v>
      </c>
      <c r="P1392">
        <v>4</v>
      </c>
      <c r="Q1392" t="s">
        <v>74</v>
      </c>
      <c r="R1392">
        <v>2367</v>
      </c>
      <c r="S1392">
        <v>18779</v>
      </c>
      <c r="T1392">
        <v>5</v>
      </c>
      <c r="U1392" t="s">
        <v>51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  <c r="AG1392" t="s">
        <v>67</v>
      </c>
      <c r="AH1392" t="s">
        <v>46</v>
      </c>
      <c r="AI1392">
        <v>1</v>
      </c>
      <c r="AJ1392" t="s">
        <v>47</v>
      </c>
      <c r="AK1392" t="s">
        <v>72</v>
      </c>
      <c r="AL1392" t="s">
        <v>49</v>
      </c>
      <c r="AM1392" t="s">
        <v>70</v>
      </c>
      <c r="AN1392">
        <f t="shared" si="21"/>
        <v>-1</v>
      </c>
    </row>
    <row r="1393" spans="1:40">
      <c r="A1393">
        <v>38</v>
      </c>
      <c r="B1393" t="s">
        <v>51</v>
      </c>
      <c r="C1393" t="s">
        <v>39</v>
      </c>
      <c r="D1393">
        <v>1404</v>
      </c>
      <c r="E1393" t="s">
        <v>40</v>
      </c>
      <c r="F1393">
        <v>1</v>
      </c>
      <c r="G1393">
        <v>3</v>
      </c>
      <c r="H1393" t="s">
        <v>41</v>
      </c>
      <c r="I1393">
        <v>1961</v>
      </c>
      <c r="J1393">
        <v>1</v>
      </c>
      <c r="K1393" t="s">
        <v>54</v>
      </c>
      <c r="L1393">
        <v>59</v>
      </c>
      <c r="M1393">
        <v>2</v>
      </c>
      <c r="N1393">
        <v>1</v>
      </c>
      <c r="O1393" t="s">
        <v>82</v>
      </c>
      <c r="P1393">
        <v>1</v>
      </c>
      <c r="Q1393" t="s">
        <v>44</v>
      </c>
      <c r="R1393">
        <v>2858</v>
      </c>
      <c r="S1393">
        <v>11473</v>
      </c>
      <c r="T1393">
        <v>4</v>
      </c>
      <c r="U1393" t="s">
        <v>51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  <c r="AG1393" t="s">
        <v>45</v>
      </c>
      <c r="AH1393" t="s">
        <v>46</v>
      </c>
      <c r="AI1393">
        <v>0</v>
      </c>
      <c r="AJ1393" t="s">
        <v>47</v>
      </c>
      <c r="AK1393" t="s">
        <v>72</v>
      </c>
      <c r="AL1393" t="s">
        <v>73</v>
      </c>
      <c r="AM1393" t="s">
        <v>70</v>
      </c>
      <c r="AN1393">
        <f t="shared" si="21"/>
        <v>8</v>
      </c>
    </row>
    <row r="1394" spans="1:40">
      <c r="A1394">
        <v>35</v>
      </c>
      <c r="B1394" t="s">
        <v>51</v>
      </c>
      <c r="C1394" t="s">
        <v>39</v>
      </c>
      <c r="D1394">
        <v>1224</v>
      </c>
      <c r="E1394" t="s">
        <v>40</v>
      </c>
      <c r="F1394">
        <v>7</v>
      </c>
      <c r="G1394">
        <v>4</v>
      </c>
      <c r="H1394" t="s">
        <v>41</v>
      </c>
      <c r="I1394">
        <v>1962</v>
      </c>
      <c r="J1394">
        <v>3</v>
      </c>
      <c r="K1394" t="s">
        <v>42</v>
      </c>
      <c r="L1394">
        <v>55</v>
      </c>
      <c r="M1394">
        <v>3</v>
      </c>
      <c r="N1394">
        <v>2</v>
      </c>
      <c r="O1394" t="s">
        <v>43</v>
      </c>
      <c r="P1394">
        <v>4</v>
      </c>
      <c r="Q1394" t="s">
        <v>56</v>
      </c>
      <c r="R1394">
        <v>5204</v>
      </c>
      <c r="S1394">
        <v>13586</v>
      </c>
      <c r="T1394">
        <v>1</v>
      </c>
      <c r="U1394" t="s">
        <v>38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  <c r="AG1394" t="s">
        <v>67</v>
      </c>
      <c r="AH1394" t="s">
        <v>46</v>
      </c>
      <c r="AI1394">
        <v>0</v>
      </c>
      <c r="AJ1394" t="s">
        <v>58</v>
      </c>
      <c r="AK1394" t="s">
        <v>68</v>
      </c>
      <c r="AL1394" t="s">
        <v>49</v>
      </c>
      <c r="AM1394" t="s">
        <v>61</v>
      </c>
      <c r="AN1394">
        <f t="shared" si="21"/>
        <v>-3</v>
      </c>
    </row>
    <row r="1395" spans="1:40">
      <c r="A1395">
        <v>27</v>
      </c>
      <c r="B1395" t="s">
        <v>51</v>
      </c>
      <c r="C1395" t="s">
        <v>39</v>
      </c>
      <c r="D1395">
        <v>954</v>
      </c>
      <c r="E1395" t="s">
        <v>40</v>
      </c>
      <c r="F1395">
        <v>9</v>
      </c>
      <c r="G1395">
        <v>3</v>
      </c>
      <c r="H1395" t="s">
        <v>84</v>
      </c>
      <c r="I1395">
        <v>1965</v>
      </c>
      <c r="J1395">
        <v>4</v>
      </c>
      <c r="K1395" t="s">
        <v>54</v>
      </c>
      <c r="L1395">
        <v>44</v>
      </c>
      <c r="M1395">
        <v>3</v>
      </c>
      <c r="N1395">
        <v>2</v>
      </c>
      <c r="O1395" t="s">
        <v>43</v>
      </c>
      <c r="P1395">
        <v>4</v>
      </c>
      <c r="Q1395" t="s">
        <v>44</v>
      </c>
      <c r="R1395">
        <v>4105</v>
      </c>
      <c r="S1395">
        <v>5099</v>
      </c>
      <c r="T1395">
        <v>1</v>
      </c>
      <c r="U1395" t="s">
        <v>51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  <c r="AG1395" t="s">
        <v>67</v>
      </c>
      <c r="AH1395" t="s">
        <v>81</v>
      </c>
      <c r="AI1395">
        <v>0</v>
      </c>
      <c r="AJ1395" t="s">
        <v>58</v>
      </c>
      <c r="AK1395" t="s">
        <v>72</v>
      </c>
      <c r="AL1395" t="s">
        <v>49</v>
      </c>
      <c r="AM1395" t="s">
        <v>61</v>
      </c>
      <c r="AN1395">
        <f t="shared" si="21"/>
        <v>-3</v>
      </c>
    </row>
    <row r="1396" spans="1:40">
      <c r="A1396">
        <v>32</v>
      </c>
      <c r="B1396" t="s">
        <v>51</v>
      </c>
      <c r="C1396" t="s">
        <v>39</v>
      </c>
      <c r="D1396">
        <v>1373</v>
      </c>
      <c r="E1396" t="s">
        <v>53</v>
      </c>
      <c r="F1396">
        <v>5</v>
      </c>
      <c r="G1396">
        <v>4</v>
      </c>
      <c r="H1396" t="s">
        <v>41</v>
      </c>
      <c r="I1396">
        <v>1966</v>
      </c>
      <c r="J1396">
        <v>4</v>
      </c>
      <c r="K1396" t="s">
        <v>54</v>
      </c>
      <c r="L1396">
        <v>56</v>
      </c>
      <c r="M1396">
        <v>2</v>
      </c>
      <c r="N1396">
        <v>2</v>
      </c>
      <c r="O1396" t="s">
        <v>75</v>
      </c>
      <c r="P1396">
        <v>4</v>
      </c>
      <c r="Q1396" t="s">
        <v>44</v>
      </c>
      <c r="R1396">
        <v>9679</v>
      </c>
      <c r="S1396">
        <v>10138</v>
      </c>
      <c r="T1396">
        <v>8</v>
      </c>
      <c r="U1396" t="s">
        <v>51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  <c r="AG1396" t="s">
        <v>67</v>
      </c>
      <c r="AH1396" t="s">
        <v>46</v>
      </c>
      <c r="AI1396">
        <v>0</v>
      </c>
      <c r="AJ1396" t="s">
        <v>65</v>
      </c>
      <c r="AK1396" t="s">
        <v>68</v>
      </c>
      <c r="AL1396" t="s">
        <v>49</v>
      </c>
      <c r="AM1396" t="s">
        <v>61</v>
      </c>
      <c r="AN1396">
        <f t="shared" si="21"/>
        <v>-3</v>
      </c>
    </row>
    <row r="1397" spans="1:40">
      <c r="A1397">
        <v>31</v>
      </c>
      <c r="B1397" t="s">
        <v>38</v>
      </c>
      <c r="C1397" t="s">
        <v>52</v>
      </c>
      <c r="D1397">
        <v>754</v>
      </c>
      <c r="E1397" t="s">
        <v>40</v>
      </c>
      <c r="F1397">
        <v>26</v>
      </c>
      <c r="G1397">
        <v>4</v>
      </c>
      <c r="H1397" t="s">
        <v>84</v>
      </c>
      <c r="I1397">
        <v>1967</v>
      </c>
      <c r="J1397">
        <v>1</v>
      </c>
      <c r="K1397" t="s">
        <v>54</v>
      </c>
      <c r="L1397">
        <v>63</v>
      </c>
      <c r="M1397">
        <v>3</v>
      </c>
      <c r="N1397">
        <v>2</v>
      </c>
      <c r="O1397" t="s">
        <v>43</v>
      </c>
      <c r="P1397">
        <v>4</v>
      </c>
      <c r="Q1397" t="s">
        <v>56</v>
      </c>
      <c r="R1397">
        <v>5617</v>
      </c>
      <c r="S1397">
        <v>21075</v>
      </c>
      <c r="T1397">
        <v>1</v>
      </c>
      <c r="U1397" t="s">
        <v>38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  <c r="AG1397" t="s">
        <v>67</v>
      </c>
      <c r="AH1397" t="s">
        <v>46</v>
      </c>
      <c r="AI1397">
        <v>1</v>
      </c>
      <c r="AJ1397" t="s">
        <v>58</v>
      </c>
      <c r="AK1397" t="s">
        <v>68</v>
      </c>
      <c r="AL1397" t="s">
        <v>49</v>
      </c>
      <c r="AM1397" t="s">
        <v>61</v>
      </c>
      <c r="AN1397">
        <f t="shared" si="21"/>
        <v>-3</v>
      </c>
    </row>
    <row r="1398" spans="1:40">
      <c r="A1398">
        <v>53</v>
      </c>
      <c r="B1398" t="s">
        <v>38</v>
      </c>
      <c r="C1398" t="s">
        <v>39</v>
      </c>
      <c r="D1398">
        <v>1168</v>
      </c>
      <c r="E1398" t="s">
        <v>40</v>
      </c>
      <c r="F1398">
        <v>24</v>
      </c>
      <c r="G1398">
        <v>4</v>
      </c>
      <c r="H1398" t="s">
        <v>41</v>
      </c>
      <c r="I1398">
        <v>1968</v>
      </c>
      <c r="J1398">
        <v>1</v>
      </c>
      <c r="K1398" t="s">
        <v>54</v>
      </c>
      <c r="L1398">
        <v>66</v>
      </c>
      <c r="M1398">
        <v>3</v>
      </c>
      <c r="N1398">
        <v>3</v>
      </c>
      <c r="O1398" t="s">
        <v>43</v>
      </c>
      <c r="P1398">
        <v>1</v>
      </c>
      <c r="Q1398" t="s">
        <v>44</v>
      </c>
      <c r="R1398">
        <v>10448</v>
      </c>
      <c r="S1398">
        <v>5843</v>
      </c>
      <c r="T1398">
        <v>6</v>
      </c>
      <c r="U1398" t="s">
        <v>38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 t="s">
        <v>57</v>
      </c>
      <c r="AH1398" t="s">
        <v>81</v>
      </c>
      <c r="AI1398">
        <v>1</v>
      </c>
      <c r="AJ1398" t="s">
        <v>47</v>
      </c>
      <c r="AK1398" t="s">
        <v>68</v>
      </c>
      <c r="AL1398" t="s">
        <v>73</v>
      </c>
      <c r="AM1398" t="s">
        <v>70</v>
      </c>
      <c r="AN1398">
        <f t="shared" si="21"/>
        <v>10</v>
      </c>
    </row>
    <row r="1399" spans="1:40">
      <c r="A1399">
        <v>54</v>
      </c>
      <c r="B1399" t="s">
        <v>51</v>
      </c>
      <c r="C1399" t="s">
        <v>39</v>
      </c>
      <c r="D1399">
        <v>155</v>
      </c>
      <c r="E1399" t="s">
        <v>53</v>
      </c>
      <c r="F1399">
        <v>9</v>
      </c>
      <c r="G1399">
        <v>2</v>
      </c>
      <c r="H1399" t="s">
        <v>41</v>
      </c>
      <c r="I1399">
        <v>1969</v>
      </c>
      <c r="J1399">
        <v>1</v>
      </c>
      <c r="K1399" t="s">
        <v>42</v>
      </c>
      <c r="L1399">
        <v>67</v>
      </c>
      <c r="M1399">
        <v>3</v>
      </c>
      <c r="N1399">
        <v>2</v>
      </c>
      <c r="O1399" t="s">
        <v>55</v>
      </c>
      <c r="P1399">
        <v>3</v>
      </c>
      <c r="Q1399" t="s">
        <v>56</v>
      </c>
      <c r="R1399">
        <v>2897</v>
      </c>
      <c r="S1399">
        <v>22474</v>
      </c>
      <c r="T1399">
        <v>3</v>
      </c>
      <c r="U1399" t="s">
        <v>51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  <c r="AG1399" t="s">
        <v>57</v>
      </c>
      <c r="AH1399" t="s">
        <v>46</v>
      </c>
      <c r="AI1399">
        <v>0</v>
      </c>
      <c r="AJ1399" t="s">
        <v>47</v>
      </c>
      <c r="AK1399" t="s">
        <v>48</v>
      </c>
      <c r="AL1399" t="s">
        <v>66</v>
      </c>
      <c r="AM1399" t="s">
        <v>70</v>
      </c>
      <c r="AN1399">
        <f t="shared" si="21"/>
        <v>4</v>
      </c>
    </row>
    <row r="1400" spans="1:40">
      <c r="A1400">
        <v>33</v>
      </c>
      <c r="B1400" t="s">
        <v>51</v>
      </c>
      <c r="C1400" t="s">
        <v>52</v>
      </c>
      <c r="D1400">
        <v>1303</v>
      </c>
      <c r="E1400" t="s">
        <v>53</v>
      </c>
      <c r="F1400">
        <v>7</v>
      </c>
      <c r="G1400">
        <v>2</v>
      </c>
      <c r="H1400" t="s">
        <v>41</v>
      </c>
      <c r="I1400">
        <v>1970</v>
      </c>
      <c r="J1400">
        <v>4</v>
      </c>
      <c r="K1400" t="s">
        <v>54</v>
      </c>
      <c r="L1400">
        <v>36</v>
      </c>
      <c r="M1400">
        <v>3</v>
      </c>
      <c r="N1400">
        <v>2</v>
      </c>
      <c r="O1400" t="s">
        <v>76</v>
      </c>
      <c r="P1400">
        <v>3</v>
      </c>
      <c r="Q1400" t="s">
        <v>74</v>
      </c>
      <c r="R1400">
        <v>5968</v>
      </c>
      <c r="S1400">
        <v>18079</v>
      </c>
      <c r="T1400">
        <v>1</v>
      </c>
      <c r="U1400" t="s">
        <v>51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  <c r="AG1400" t="s">
        <v>67</v>
      </c>
      <c r="AH1400" t="s">
        <v>46</v>
      </c>
      <c r="AI1400">
        <v>0</v>
      </c>
      <c r="AJ1400" t="s">
        <v>58</v>
      </c>
      <c r="AK1400" t="s">
        <v>48</v>
      </c>
      <c r="AL1400" t="s">
        <v>66</v>
      </c>
      <c r="AM1400" t="s">
        <v>61</v>
      </c>
      <c r="AN1400">
        <f t="shared" si="21"/>
        <v>2</v>
      </c>
    </row>
    <row r="1401" spans="1:40">
      <c r="A1401">
        <v>43</v>
      </c>
      <c r="B1401" t="s">
        <v>51</v>
      </c>
      <c r="C1401" t="s">
        <v>39</v>
      </c>
      <c r="D1401">
        <v>574</v>
      </c>
      <c r="E1401" t="s">
        <v>53</v>
      </c>
      <c r="F1401">
        <v>11</v>
      </c>
      <c r="G1401">
        <v>3</v>
      </c>
      <c r="H1401" t="s">
        <v>41</v>
      </c>
      <c r="I1401">
        <v>1971</v>
      </c>
      <c r="J1401">
        <v>1</v>
      </c>
      <c r="K1401" t="s">
        <v>54</v>
      </c>
      <c r="L1401">
        <v>30</v>
      </c>
      <c r="M1401">
        <v>3</v>
      </c>
      <c r="N1401">
        <v>3</v>
      </c>
      <c r="O1401" t="s">
        <v>76</v>
      </c>
      <c r="P1401">
        <v>3</v>
      </c>
      <c r="Q1401" t="s">
        <v>56</v>
      </c>
      <c r="R1401">
        <v>7510</v>
      </c>
      <c r="S1401">
        <v>16873</v>
      </c>
      <c r="T1401">
        <v>1</v>
      </c>
      <c r="U1401" t="s">
        <v>51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  <c r="AG1401" t="s">
        <v>45</v>
      </c>
      <c r="AH1401" t="s">
        <v>46</v>
      </c>
      <c r="AI1401">
        <v>0</v>
      </c>
      <c r="AJ1401" t="s">
        <v>58</v>
      </c>
      <c r="AK1401" t="s">
        <v>72</v>
      </c>
      <c r="AL1401" t="s">
        <v>66</v>
      </c>
      <c r="AM1401" t="s">
        <v>61</v>
      </c>
      <c r="AN1401">
        <f t="shared" si="21"/>
        <v>0</v>
      </c>
    </row>
    <row r="1402" spans="1:40">
      <c r="A1402">
        <v>38</v>
      </c>
      <c r="B1402" t="s">
        <v>51</v>
      </c>
      <c r="C1402" t="s">
        <v>52</v>
      </c>
      <c r="D1402">
        <v>1444</v>
      </c>
      <c r="E1402" t="s">
        <v>88</v>
      </c>
      <c r="F1402">
        <v>1</v>
      </c>
      <c r="G1402">
        <v>4</v>
      </c>
      <c r="H1402" t="s">
        <v>62</v>
      </c>
      <c r="I1402">
        <v>1972</v>
      </c>
      <c r="J1402">
        <v>4</v>
      </c>
      <c r="K1402" t="s">
        <v>54</v>
      </c>
      <c r="L1402">
        <v>88</v>
      </c>
      <c r="M1402">
        <v>3</v>
      </c>
      <c r="N1402">
        <v>1</v>
      </c>
      <c r="O1402" t="s">
        <v>88</v>
      </c>
      <c r="P1402">
        <v>2</v>
      </c>
      <c r="Q1402" t="s">
        <v>56</v>
      </c>
      <c r="R1402">
        <v>2991</v>
      </c>
      <c r="S1402">
        <v>5224</v>
      </c>
      <c r="T1402">
        <v>0</v>
      </c>
      <c r="U1402" t="s">
        <v>38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  <c r="AG1402" t="s">
        <v>45</v>
      </c>
      <c r="AH1402" t="s">
        <v>81</v>
      </c>
      <c r="AI1402">
        <v>0</v>
      </c>
      <c r="AJ1402" t="s">
        <v>58</v>
      </c>
      <c r="AK1402" t="s">
        <v>68</v>
      </c>
      <c r="AL1402" t="s">
        <v>60</v>
      </c>
      <c r="AM1402" t="s">
        <v>61</v>
      </c>
      <c r="AN1402">
        <f t="shared" si="21"/>
        <v>4</v>
      </c>
    </row>
    <row r="1403" spans="1:40">
      <c r="A1403">
        <v>55</v>
      </c>
      <c r="B1403" t="s">
        <v>51</v>
      </c>
      <c r="C1403" t="s">
        <v>39</v>
      </c>
      <c r="D1403">
        <v>189</v>
      </c>
      <c r="E1403" t="s">
        <v>88</v>
      </c>
      <c r="F1403">
        <v>26</v>
      </c>
      <c r="G1403">
        <v>4</v>
      </c>
      <c r="H1403" t="s">
        <v>88</v>
      </c>
      <c r="I1403">
        <v>1973</v>
      </c>
      <c r="J1403">
        <v>3</v>
      </c>
      <c r="K1403" t="s">
        <v>54</v>
      </c>
      <c r="L1403">
        <v>71</v>
      </c>
      <c r="M1403">
        <v>4</v>
      </c>
      <c r="N1403">
        <v>5</v>
      </c>
      <c r="O1403" t="s">
        <v>79</v>
      </c>
      <c r="P1403">
        <v>2</v>
      </c>
      <c r="Q1403" t="s">
        <v>56</v>
      </c>
      <c r="R1403">
        <v>19636</v>
      </c>
      <c r="S1403">
        <v>25811</v>
      </c>
      <c r="T1403">
        <v>4</v>
      </c>
      <c r="U1403" t="s">
        <v>38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  <c r="AG1403" t="s">
        <v>57</v>
      </c>
      <c r="AH1403" t="s">
        <v>46</v>
      </c>
      <c r="AI1403">
        <v>0</v>
      </c>
      <c r="AJ1403" t="s">
        <v>58</v>
      </c>
      <c r="AK1403" t="s">
        <v>68</v>
      </c>
      <c r="AL1403" t="s">
        <v>60</v>
      </c>
      <c r="AM1403" t="s">
        <v>61</v>
      </c>
      <c r="AN1403">
        <f t="shared" si="21"/>
        <v>4</v>
      </c>
    </row>
    <row r="1404" spans="1:40">
      <c r="A1404">
        <v>31</v>
      </c>
      <c r="B1404" t="s">
        <v>51</v>
      </c>
      <c r="C1404" t="s">
        <v>39</v>
      </c>
      <c r="D1404">
        <v>1276</v>
      </c>
      <c r="E1404" t="s">
        <v>53</v>
      </c>
      <c r="F1404">
        <v>2</v>
      </c>
      <c r="G1404">
        <v>1</v>
      </c>
      <c r="H1404" t="s">
        <v>69</v>
      </c>
      <c r="I1404">
        <v>1974</v>
      </c>
      <c r="J1404">
        <v>4</v>
      </c>
      <c r="K1404" t="s">
        <v>42</v>
      </c>
      <c r="L1404">
        <v>59</v>
      </c>
      <c r="M1404">
        <v>1</v>
      </c>
      <c r="N1404">
        <v>1</v>
      </c>
      <c r="O1404" t="s">
        <v>63</v>
      </c>
      <c r="P1404">
        <v>4</v>
      </c>
      <c r="Q1404" t="s">
        <v>74</v>
      </c>
      <c r="R1404">
        <v>1129</v>
      </c>
      <c r="S1404">
        <v>17536</v>
      </c>
      <c r="T1404">
        <v>1</v>
      </c>
      <c r="U1404" t="s">
        <v>38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  <c r="AG1404" t="s">
        <v>67</v>
      </c>
      <c r="AH1404" t="s">
        <v>46</v>
      </c>
      <c r="AI1404">
        <v>0</v>
      </c>
      <c r="AJ1404" t="s">
        <v>65</v>
      </c>
      <c r="AK1404" t="s">
        <v>59</v>
      </c>
      <c r="AL1404" t="s">
        <v>49</v>
      </c>
      <c r="AM1404" t="s">
        <v>61</v>
      </c>
      <c r="AN1404">
        <f t="shared" si="21"/>
        <v>-3</v>
      </c>
    </row>
    <row r="1405" spans="1:40">
      <c r="A1405">
        <v>39</v>
      </c>
      <c r="B1405" t="s">
        <v>51</v>
      </c>
      <c r="C1405" t="s">
        <v>39</v>
      </c>
      <c r="D1405">
        <v>119</v>
      </c>
      <c r="E1405" t="s">
        <v>40</v>
      </c>
      <c r="F1405">
        <v>15</v>
      </c>
      <c r="G1405">
        <v>4</v>
      </c>
      <c r="H1405" t="s">
        <v>84</v>
      </c>
      <c r="I1405">
        <v>1975</v>
      </c>
      <c r="J1405">
        <v>2</v>
      </c>
      <c r="K1405" t="s">
        <v>54</v>
      </c>
      <c r="L1405">
        <v>77</v>
      </c>
      <c r="M1405">
        <v>3</v>
      </c>
      <c r="N1405">
        <v>4</v>
      </c>
      <c r="O1405" t="s">
        <v>43</v>
      </c>
      <c r="P1405">
        <v>1</v>
      </c>
      <c r="Q1405" t="s">
        <v>44</v>
      </c>
      <c r="R1405">
        <v>13341</v>
      </c>
      <c r="S1405">
        <v>25098</v>
      </c>
      <c r="T1405">
        <v>0</v>
      </c>
      <c r="U1405" t="s">
        <v>51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  <c r="AG1405" t="s">
        <v>45</v>
      </c>
      <c r="AH1405" t="s">
        <v>46</v>
      </c>
      <c r="AI1405">
        <v>0</v>
      </c>
      <c r="AJ1405" t="s">
        <v>80</v>
      </c>
      <c r="AK1405" t="s">
        <v>68</v>
      </c>
      <c r="AL1405" t="s">
        <v>73</v>
      </c>
      <c r="AM1405" t="s">
        <v>61</v>
      </c>
      <c r="AN1405">
        <f t="shared" si="21"/>
        <v>17</v>
      </c>
    </row>
    <row r="1406" spans="1:40">
      <c r="A1406">
        <v>42</v>
      </c>
      <c r="B1406" t="s">
        <v>51</v>
      </c>
      <c r="C1406" t="s">
        <v>77</v>
      </c>
      <c r="D1406">
        <v>335</v>
      </c>
      <c r="E1406" t="s">
        <v>53</v>
      </c>
      <c r="F1406">
        <v>23</v>
      </c>
      <c r="G1406">
        <v>2</v>
      </c>
      <c r="H1406" t="s">
        <v>41</v>
      </c>
      <c r="I1406">
        <v>1976</v>
      </c>
      <c r="J1406">
        <v>4</v>
      </c>
      <c r="K1406" t="s">
        <v>54</v>
      </c>
      <c r="L1406">
        <v>37</v>
      </c>
      <c r="M1406">
        <v>2</v>
      </c>
      <c r="N1406">
        <v>2</v>
      </c>
      <c r="O1406" t="s">
        <v>55</v>
      </c>
      <c r="P1406">
        <v>3</v>
      </c>
      <c r="Q1406" t="s">
        <v>44</v>
      </c>
      <c r="R1406">
        <v>4332</v>
      </c>
      <c r="S1406">
        <v>14811</v>
      </c>
      <c r="T1406">
        <v>1</v>
      </c>
      <c r="U1406" t="s">
        <v>51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  <c r="AG1406" t="s">
        <v>45</v>
      </c>
      <c r="AH1406" t="s">
        <v>46</v>
      </c>
      <c r="AI1406">
        <v>0</v>
      </c>
      <c r="AJ1406" t="s">
        <v>80</v>
      </c>
      <c r="AK1406" t="s">
        <v>48</v>
      </c>
      <c r="AL1406" t="s">
        <v>66</v>
      </c>
      <c r="AM1406" t="s">
        <v>61</v>
      </c>
      <c r="AN1406">
        <f t="shared" si="21"/>
        <v>3</v>
      </c>
    </row>
    <row r="1407" spans="1:40">
      <c r="A1407">
        <v>31</v>
      </c>
      <c r="B1407" t="s">
        <v>51</v>
      </c>
      <c r="C1407" t="s">
        <v>77</v>
      </c>
      <c r="D1407">
        <v>697</v>
      </c>
      <c r="E1407" t="s">
        <v>53</v>
      </c>
      <c r="F1407">
        <v>10</v>
      </c>
      <c r="G1407">
        <v>3</v>
      </c>
      <c r="H1407" t="s">
        <v>69</v>
      </c>
      <c r="I1407">
        <v>1979</v>
      </c>
      <c r="J1407">
        <v>3</v>
      </c>
      <c r="K1407" t="s">
        <v>42</v>
      </c>
      <c r="L1407">
        <v>40</v>
      </c>
      <c r="M1407">
        <v>3</v>
      </c>
      <c r="N1407">
        <v>3</v>
      </c>
      <c r="O1407" t="s">
        <v>83</v>
      </c>
      <c r="P1407">
        <v>3</v>
      </c>
      <c r="Q1407" t="s">
        <v>56</v>
      </c>
      <c r="R1407">
        <v>11031</v>
      </c>
      <c r="S1407">
        <v>26862</v>
      </c>
      <c r="T1407">
        <v>4</v>
      </c>
      <c r="U1407" t="s">
        <v>51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  <c r="AG1407" t="s">
        <v>67</v>
      </c>
      <c r="AH1407" t="s">
        <v>46</v>
      </c>
      <c r="AI1407">
        <v>0</v>
      </c>
      <c r="AJ1407" t="s">
        <v>80</v>
      </c>
      <c r="AK1407" t="s">
        <v>72</v>
      </c>
      <c r="AL1407" t="s">
        <v>66</v>
      </c>
      <c r="AM1407" t="s">
        <v>85</v>
      </c>
      <c r="AN1407">
        <f t="shared" si="21"/>
        <v>2</v>
      </c>
    </row>
    <row r="1408" spans="1:40">
      <c r="A1408">
        <v>54</v>
      </c>
      <c r="B1408" t="s">
        <v>51</v>
      </c>
      <c r="C1408" t="s">
        <v>39</v>
      </c>
      <c r="D1408">
        <v>157</v>
      </c>
      <c r="E1408" t="s">
        <v>53</v>
      </c>
      <c r="F1408">
        <v>10</v>
      </c>
      <c r="G1408">
        <v>3</v>
      </c>
      <c r="H1408" t="s">
        <v>69</v>
      </c>
      <c r="I1408">
        <v>1980</v>
      </c>
      <c r="J1408">
        <v>3</v>
      </c>
      <c r="K1408" t="s">
        <v>42</v>
      </c>
      <c r="L1408">
        <v>77</v>
      </c>
      <c r="M1408">
        <v>3</v>
      </c>
      <c r="N1408">
        <v>2</v>
      </c>
      <c r="O1408" t="s">
        <v>75</v>
      </c>
      <c r="P1408">
        <v>1</v>
      </c>
      <c r="Q1408" t="s">
        <v>44</v>
      </c>
      <c r="R1408">
        <v>4440</v>
      </c>
      <c r="S1408">
        <v>25198</v>
      </c>
      <c r="T1408">
        <v>6</v>
      </c>
      <c r="U1408" t="s">
        <v>38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  <c r="AG1408" t="s">
        <v>57</v>
      </c>
      <c r="AH1408" t="s">
        <v>46</v>
      </c>
      <c r="AI1408">
        <v>0</v>
      </c>
      <c r="AJ1408" t="s">
        <v>65</v>
      </c>
      <c r="AK1408" t="s">
        <v>72</v>
      </c>
      <c r="AL1408" t="s">
        <v>73</v>
      </c>
      <c r="AM1408" t="s">
        <v>61</v>
      </c>
      <c r="AN1408">
        <f t="shared" si="21"/>
        <v>7</v>
      </c>
    </row>
    <row r="1409" spans="1:40">
      <c r="A1409">
        <v>24</v>
      </c>
      <c r="B1409" t="s">
        <v>51</v>
      </c>
      <c r="C1409" t="s">
        <v>39</v>
      </c>
      <c r="D1409">
        <v>771</v>
      </c>
      <c r="E1409" t="s">
        <v>53</v>
      </c>
      <c r="F1409">
        <v>1</v>
      </c>
      <c r="G1409">
        <v>2</v>
      </c>
      <c r="H1409" t="s">
        <v>41</v>
      </c>
      <c r="I1409">
        <v>1981</v>
      </c>
      <c r="J1409">
        <v>2</v>
      </c>
      <c r="K1409" t="s">
        <v>54</v>
      </c>
      <c r="L1409">
        <v>45</v>
      </c>
      <c r="M1409">
        <v>2</v>
      </c>
      <c r="N1409">
        <v>2</v>
      </c>
      <c r="O1409" t="s">
        <v>76</v>
      </c>
      <c r="P1409">
        <v>3</v>
      </c>
      <c r="Q1409" t="s">
        <v>44</v>
      </c>
      <c r="R1409">
        <v>4617</v>
      </c>
      <c r="S1409">
        <v>14120</v>
      </c>
      <c r="T1409">
        <v>1</v>
      </c>
      <c r="U1409" t="s">
        <v>51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  <c r="AG1409" t="s">
        <v>78</v>
      </c>
      <c r="AH1409" t="s">
        <v>46</v>
      </c>
      <c r="AI1409">
        <v>0</v>
      </c>
      <c r="AJ1409" t="s">
        <v>47</v>
      </c>
      <c r="AK1409" t="s">
        <v>48</v>
      </c>
      <c r="AL1409" t="s">
        <v>66</v>
      </c>
      <c r="AM1409" t="s">
        <v>70</v>
      </c>
      <c r="AN1409">
        <f t="shared" si="21"/>
        <v>3</v>
      </c>
    </row>
    <row r="1410" spans="1:40">
      <c r="A1410">
        <v>23</v>
      </c>
      <c r="B1410" t="s">
        <v>51</v>
      </c>
      <c r="C1410" t="s">
        <v>39</v>
      </c>
      <c r="D1410">
        <v>571</v>
      </c>
      <c r="E1410" t="s">
        <v>53</v>
      </c>
      <c r="F1410">
        <v>12</v>
      </c>
      <c r="G1410">
        <v>2</v>
      </c>
      <c r="H1410" t="s">
        <v>62</v>
      </c>
      <c r="I1410">
        <v>1982</v>
      </c>
      <c r="J1410">
        <v>4</v>
      </c>
      <c r="K1410" t="s">
        <v>54</v>
      </c>
      <c r="L1410">
        <v>78</v>
      </c>
      <c r="M1410">
        <v>3</v>
      </c>
      <c r="N1410">
        <v>1</v>
      </c>
      <c r="O1410" t="s">
        <v>63</v>
      </c>
      <c r="P1410">
        <v>4</v>
      </c>
      <c r="Q1410" t="s">
        <v>44</v>
      </c>
      <c r="R1410">
        <v>2647</v>
      </c>
      <c r="S1410">
        <v>13672</v>
      </c>
      <c r="T1410">
        <v>1</v>
      </c>
      <c r="U1410" t="s">
        <v>51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  <c r="AG1410" t="s">
        <v>78</v>
      </c>
      <c r="AH1410" t="s">
        <v>46</v>
      </c>
      <c r="AI1410">
        <v>0</v>
      </c>
      <c r="AJ1410" t="s">
        <v>65</v>
      </c>
      <c r="AK1410" t="s">
        <v>48</v>
      </c>
      <c r="AL1410" t="s">
        <v>49</v>
      </c>
      <c r="AM1410" t="s">
        <v>85</v>
      </c>
      <c r="AN1410">
        <f t="shared" si="21"/>
        <v>-4</v>
      </c>
    </row>
    <row r="1411" spans="1:40">
      <c r="A1411">
        <v>40</v>
      </c>
      <c r="B1411" t="s">
        <v>51</v>
      </c>
      <c r="C1411" t="s">
        <v>52</v>
      </c>
      <c r="D1411">
        <v>692</v>
      </c>
      <c r="E1411" t="s">
        <v>53</v>
      </c>
      <c r="F1411">
        <v>11</v>
      </c>
      <c r="G1411">
        <v>3</v>
      </c>
      <c r="H1411" t="s">
        <v>86</v>
      </c>
      <c r="I1411">
        <v>1985</v>
      </c>
      <c r="J1411">
        <v>4</v>
      </c>
      <c r="K1411" t="s">
        <v>42</v>
      </c>
      <c r="L1411">
        <v>73</v>
      </c>
      <c r="M1411">
        <v>3</v>
      </c>
      <c r="N1411">
        <v>2</v>
      </c>
      <c r="O1411" t="s">
        <v>63</v>
      </c>
      <c r="P1411">
        <v>3</v>
      </c>
      <c r="Q1411" t="s">
        <v>56</v>
      </c>
      <c r="R1411">
        <v>6323</v>
      </c>
      <c r="S1411">
        <v>26849</v>
      </c>
      <c r="T1411">
        <v>1</v>
      </c>
      <c r="U1411" t="s">
        <v>51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  <c r="AG1411" t="s">
        <v>45</v>
      </c>
      <c r="AH1411" t="s">
        <v>46</v>
      </c>
      <c r="AI1411">
        <v>0</v>
      </c>
      <c r="AJ1411" t="s">
        <v>58</v>
      </c>
      <c r="AK1411" t="s">
        <v>72</v>
      </c>
      <c r="AL1411" t="s">
        <v>66</v>
      </c>
      <c r="AM1411" t="s">
        <v>85</v>
      </c>
      <c r="AN1411">
        <f t="shared" ref="AN1411:AN1471" si="22">((3-P1411)*3+((3-AB1411)*2+AE1411))</f>
        <v>7</v>
      </c>
    </row>
    <row r="1412" spans="1:40">
      <c r="A1412">
        <v>40</v>
      </c>
      <c r="B1412" t="s">
        <v>51</v>
      </c>
      <c r="C1412" t="s">
        <v>39</v>
      </c>
      <c r="D1412">
        <v>444</v>
      </c>
      <c r="E1412" t="s">
        <v>40</v>
      </c>
      <c r="F1412">
        <v>2</v>
      </c>
      <c r="G1412">
        <v>2</v>
      </c>
      <c r="H1412" t="s">
        <v>84</v>
      </c>
      <c r="I1412">
        <v>1986</v>
      </c>
      <c r="J1412">
        <v>2</v>
      </c>
      <c r="K1412" t="s">
        <v>42</v>
      </c>
      <c r="L1412">
        <v>92</v>
      </c>
      <c r="M1412">
        <v>3</v>
      </c>
      <c r="N1412">
        <v>2</v>
      </c>
      <c r="O1412" t="s">
        <v>43</v>
      </c>
      <c r="P1412">
        <v>2</v>
      </c>
      <c r="Q1412" t="s">
        <v>56</v>
      </c>
      <c r="R1412">
        <v>5677</v>
      </c>
      <c r="S1412">
        <v>4258</v>
      </c>
      <c r="T1412">
        <v>3</v>
      </c>
      <c r="U1412" t="s">
        <v>51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  <c r="AG1412" t="s">
        <v>45</v>
      </c>
      <c r="AH1412" t="s">
        <v>81</v>
      </c>
      <c r="AI1412">
        <v>0</v>
      </c>
      <c r="AJ1412" t="s">
        <v>80</v>
      </c>
      <c r="AK1412" t="s">
        <v>48</v>
      </c>
      <c r="AL1412" t="s">
        <v>60</v>
      </c>
      <c r="AM1412" t="s">
        <v>61</v>
      </c>
      <c r="AN1412">
        <f t="shared" si="22"/>
        <v>8</v>
      </c>
    </row>
    <row r="1413" spans="1:40">
      <c r="A1413">
        <v>25</v>
      </c>
      <c r="B1413" t="s">
        <v>51</v>
      </c>
      <c r="C1413" t="s">
        <v>39</v>
      </c>
      <c r="D1413">
        <v>309</v>
      </c>
      <c r="E1413" t="s">
        <v>88</v>
      </c>
      <c r="F1413">
        <v>2</v>
      </c>
      <c r="G1413">
        <v>3</v>
      </c>
      <c r="H1413" t="s">
        <v>88</v>
      </c>
      <c r="I1413">
        <v>1987</v>
      </c>
      <c r="J1413">
        <v>3</v>
      </c>
      <c r="K1413" t="s">
        <v>42</v>
      </c>
      <c r="L1413">
        <v>82</v>
      </c>
      <c r="M1413">
        <v>3</v>
      </c>
      <c r="N1413">
        <v>1</v>
      </c>
      <c r="O1413" t="s">
        <v>88</v>
      </c>
      <c r="P1413">
        <v>2</v>
      </c>
      <c r="Q1413" t="s">
        <v>56</v>
      </c>
      <c r="R1413">
        <v>2187</v>
      </c>
      <c r="S1413">
        <v>19655</v>
      </c>
      <c r="T1413">
        <v>4</v>
      </c>
      <c r="U1413" t="s">
        <v>51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  <c r="AG1413" t="s">
        <v>78</v>
      </c>
      <c r="AH1413" t="s">
        <v>46</v>
      </c>
      <c r="AI1413">
        <v>0</v>
      </c>
      <c r="AJ1413" t="s">
        <v>65</v>
      </c>
      <c r="AK1413" t="s">
        <v>72</v>
      </c>
      <c r="AL1413" t="s">
        <v>60</v>
      </c>
      <c r="AM1413" t="s">
        <v>61</v>
      </c>
      <c r="AN1413">
        <f t="shared" si="22"/>
        <v>4</v>
      </c>
    </row>
    <row r="1414" spans="1:40">
      <c r="A1414">
        <v>30</v>
      </c>
      <c r="B1414" t="s">
        <v>51</v>
      </c>
      <c r="C1414" t="s">
        <v>39</v>
      </c>
      <c r="D1414">
        <v>911</v>
      </c>
      <c r="E1414" t="s">
        <v>53</v>
      </c>
      <c r="F1414">
        <v>1</v>
      </c>
      <c r="G1414">
        <v>2</v>
      </c>
      <c r="H1414" t="s">
        <v>69</v>
      </c>
      <c r="I1414">
        <v>1989</v>
      </c>
      <c r="J1414">
        <v>4</v>
      </c>
      <c r="K1414" t="s">
        <v>54</v>
      </c>
      <c r="L1414">
        <v>76</v>
      </c>
      <c r="M1414">
        <v>3</v>
      </c>
      <c r="N1414">
        <v>1</v>
      </c>
      <c r="O1414" t="s">
        <v>63</v>
      </c>
      <c r="P1414">
        <v>2</v>
      </c>
      <c r="Q1414" t="s">
        <v>56</v>
      </c>
      <c r="R1414">
        <v>3748</v>
      </c>
      <c r="S1414">
        <v>4077</v>
      </c>
      <c r="T1414">
        <v>1</v>
      </c>
      <c r="U1414" t="s">
        <v>51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  <c r="AG1414" t="s">
        <v>67</v>
      </c>
      <c r="AH1414" t="s">
        <v>81</v>
      </c>
      <c r="AI1414">
        <v>0</v>
      </c>
      <c r="AJ1414" t="s">
        <v>47</v>
      </c>
      <c r="AK1414" t="s">
        <v>48</v>
      </c>
      <c r="AL1414" t="s">
        <v>60</v>
      </c>
      <c r="AM1414" t="s">
        <v>70</v>
      </c>
      <c r="AN1414">
        <f t="shared" si="22"/>
        <v>6</v>
      </c>
    </row>
    <row r="1415" spans="1:40">
      <c r="A1415">
        <v>25</v>
      </c>
      <c r="B1415" t="s">
        <v>51</v>
      </c>
      <c r="C1415" t="s">
        <v>39</v>
      </c>
      <c r="D1415">
        <v>977</v>
      </c>
      <c r="E1415" t="s">
        <v>53</v>
      </c>
      <c r="F1415">
        <v>2</v>
      </c>
      <c r="G1415">
        <v>1</v>
      </c>
      <c r="H1415" t="s">
        <v>62</v>
      </c>
      <c r="I1415">
        <v>1992</v>
      </c>
      <c r="J1415">
        <v>4</v>
      </c>
      <c r="K1415" t="s">
        <v>54</v>
      </c>
      <c r="L1415">
        <v>57</v>
      </c>
      <c r="M1415">
        <v>3</v>
      </c>
      <c r="N1415">
        <v>1</v>
      </c>
      <c r="O1415" t="s">
        <v>63</v>
      </c>
      <c r="P1415">
        <v>3</v>
      </c>
      <c r="Q1415" t="s">
        <v>74</v>
      </c>
      <c r="R1415">
        <v>3977</v>
      </c>
      <c r="S1415">
        <v>7298</v>
      </c>
      <c r="T1415">
        <v>6</v>
      </c>
      <c r="U1415" t="s">
        <v>38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  <c r="AG1415" t="s">
        <v>78</v>
      </c>
      <c r="AH1415" t="s">
        <v>71</v>
      </c>
      <c r="AI1415">
        <v>0</v>
      </c>
      <c r="AJ1415" t="s">
        <v>47</v>
      </c>
      <c r="AK1415" t="s">
        <v>59</v>
      </c>
      <c r="AL1415" t="s">
        <v>66</v>
      </c>
      <c r="AM1415" t="s">
        <v>70</v>
      </c>
      <c r="AN1415">
        <f t="shared" si="22"/>
        <v>2</v>
      </c>
    </row>
    <row r="1416" spans="1:40">
      <c r="A1416">
        <v>47</v>
      </c>
      <c r="B1416" t="s">
        <v>51</v>
      </c>
      <c r="C1416" t="s">
        <v>39</v>
      </c>
      <c r="D1416">
        <v>1180</v>
      </c>
      <c r="E1416" t="s">
        <v>53</v>
      </c>
      <c r="F1416">
        <v>25</v>
      </c>
      <c r="G1416">
        <v>3</v>
      </c>
      <c r="H1416" t="s">
        <v>69</v>
      </c>
      <c r="I1416">
        <v>1993</v>
      </c>
      <c r="J1416">
        <v>1</v>
      </c>
      <c r="K1416" t="s">
        <v>54</v>
      </c>
      <c r="L1416">
        <v>84</v>
      </c>
      <c r="M1416">
        <v>3</v>
      </c>
      <c r="N1416">
        <v>3</v>
      </c>
      <c r="O1416" t="s">
        <v>76</v>
      </c>
      <c r="P1416">
        <v>3</v>
      </c>
      <c r="Q1416" t="s">
        <v>44</v>
      </c>
      <c r="R1416">
        <v>8633</v>
      </c>
      <c r="S1416">
        <v>13084</v>
      </c>
      <c r="T1416">
        <v>2</v>
      </c>
      <c r="U1416" t="s">
        <v>51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  <c r="AG1416" t="s">
        <v>57</v>
      </c>
      <c r="AH1416" t="s">
        <v>46</v>
      </c>
      <c r="AI1416">
        <v>0</v>
      </c>
      <c r="AJ1416" t="s">
        <v>80</v>
      </c>
      <c r="AK1416" t="s">
        <v>72</v>
      </c>
      <c r="AL1416" t="s">
        <v>66</v>
      </c>
      <c r="AM1416" t="s">
        <v>61</v>
      </c>
      <c r="AN1416">
        <f t="shared" si="22"/>
        <v>12</v>
      </c>
    </row>
    <row r="1417" spans="1:40">
      <c r="A1417">
        <v>33</v>
      </c>
      <c r="B1417" t="s">
        <v>51</v>
      </c>
      <c r="C1417" t="s">
        <v>77</v>
      </c>
      <c r="D1417">
        <v>1313</v>
      </c>
      <c r="E1417" t="s">
        <v>53</v>
      </c>
      <c r="F1417">
        <v>1</v>
      </c>
      <c r="G1417">
        <v>2</v>
      </c>
      <c r="H1417" t="s">
        <v>69</v>
      </c>
      <c r="I1417">
        <v>1994</v>
      </c>
      <c r="J1417">
        <v>2</v>
      </c>
      <c r="K1417" t="s">
        <v>54</v>
      </c>
      <c r="L1417">
        <v>59</v>
      </c>
      <c r="M1417">
        <v>2</v>
      </c>
      <c r="N1417">
        <v>1</v>
      </c>
      <c r="O1417" t="s">
        <v>63</v>
      </c>
      <c r="P1417">
        <v>3</v>
      </c>
      <c r="Q1417" t="s">
        <v>74</v>
      </c>
      <c r="R1417">
        <v>2008</v>
      </c>
      <c r="S1417">
        <v>20439</v>
      </c>
      <c r="T1417">
        <v>1</v>
      </c>
      <c r="U1417" t="s">
        <v>51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  <c r="AG1417" t="s">
        <v>67</v>
      </c>
      <c r="AH1417" t="s">
        <v>46</v>
      </c>
      <c r="AI1417">
        <v>0</v>
      </c>
      <c r="AJ1417" t="s">
        <v>47</v>
      </c>
      <c r="AK1417" t="s">
        <v>48</v>
      </c>
      <c r="AL1417" t="s">
        <v>66</v>
      </c>
      <c r="AM1417" t="s">
        <v>70</v>
      </c>
      <c r="AN1417">
        <f t="shared" si="22"/>
        <v>2</v>
      </c>
    </row>
    <row r="1418" spans="1:40">
      <c r="A1418">
        <v>38</v>
      </c>
      <c r="B1418" t="s">
        <v>51</v>
      </c>
      <c r="C1418" t="s">
        <v>39</v>
      </c>
      <c r="D1418">
        <v>1321</v>
      </c>
      <c r="E1418" t="s">
        <v>40</v>
      </c>
      <c r="F1418">
        <v>1</v>
      </c>
      <c r="G1418">
        <v>4</v>
      </c>
      <c r="H1418" t="s">
        <v>41</v>
      </c>
      <c r="I1418">
        <v>1995</v>
      </c>
      <c r="J1418">
        <v>4</v>
      </c>
      <c r="K1418" t="s">
        <v>54</v>
      </c>
      <c r="L1418">
        <v>86</v>
      </c>
      <c r="M1418">
        <v>3</v>
      </c>
      <c r="N1418">
        <v>2</v>
      </c>
      <c r="O1418" t="s">
        <v>43</v>
      </c>
      <c r="P1418">
        <v>2</v>
      </c>
      <c r="Q1418" t="s">
        <v>56</v>
      </c>
      <c r="R1418">
        <v>4440</v>
      </c>
      <c r="S1418">
        <v>7636</v>
      </c>
      <c r="T1418">
        <v>0</v>
      </c>
      <c r="U1418" t="s">
        <v>51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  <c r="AG1418" t="s">
        <v>45</v>
      </c>
      <c r="AH1418" t="s">
        <v>71</v>
      </c>
      <c r="AI1418">
        <v>0</v>
      </c>
      <c r="AJ1418" t="s">
        <v>80</v>
      </c>
      <c r="AK1418" t="s">
        <v>68</v>
      </c>
      <c r="AL1418" t="s">
        <v>60</v>
      </c>
      <c r="AM1418" t="s">
        <v>61</v>
      </c>
      <c r="AN1418">
        <f t="shared" si="22"/>
        <v>8</v>
      </c>
    </row>
    <row r="1419" spans="1:40">
      <c r="A1419">
        <v>31</v>
      </c>
      <c r="B1419" t="s">
        <v>51</v>
      </c>
      <c r="C1419" t="s">
        <v>39</v>
      </c>
      <c r="D1419">
        <v>1154</v>
      </c>
      <c r="E1419" t="s">
        <v>40</v>
      </c>
      <c r="F1419">
        <v>2</v>
      </c>
      <c r="G1419">
        <v>2</v>
      </c>
      <c r="H1419" t="s">
        <v>41</v>
      </c>
      <c r="I1419">
        <v>1996</v>
      </c>
      <c r="J1419">
        <v>1</v>
      </c>
      <c r="K1419" t="s">
        <v>54</v>
      </c>
      <c r="L1419">
        <v>54</v>
      </c>
      <c r="M1419">
        <v>3</v>
      </c>
      <c r="N1419">
        <v>1</v>
      </c>
      <c r="O1419" t="s">
        <v>82</v>
      </c>
      <c r="P1419">
        <v>3</v>
      </c>
      <c r="Q1419" t="s">
        <v>56</v>
      </c>
      <c r="R1419">
        <v>3067</v>
      </c>
      <c r="S1419">
        <v>6393</v>
      </c>
      <c r="T1419">
        <v>0</v>
      </c>
      <c r="U1419" t="s">
        <v>51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  <c r="AG1419" t="s">
        <v>67</v>
      </c>
      <c r="AH1419" t="s">
        <v>71</v>
      </c>
      <c r="AI1419">
        <v>0</v>
      </c>
      <c r="AJ1419" t="s">
        <v>65</v>
      </c>
      <c r="AK1419" t="s">
        <v>48</v>
      </c>
      <c r="AL1419" t="s">
        <v>66</v>
      </c>
      <c r="AM1419" t="s">
        <v>61</v>
      </c>
      <c r="AN1419">
        <f t="shared" si="22"/>
        <v>1</v>
      </c>
    </row>
    <row r="1420" spans="1:40">
      <c r="A1420">
        <v>38</v>
      </c>
      <c r="B1420" t="s">
        <v>51</v>
      </c>
      <c r="C1420" t="s">
        <v>52</v>
      </c>
      <c r="D1420">
        <v>508</v>
      </c>
      <c r="E1420" t="s">
        <v>53</v>
      </c>
      <c r="F1420">
        <v>6</v>
      </c>
      <c r="G1420">
        <v>4</v>
      </c>
      <c r="H1420" t="s">
        <v>41</v>
      </c>
      <c r="I1420">
        <v>1997</v>
      </c>
      <c r="J1420">
        <v>1</v>
      </c>
      <c r="K1420" t="s">
        <v>54</v>
      </c>
      <c r="L1420">
        <v>72</v>
      </c>
      <c r="M1420">
        <v>2</v>
      </c>
      <c r="N1420">
        <v>2</v>
      </c>
      <c r="O1420" t="s">
        <v>75</v>
      </c>
      <c r="P1420">
        <v>3</v>
      </c>
      <c r="Q1420" t="s">
        <v>56</v>
      </c>
      <c r="R1420">
        <v>5321</v>
      </c>
      <c r="S1420">
        <v>14284</v>
      </c>
      <c r="T1420">
        <v>2</v>
      </c>
      <c r="U1420" t="s">
        <v>51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  <c r="AG1420" t="s">
        <v>45</v>
      </c>
      <c r="AH1420" t="s">
        <v>46</v>
      </c>
      <c r="AI1420">
        <v>0</v>
      </c>
      <c r="AJ1420" t="s">
        <v>58</v>
      </c>
      <c r="AK1420" t="s">
        <v>68</v>
      </c>
      <c r="AL1420" t="s">
        <v>66</v>
      </c>
      <c r="AM1420" t="s">
        <v>61</v>
      </c>
      <c r="AN1420">
        <f t="shared" si="22"/>
        <v>7</v>
      </c>
    </row>
    <row r="1421" spans="1:40">
      <c r="A1421">
        <v>42</v>
      </c>
      <c r="B1421" t="s">
        <v>51</v>
      </c>
      <c r="C1421" t="s">
        <v>39</v>
      </c>
      <c r="D1421">
        <v>557</v>
      </c>
      <c r="E1421" t="s">
        <v>53</v>
      </c>
      <c r="F1421">
        <v>18</v>
      </c>
      <c r="G1421">
        <v>4</v>
      </c>
      <c r="H1421" t="s">
        <v>41</v>
      </c>
      <c r="I1421">
        <v>1998</v>
      </c>
      <c r="J1421">
        <v>4</v>
      </c>
      <c r="K1421" t="s">
        <v>54</v>
      </c>
      <c r="L1421">
        <v>35</v>
      </c>
      <c r="M1421">
        <v>3</v>
      </c>
      <c r="N1421">
        <v>2</v>
      </c>
      <c r="O1421" t="s">
        <v>55</v>
      </c>
      <c r="P1421">
        <v>1</v>
      </c>
      <c r="Q1421" t="s">
        <v>74</v>
      </c>
      <c r="R1421">
        <v>5410</v>
      </c>
      <c r="S1421">
        <v>11189</v>
      </c>
      <c r="T1421">
        <v>6</v>
      </c>
      <c r="U1421" t="s">
        <v>38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  <c r="AG1421" t="s">
        <v>45</v>
      </c>
      <c r="AH1421" t="s">
        <v>46</v>
      </c>
      <c r="AI1421">
        <v>0</v>
      </c>
      <c r="AJ1421" t="s">
        <v>47</v>
      </c>
      <c r="AK1421" t="s">
        <v>68</v>
      </c>
      <c r="AL1421" t="s">
        <v>73</v>
      </c>
      <c r="AM1421" t="s">
        <v>70</v>
      </c>
      <c r="AN1421">
        <f t="shared" si="22"/>
        <v>9</v>
      </c>
    </row>
    <row r="1422" spans="1:40">
      <c r="A1422">
        <v>41</v>
      </c>
      <c r="B1422" t="s">
        <v>51</v>
      </c>
      <c r="C1422" t="s">
        <v>39</v>
      </c>
      <c r="D1422">
        <v>642</v>
      </c>
      <c r="E1422" t="s">
        <v>53</v>
      </c>
      <c r="F1422">
        <v>1</v>
      </c>
      <c r="G1422">
        <v>3</v>
      </c>
      <c r="H1422" t="s">
        <v>41</v>
      </c>
      <c r="I1422">
        <v>1999</v>
      </c>
      <c r="J1422">
        <v>4</v>
      </c>
      <c r="K1422" t="s">
        <v>54</v>
      </c>
      <c r="L1422">
        <v>76</v>
      </c>
      <c r="M1422">
        <v>3</v>
      </c>
      <c r="N1422">
        <v>1</v>
      </c>
      <c r="O1422" t="s">
        <v>55</v>
      </c>
      <c r="P1422">
        <v>4</v>
      </c>
      <c r="Q1422" t="s">
        <v>56</v>
      </c>
      <c r="R1422">
        <v>2782</v>
      </c>
      <c r="S1422">
        <v>21412</v>
      </c>
      <c r="T1422">
        <v>3</v>
      </c>
      <c r="U1422" t="s">
        <v>51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  <c r="AG1422" t="s">
        <v>45</v>
      </c>
      <c r="AH1422" t="s">
        <v>46</v>
      </c>
      <c r="AI1422">
        <v>0</v>
      </c>
      <c r="AJ1422" t="s">
        <v>65</v>
      </c>
      <c r="AK1422" t="s">
        <v>72</v>
      </c>
      <c r="AL1422" t="s">
        <v>49</v>
      </c>
      <c r="AM1422" t="s">
        <v>61</v>
      </c>
      <c r="AN1422">
        <f t="shared" si="22"/>
        <v>-2</v>
      </c>
    </row>
    <row r="1423" spans="1:40">
      <c r="A1423">
        <v>47</v>
      </c>
      <c r="B1423" t="s">
        <v>51</v>
      </c>
      <c r="C1423" t="s">
        <v>77</v>
      </c>
      <c r="D1423">
        <v>1162</v>
      </c>
      <c r="E1423" t="s">
        <v>53</v>
      </c>
      <c r="F1423">
        <v>1</v>
      </c>
      <c r="G1423">
        <v>1</v>
      </c>
      <c r="H1423" t="s">
        <v>69</v>
      </c>
      <c r="I1423">
        <v>2000</v>
      </c>
      <c r="J1423">
        <v>3</v>
      </c>
      <c r="K1423" t="s">
        <v>42</v>
      </c>
      <c r="L1423">
        <v>98</v>
      </c>
      <c r="M1423">
        <v>3</v>
      </c>
      <c r="N1423">
        <v>3</v>
      </c>
      <c r="O1423" t="s">
        <v>83</v>
      </c>
      <c r="P1423">
        <v>2</v>
      </c>
      <c r="Q1423" t="s">
        <v>56</v>
      </c>
      <c r="R1423">
        <v>11957</v>
      </c>
      <c r="S1423">
        <v>17231</v>
      </c>
      <c r="T1423">
        <v>0</v>
      </c>
      <c r="U1423" t="s">
        <v>51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  <c r="AG1423" t="s">
        <v>57</v>
      </c>
      <c r="AH1423" t="s">
        <v>46</v>
      </c>
      <c r="AI1423">
        <v>0</v>
      </c>
      <c r="AJ1423" t="s">
        <v>47</v>
      </c>
      <c r="AK1423" t="s">
        <v>59</v>
      </c>
      <c r="AL1423" t="s">
        <v>60</v>
      </c>
      <c r="AM1423" t="s">
        <v>50</v>
      </c>
      <c r="AN1423">
        <f t="shared" si="22"/>
        <v>12</v>
      </c>
    </row>
    <row r="1424" spans="1:40">
      <c r="A1424">
        <v>35</v>
      </c>
      <c r="B1424" t="s">
        <v>51</v>
      </c>
      <c r="C1424" t="s">
        <v>39</v>
      </c>
      <c r="D1424">
        <v>1490</v>
      </c>
      <c r="E1424" t="s">
        <v>53</v>
      </c>
      <c r="F1424">
        <v>11</v>
      </c>
      <c r="G1424">
        <v>4</v>
      </c>
      <c r="H1424" t="s">
        <v>69</v>
      </c>
      <c r="I1424">
        <v>2003</v>
      </c>
      <c r="J1424">
        <v>4</v>
      </c>
      <c r="K1424" t="s">
        <v>54</v>
      </c>
      <c r="L1424">
        <v>43</v>
      </c>
      <c r="M1424">
        <v>3</v>
      </c>
      <c r="N1424">
        <v>1</v>
      </c>
      <c r="O1424" t="s">
        <v>63</v>
      </c>
      <c r="P1424">
        <v>3</v>
      </c>
      <c r="Q1424" t="s">
        <v>56</v>
      </c>
      <c r="R1424">
        <v>2660</v>
      </c>
      <c r="S1424">
        <v>20232</v>
      </c>
      <c r="T1424">
        <v>7</v>
      </c>
      <c r="U1424" t="s">
        <v>38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  <c r="AG1424" t="s">
        <v>67</v>
      </c>
      <c r="AH1424" t="s">
        <v>46</v>
      </c>
      <c r="AI1424">
        <v>0</v>
      </c>
      <c r="AJ1424" t="s">
        <v>65</v>
      </c>
      <c r="AK1424" t="s">
        <v>68</v>
      </c>
      <c r="AL1424" t="s">
        <v>66</v>
      </c>
      <c r="AM1424" t="s">
        <v>61</v>
      </c>
      <c r="AN1424">
        <f t="shared" si="22"/>
        <v>2</v>
      </c>
    </row>
    <row r="1425" spans="1:40">
      <c r="A1425">
        <v>22</v>
      </c>
      <c r="B1425" t="s">
        <v>51</v>
      </c>
      <c r="C1425" t="s">
        <v>39</v>
      </c>
      <c r="D1425">
        <v>581</v>
      </c>
      <c r="E1425" t="s">
        <v>53</v>
      </c>
      <c r="F1425">
        <v>1</v>
      </c>
      <c r="G1425">
        <v>2</v>
      </c>
      <c r="H1425" t="s">
        <v>41</v>
      </c>
      <c r="I1425">
        <v>2007</v>
      </c>
      <c r="J1425">
        <v>4</v>
      </c>
      <c r="K1425" t="s">
        <v>54</v>
      </c>
      <c r="L1425">
        <v>63</v>
      </c>
      <c r="M1425">
        <v>3</v>
      </c>
      <c r="N1425">
        <v>1</v>
      </c>
      <c r="O1425" t="s">
        <v>55</v>
      </c>
      <c r="P1425">
        <v>3</v>
      </c>
      <c r="Q1425" t="s">
        <v>44</v>
      </c>
      <c r="R1425">
        <v>3375</v>
      </c>
      <c r="S1425">
        <v>17624</v>
      </c>
      <c r="T1425">
        <v>0</v>
      </c>
      <c r="U1425" t="s">
        <v>51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  <c r="AG1425" t="s">
        <v>78</v>
      </c>
      <c r="AH1425" t="s">
        <v>46</v>
      </c>
      <c r="AI1425">
        <v>0</v>
      </c>
      <c r="AJ1425" t="s">
        <v>65</v>
      </c>
      <c r="AK1425" t="s">
        <v>48</v>
      </c>
      <c r="AL1425" t="s">
        <v>66</v>
      </c>
      <c r="AM1425" t="s">
        <v>85</v>
      </c>
      <c r="AN1425">
        <f t="shared" si="22"/>
        <v>-1</v>
      </c>
    </row>
    <row r="1426" spans="1:40">
      <c r="A1426">
        <v>35</v>
      </c>
      <c r="B1426" t="s">
        <v>51</v>
      </c>
      <c r="C1426" t="s">
        <v>39</v>
      </c>
      <c r="D1426">
        <v>1395</v>
      </c>
      <c r="E1426" t="s">
        <v>53</v>
      </c>
      <c r="F1426">
        <v>9</v>
      </c>
      <c r="G1426">
        <v>4</v>
      </c>
      <c r="H1426" t="s">
        <v>69</v>
      </c>
      <c r="I1426">
        <v>2008</v>
      </c>
      <c r="J1426">
        <v>2</v>
      </c>
      <c r="K1426" t="s">
        <v>54</v>
      </c>
      <c r="L1426">
        <v>48</v>
      </c>
      <c r="M1426">
        <v>3</v>
      </c>
      <c r="N1426">
        <v>2</v>
      </c>
      <c r="O1426" t="s">
        <v>55</v>
      </c>
      <c r="P1426">
        <v>3</v>
      </c>
      <c r="Q1426" t="s">
        <v>44</v>
      </c>
      <c r="R1426">
        <v>5098</v>
      </c>
      <c r="S1426">
        <v>18698</v>
      </c>
      <c r="T1426">
        <v>1</v>
      </c>
      <c r="U1426" t="s">
        <v>51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  <c r="AG1426" t="s">
        <v>67</v>
      </c>
      <c r="AH1426" t="s">
        <v>46</v>
      </c>
      <c r="AI1426">
        <v>0</v>
      </c>
      <c r="AJ1426" t="s">
        <v>58</v>
      </c>
      <c r="AK1426" t="s">
        <v>68</v>
      </c>
      <c r="AL1426" t="s">
        <v>66</v>
      </c>
      <c r="AM1426" t="s">
        <v>61</v>
      </c>
      <c r="AN1426">
        <f t="shared" si="22"/>
        <v>0</v>
      </c>
    </row>
    <row r="1427" spans="1:40">
      <c r="A1427">
        <v>33</v>
      </c>
      <c r="B1427" t="s">
        <v>51</v>
      </c>
      <c r="C1427" t="s">
        <v>39</v>
      </c>
      <c r="D1427">
        <v>501</v>
      </c>
      <c r="E1427" t="s">
        <v>53</v>
      </c>
      <c r="F1427">
        <v>15</v>
      </c>
      <c r="G1427">
        <v>2</v>
      </c>
      <c r="H1427" t="s">
        <v>69</v>
      </c>
      <c r="I1427">
        <v>2009</v>
      </c>
      <c r="J1427">
        <v>2</v>
      </c>
      <c r="K1427" t="s">
        <v>42</v>
      </c>
      <c r="L1427">
        <v>95</v>
      </c>
      <c r="M1427">
        <v>3</v>
      </c>
      <c r="N1427">
        <v>2</v>
      </c>
      <c r="O1427" t="s">
        <v>76</v>
      </c>
      <c r="P1427">
        <v>4</v>
      </c>
      <c r="Q1427" t="s">
        <v>56</v>
      </c>
      <c r="R1427">
        <v>4878</v>
      </c>
      <c r="S1427">
        <v>21653</v>
      </c>
      <c r="T1427">
        <v>0</v>
      </c>
      <c r="U1427" t="s">
        <v>38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  <c r="AG1427" t="s">
        <v>67</v>
      </c>
      <c r="AH1427" t="s">
        <v>46</v>
      </c>
      <c r="AI1427">
        <v>0</v>
      </c>
      <c r="AJ1427" t="s">
        <v>58</v>
      </c>
      <c r="AK1427" t="s">
        <v>48</v>
      </c>
      <c r="AL1427" t="s">
        <v>49</v>
      </c>
      <c r="AM1427" t="s">
        <v>61</v>
      </c>
      <c r="AN1427">
        <f t="shared" si="22"/>
        <v>5</v>
      </c>
    </row>
    <row r="1428" spans="1:40">
      <c r="A1428">
        <v>32</v>
      </c>
      <c r="B1428" t="s">
        <v>51</v>
      </c>
      <c r="C1428" t="s">
        <v>39</v>
      </c>
      <c r="D1428">
        <v>267</v>
      </c>
      <c r="E1428" t="s">
        <v>53</v>
      </c>
      <c r="F1428">
        <v>29</v>
      </c>
      <c r="G1428">
        <v>4</v>
      </c>
      <c r="H1428" t="s">
        <v>41</v>
      </c>
      <c r="I1428">
        <v>2010</v>
      </c>
      <c r="J1428">
        <v>3</v>
      </c>
      <c r="K1428" t="s">
        <v>42</v>
      </c>
      <c r="L1428">
        <v>49</v>
      </c>
      <c r="M1428">
        <v>2</v>
      </c>
      <c r="N1428">
        <v>1</v>
      </c>
      <c r="O1428" t="s">
        <v>63</v>
      </c>
      <c r="P1428">
        <v>2</v>
      </c>
      <c r="Q1428" t="s">
        <v>44</v>
      </c>
      <c r="R1428">
        <v>2837</v>
      </c>
      <c r="S1428">
        <v>15919</v>
      </c>
      <c r="T1428">
        <v>1</v>
      </c>
      <c r="U1428" t="s">
        <v>51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  <c r="AG1428" t="s">
        <v>67</v>
      </c>
      <c r="AH1428" t="s">
        <v>46</v>
      </c>
      <c r="AI1428">
        <v>0</v>
      </c>
      <c r="AJ1428" t="s">
        <v>58</v>
      </c>
      <c r="AK1428" t="s">
        <v>68</v>
      </c>
      <c r="AL1428" t="s">
        <v>60</v>
      </c>
      <c r="AM1428" t="s">
        <v>61</v>
      </c>
      <c r="AN1428">
        <f t="shared" si="22"/>
        <v>7</v>
      </c>
    </row>
    <row r="1429" spans="1:40">
      <c r="A1429">
        <v>40</v>
      </c>
      <c r="B1429" t="s">
        <v>51</v>
      </c>
      <c r="C1429" t="s">
        <v>39</v>
      </c>
      <c r="D1429">
        <v>543</v>
      </c>
      <c r="E1429" t="s">
        <v>53</v>
      </c>
      <c r="F1429">
        <v>1</v>
      </c>
      <c r="G1429">
        <v>4</v>
      </c>
      <c r="H1429" t="s">
        <v>41</v>
      </c>
      <c r="I1429">
        <v>2012</v>
      </c>
      <c r="J1429">
        <v>1</v>
      </c>
      <c r="K1429" t="s">
        <v>54</v>
      </c>
      <c r="L1429">
        <v>83</v>
      </c>
      <c r="M1429">
        <v>3</v>
      </c>
      <c r="N1429">
        <v>1</v>
      </c>
      <c r="O1429" t="s">
        <v>63</v>
      </c>
      <c r="P1429">
        <v>4</v>
      </c>
      <c r="Q1429" t="s">
        <v>56</v>
      </c>
      <c r="R1429">
        <v>2406</v>
      </c>
      <c r="S1429">
        <v>4060</v>
      </c>
      <c r="T1429">
        <v>8</v>
      </c>
      <c r="U1429" t="s">
        <v>51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  <c r="AG1429" t="s">
        <v>45</v>
      </c>
      <c r="AH1429" t="s">
        <v>81</v>
      </c>
      <c r="AI1429">
        <v>0</v>
      </c>
      <c r="AJ1429" t="s">
        <v>47</v>
      </c>
      <c r="AK1429" t="s">
        <v>68</v>
      </c>
      <c r="AL1429" t="s">
        <v>49</v>
      </c>
      <c r="AM1429" t="s">
        <v>70</v>
      </c>
      <c r="AN1429">
        <f t="shared" si="22"/>
        <v>-1</v>
      </c>
    </row>
    <row r="1430" spans="1:40">
      <c r="A1430">
        <v>32</v>
      </c>
      <c r="B1430" t="s">
        <v>51</v>
      </c>
      <c r="C1430" t="s">
        <v>39</v>
      </c>
      <c r="D1430">
        <v>234</v>
      </c>
      <c r="E1430" t="s">
        <v>40</v>
      </c>
      <c r="F1430">
        <v>1</v>
      </c>
      <c r="G1430">
        <v>4</v>
      </c>
      <c r="H1430" t="s">
        <v>69</v>
      </c>
      <c r="I1430">
        <v>2013</v>
      </c>
      <c r="J1430">
        <v>2</v>
      </c>
      <c r="K1430" t="s">
        <v>54</v>
      </c>
      <c r="L1430">
        <v>68</v>
      </c>
      <c r="M1430">
        <v>2</v>
      </c>
      <c r="N1430">
        <v>1</v>
      </c>
      <c r="O1430" t="s">
        <v>82</v>
      </c>
      <c r="P1430">
        <v>2</v>
      </c>
      <c r="Q1430" t="s">
        <v>56</v>
      </c>
      <c r="R1430">
        <v>2269</v>
      </c>
      <c r="S1430">
        <v>18024</v>
      </c>
      <c r="T1430">
        <v>0</v>
      </c>
      <c r="U1430" t="s">
        <v>51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  <c r="AG1430" t="s">
        <v>67</v>
      </c>
      <c r="AH1430" t="s">
        <v>46</v>
      </c>
      <c r="AI1430">
        <v>0</v>
      </c>
      <c r="AJ1430" t="s">
        <v>65</v>
      </c>
      <c r="AK1430" t="s">
        <v>68</v>
      </c>
      <c r="AL1430" t="s">
        <v>60</v>
      </c>
      <c r="AM1430" t="s">
        <v>61</v>
      </c>
      <c r="AN1430">
        <f t="shared" si="22"/>
        <v>5</v>
      </c>
    </row>
    <row r="1431" spans="1:40">
      <c r="A1431">
        <v>39</v>
      </c>
      <c r="B1431" t="s">
        <v>51</v>
      </c>
      <c r="C1431" t="s">
        <v>39</v>
      </c>
      <c r="D1431">
        <v>116</v>
      </c>
      <c r="E1431" t="s">
        <v>53</v>
      </c>
      <c r="F1431">
        <v>24</v>
      </c>
      <c r="G1431">
        <v>1</v>
      </c>
      <c r="H1431" t="s">
        <v>41</v>
      </c>
      <c r="I1431">
        <v>2014</v>
      </c>
      <c r="J1431">
        <v>1</v>
      </c>
      <c r="K1431" t="s">
        <v>54</v>
      </c>
      <c r="L1431">
        <v>52</v>
      </c>
      <c r="M1431">
        <v>3</v>
      </c>
      <c r="N1431">
        <v>2</v>
      </c>
      <c r="O1431" t="s">
        <v>55</v>
      </c>
      <c r="P1431">
        <v>4</v>
      </c>
      <c r="Q1431" t="s">
        <v>44</v>
      </c>
      <c r="R1431">
        <v>4108</v>
      </c>
      <c r="S1431">
        <v>5340</v>
      </c>
      <c r="T1431">
        <v>7</v>
      </c>
      <c r="U1431" t="s">
        <v>51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  <c r="AG1431" t="s">
        <v>45</v>
      </c>
      <c r="AH1431" t="s">
        <v>81</v>
      </c>
      <c r="AI1431">
        <v>0</v>
      </c>
      <c r="AJ1431" t="s">
        <v>58</v>
      </c>
      <c r="AK1431" t="s">
        <v>59</v>
      </c>
      <c r="AL1431" t="s">
        <v>49</v>
      </c>
      <c r="AM1431" t="s">
        <v>61</v>
      </c>
      <c r="AN1431">
        <f t="shared" si="22"/>
        <v>-2</v>
      </c>
    </row>
    <row r="1432" spans="1:40">
      <c r="A1432">
        <v>38</v>
      </c>
      <c r="B1432" t="s">
        <v>51</v>
      </c>
      <c r="C1432" t="s">
        <v>39</v>
      </c>
      <c r="D1432">
        <v>201</v>
      </c>
      <c r="E1432" t="s">
        <v>53</v>
      </c>
      <c r="F1432">
        <v>10</v>
      </c>
      <c r="G1432">
        <v>3</v>
      </c>
      <c r="H1432" t="s">
        <v>69</v>
      </c>
      <c r="I1432">
        <v>2015</v>
      </c>
      <c r="J1432">
        <v>2</v>
      </c>
      <c r="K1432" t="s">
        <v>42</v>
      </c>
      <c r="L1432">
        <v>99</v>
      </c>
      <c r="M1432">
        <v>1</v>
      </c>
      <c r="N1432">
        <v>3</v>
      </c>
      <c r="O1432" t="s">
        <v>83</v>
      </c>
      <c r="P1432">
        <v>3</v>
      </c>
      <c r="Q1432" t="s">
        <v>56</v>
      </c>
      <c r="R1432">
        <v>13206</v>
      </c>
      <c r="S1432">
        <v>3376</v>
      </c>
      <c r="T1432">
        <v>3</v>
      </c>
      <c r="U1432" t="s">
        <v>51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  <c r="AG1432" t="s">
        <v>45</v>
      </c>
      <c r="AH1432" t="s">
        <v>81</v>
      </c>
      <c r="AI1432">
        <v>0</v>
      </c>
      <c r="AJ1432" t="s">
        <v>80</v>
      </c>
      <c r="AK1432" t="s">
        <v>72</v>
      </c>
      <c r="AL1432" t="s">
        <v>66</v>
      </c>
      <c r="AM1432" t="s">
        <v>61</v>
      </c>
      <c r="AN1432">
        <f t="shared" si="22"/>
        <v>1</v>
      </c>
    </row>
    <row r="1433" spans="1:40">
      <c r="A1433">
        <v>32</v>
      </c>
      <c r="B1433" t="s">
        <v>51</v>
      </c>
      <c r="C1433" t="s">
        <v>39</v>
      </c>
      <c r="D1433">
        <v>801</v>
      </c>
      <c r="E1433" t="s">
        <v>40</v>
      </c>
      <c r="F1433">
        <v>1</v>
      </c>
      <c r="G1433">
        <v>4</v>
      </c>
      <c r="H1433" t="s">
        <v>84</v>
      </c>
      <c r="I1433">
        <v>2016</v>
      </c>
      <c r="J1433">
        <v>3</v>
      </c>
      <c r="K1433" t="s">
        <v>42</v>
      </c>
      <c r="L1433">
        <v>48</v>
      </c>
      <c r="M1433">
        <v>3</v>
      </c>
      <c r="N1433">
        <v>3</v>
      </c>
      <c r="O1433" t="s">
        <v>43</v>
      </c>
      <c r="P1433">
        <v>4</v>
      </c>
      <c r="Q1433" t="s">
        <v>56</v>
      </c>
      <c r="R1433">
        <v>10422</v>
      </c>
      <c r="S1433">
        <v>24032</v>
      </c>
      <c r="T1433">
        <v>1</v>
      </c>
      <c r="U1433" t="s">
        <v>51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  <c r="AG1433" t="s">
        <v>67</v>
      </c>
      <c r="AH1433" t="s">
        <v>46</v>
      </c>
      <c r="AI1433">
        <v>0</v>
      </c>
      <c r="AJ1433" t="s">
        <v>80</v>
      </c>
      <c r="AK1433" t="s">
        <v>68</v>
      </c>
      <c r="AL1433" t="s">
        <v>49</v>
      </c>
      <c r="AM1433" t="s">
        <v>61</v>
      </c>
      <c r="AN1433">
        <f t="shared" si="22"/>
        <v>2</v>
      </c>
    </row>
    <row r="1434" spans="1:40">
      <c r="A1434">
        <v>37</v>
      </c>
      <c r="B1434" t="s">
        <v>51</v>
      </c>
      <c r="C1434" t="s">
        <v>39</v>
      </c>
      <c r="D1434">
        <v>161</v>
      </c>
      <c r="E1434" t="s">
        <v>53</v>
      </c>
      <c r="F1434">
        <v>10</v>
      </c>
      <c r="G1434">
        <v>3</v>
      </c>
      <c r="H1434" t="s">
        <v>41</v>
      </c>
      <c r="I1434">
        <v>2017</v>
      </c>
      <c r="J1434">
        <v>3</v>
      </c>
      <c r="K1434" t="s">
        <v>42</v>
      </c>
      <c r="L1434">
        <v>42</v>
      </c>
      <c r="M1434">
        <v>4</v>
      </c>
      <c r="N1434">
        <v>3</v>
      </c>
      <c r="O1434" t="s">
        <v>83</v>
      </c>
      <c r="P1434">
        <v>4</v>
      </c>
      <c r="Q1434" t="s">
        <v>56</v>
      </c>
      <c r="R1434">
        <v>13744</v>
      </c>
      <c r="S1434">
        <v>15471</v>
      </c>
      <c r="T1434">
        <v>1</v>
      </c>
      <c r="U1434" t="s">
        <v>38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  <c r="AG1434" t="s">
        <v>45</v>
      </c>
      <c r="AH1434" t="s">
        <v>46</v>
      </c>
      <c r="AI1434">
        <v>0</v>
      </c>
      <c r="AJ1434" t="s">
        <v>80</v>
      </c>
      <c r="AK1434" t="s">
        <v>72</v>
      </c>
      <c r="AL1434" t="s">
        <v>49</v>
      </c>
      <c r="AM1434" t="s">
        <v>61</v>
      </c>
      <c r="AN1434">
        <f t="shared" si="22"/>
        <v>3</v>
      </c>
    </row>
    <row r="1435" spans="1:40">
      <c r="A1435">
        <v>25</v>
      </c>
      <c r="B1435" t="s">
        <v>51</v>
      </c>
      <c r="C1435" t="s">
        <v>39</v>
      </c>
      <c r="D1435">
        <v>1382</v>
      </c>
      <c r="E1435" t="s">
        <v>40</v>
      </c>
      <c r="F1435">
        <v>8</v>
      </c>
      <c r="G1435">
        <v>2</v>
      </c>
      <c r="H1435" t="s">
        <v>62</v>
      </c>
      <c r="I1435">
        <v>2018</v>
      </c>
      <c r="J1435">
        <v>1</v>
      </c>
      <c r="K1435" t="s">
        <v>42</v>
      </c>
      <c r="L1435">
        <v>85</v>
      </c>
      <c r="M1435">
        <v>3</v>
      </c>
      <c r="N1435">
        <v>2</v>
      </c>
      <c r="O1435" t="s">
        <v>43</v>
      </c>
      <c r="P1435">
        <v>3</v>
      </c>
      <c r="Q1435" t="s">
        <v>74</v>
      </c>
      <c r="R1435">
        <v>4907</v>
      </c>
      <c r="S1435">
        <v>13684</v>
      </c>
      <c r="T1435">
        <v>0</v>
      </c>
      <c r="U1435" t="s">
        <v>38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  <c r="AG1435" t="s">
        <v>78</v>
      </c>
      <c r="AH1435" t="s">
        <v>46</v>
      </c>
      <c r="AI1435">
        <v>0</v>
      </c>
      <c r="AJ1435" t="s">
        <v>47</v>
      </c>
      <c r="AK1435" t="s">
        <v>48</v>
      </c>
      <c r="AL1435" t="s">
        <v>66</v>
      </c>
      <c r="AM1435" t="s">
        <v>70</v>
      </c>
      <c r="AN1435">
        <f t="shared" si="22"/>
        <v>2</v>
      </c>
    </row>
    <row r="1436" spans="1:40">
      <c r="A1436">
        <v>52</v>
      </c>
      <c r="B1436" t="s">
        <v>51</v>
      </c>
      <c r="C1436" t="s">
        <v>77</v>
      </c>
      <c r="D1436">
        <v>585</v>
      </c>
      <c r="E1436" t="s">
        <v>40</v>
      </c>
      <c r="F1436">
        <v>29</v>
      </c>
      <c r="G1436">
        <v>4</v>
      </c>
      <c r="H1436" t="s">
        <v>41</v>
      </c>
      <c r="I1436">
        <v>2019</v>
      </c>
      <c r="J1436">
        <v>1</v>
      </c>
      <c r="K1436" t="s">
        <v>54</v>
      </c>
      <c r="L1436">
        <v>40</v>
      </c>
      <c r="M1436">
        <v>3</v>
      </c>
      <c r="N1436">
        <v>1</v>
      </c>
      <c r="O1436" t="s">
        <v>82</v>
      </c>
      <c r="P1436">
        <v>4</v>
      </c>
      <c r="Q1436" t="s">
        <v>74</v>
      </c>
      <c r="R1436">
        <v>3482</v>
      </c>
      <c r="S1436">
        <v>19788</v>
      </c>
      <c r="T1436">
        <v>2</v>
      </c>
      <c r="U1436" t="s">
        <v>51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  <c r="AG1436" t="s">
        <v>57</v>
      </c>
      <c r="AH1436" t="s">
        <v>46</v>
      </c>
      <c r="AI1436">
        <v>0</v>
      </c>
      <c r="AJ1436" t="s">
        <v>47</v>
      </c>
      <c r="AK1436" t="s">
        <v>68</v>
      </c>
      <c r="AL1436" t="s">
        <v>49</v>
      </c>
      <c r="AM1436" t="s">
        <v>70</v>
      </c>
      <c r="AN1436">
        <f t="shared" si="22"/>
        <v>-1</v>
      </c>
    </row>
    <row r="1437" spans="1:40">
      <c r="A1437">
        <v>44</v>
      </c>
      <c r="B1437" t="s">
        <v>51</v>
      </c>
      <c r="C1437" t="s">
        <v>39</v>
      </c>
      <c r="D1437">
        <v>1037</v>
      </c>
      <c r="E1437" t="s">
        <v>53</v>
      </c>
      <c r="F1437">
        <v>1</v>
      </c>
      <c r="G1437">
        <v>3</v>
      </c>
      <c r="H1437" t="s">
        <v>69</v>
      </c>
      <c r="I1437">
        <v>2020</v>
      </c>
      <c r="J1437">
        <v>2</v>
      </c>
      <c r="K1437" t="s">
        <v>54</v>
      </c>
      <c r="L1437">
        <v>42</v>
      </c>
      <c r="M1437">
        <v>3</v>
      </c>
      <c r="N1437">
        <v>1</v>
      </c>
      <c r="O1437" t="s">
        <v>55</v>
      </c>
      <c r="P1437">
        <v>4</v>
      </c>
      <c r="Q1437" t="s">
        <v>44</v>
      </c>
      <c r="R1437">
        <v>2436</v>
      </c>
      <c r="S1437">
        <v>13422</v>
      </c>
      <c r="T1437">
        <v>6</v>
      </c>
      <c r="U1437" t="s">
        <v>38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  <c r="AG1437" t="s">
        <v>45</v>
      </c>
      <c r="AH1437" t="s">
        <v>46</v>
      </c>
      <c r="AI1437">
        <v>0</v>
      </c>
      <c r="AJ1437" t="s">
        <v>65</v>
      </c>
      <c r="AK1437" t="s">
        <v>72</v>
      </c>
      <c r="AL1437" t="s">
        <v>49</v>
      </c>
      <c r="AM1437" t="s">
        <v>61</v>
      </c>
      <c r="AN1437">
        <f t="shared" si="22"/>
        <v>-2</v>
      </c>
    </row>
    <row r="1438" spans="1:40">
      <c r="A1438">
        <v>21</v>
      </c>
      <c r="B1438" t="s">
        <v>51</v>
      </c>
      <c r="C1438" t="s">
        <v>39</v>
      </c>
      <c r="D1438">
        <v>501</v>
      </c>
      <c r="E1438" t="s">
        <v>40</v>
      </c>
      <c r="F1438">
        <v>5</v>
      </c>
      <c r="G1438">
        <v>1</v>
      </c>
      <c r="H1438" t="s">
        <v>69</v>
      </c>
      <c r="I1438">
        <v>2021</v>
      </c>
      <c r="J1438">
        <v>3</v>
      </c>
      <c r="K1438" t="s">
        <v>54</v>
      </c>
      <c r="L1438">
        <v>58</v>
      </c>
      <c r="M1438">
        <v>3</v>
      </c>
      <c r="N1438">
        <v>1</v>
      </c>
      <c r="O1438" t="s">
        <v>82</v>
      </c>
      <c r="P1438">
        <v>1</v>
      </c>
      <c r="Q1438" t="s">
        <v>44</v>
      </c>
      <c r="R1438">
        <v>2380</v>
      </c>
      <c r="S1438">
        <v>25479</v>
      </c>
      <c r="T1438">
        <v>1</v>
      </c>
      <c r="U1438" t="s">
        <v>38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  <c r="AG1438" t="s">
        <v>78</v>
      </c>
      <c r="AH1438" t="s">
        <v>46</v>
      </c>
      <c r="AI1438">
        <v>0</v>
      </c>
      <c r="AJ1438" t="s">
        <v>65</v>
      </c>
      <c r="AK1438" t="s">
        <v>59</v>
      </c>
      <c r="AL1438" t="s">
        <v>73</v>
      </c>
      <c r="AM1438" t="s">
        <v>61</v>
      </c>
      <c r="AN1438">
        <f t="shared" si="22"/>
        <v>7</v>
      </c>
    </row>
    <row r="1439" spans="1:40">
      <c r="A1439">
        <v>39</v>
      </c>
      <c r="B1439" t="s">
        <v>51</v>
      </c>
      <c r="C1439" t="s">
        <v>77</v>
      </c>
      <c r="D1439">
        <v>105</v>
      </c>
      <c r="E1439" t="s">
        <v>53</v>
      </c>
      <c r="F1439">
        <v>9</v>
      </c>
      <c r="G1439">
        <v>3</v>
      </c>
      <c r="H1439" t="s">
        <v>41</v>
      </c>
      <c r="I1439">
        <v>2022</v>
      </c>
      <c r="J1439">
        <v>4</v>
      </c>
      <c r="K1439" t="s">
        <v>54</v>
      </c>
      <c r="L1439">
        <v>87</v>
      </c>
      <c r="M1439">
        <v>3</v>
      </c>
      <c r="N1439">
        <v>5</v>
      </c>
      <c r="O1439" t="s">
        <v>79</v>
      </c>
      <c r="P1439">
        <v>4</v>
      </c>
      <c r="Q1439" t="s">
        <v>44</v>
      </c>
      <c r="R1439">
        <v>19431</v>
      </c>
      <c r="S1439">
        <v>15302</v>
      </c>
      <c r="T1439">
        <v>2</v>
      </c>
      <c r="U1439" t="s">
        <v>51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  <c r="AG1439" t="s">
        <v>45</v>
      </c>
      <c r="AH1439" t="s">
        <v>46</v>
      </c>
      <c r="AI1439">
        <v>0</v>
      </c>
      <c r="AJ1439" t="s">
        <v>47</v>
      </c>
      <c r="AK1439" t="s">
        <v>72</v>
      </c>
      <c r="AL1439" t="s">
        <v>49</v>
      </c>
      <c r="AM1439" t="s">
        <v>70</v>
      </c>
      <c r="AN1439">
        <f t="shared" si="22"/>
        <v>0</v>
      </c>
    </row>
    <row r="1440" spans="1:40">
      <c r="A1440">
        <v>23</v>
      </c>
      <c r="B1440" t="s">
        <v>38</v>
      </c>
      <c r="C1440" t="s">
        <v>52</v>
      </c>
      <c r="D1440">
        <v>638</v>
      </c>
      <c r="E1440" t="s">
        <v>40</v>
      </c>
      <c r="F1440">
        <v>9</v>
      </c>
      <c r="G1440">
        <v>3</v>
      </c>
      <c r="H1440" t="s">
        <v>84</v>
      </c>
      <c r="I1440">
        <v>2023</v>
      </c>
      <c r="J1440">
        <v>4</v>
      </c>
      <c r="K1440" t="s">
        <v>54</v>
      </c>
      <c r="L1440">
        <v>33</v>
      </c>
      <c r="M1440">
        <v>3</v>
      </c>
      <c r="N1440">
        <v>1</v>
      </c>
      <c r="O1440" t="s">
        <v>82</v>
      </c>
      <c r="P1440">
        <v>1</v>
      </c>
      <c r="Q1440" t="s">
        <v>56</v>
      </c>
      <c r="R1440">
        <v>1790</v>
      </c>
      <c r="S1440">
        <v>26956</v>
      </c>
      <c r="T1440">
        <v>1</v>
      </c>
      <c r="U1440" t="s">
        <v>51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  <c r="AG1440" t="s">
        <v>78</v>
      </c>
      <c r="AH1440" t="s">
        <v>46</v>
      </c>
      <c r="AI1440">
        <v>1</v>
      </c>
      <c r="AJ1440" t="s">
        <v>47</v>
      </c>
      <c r="AK1440" t="s">
        <v>72</v>
      </c>
      <c r="AL1440" t="s">
        <v>73</v>
      </c>
      <c r="AM1440" t="s">
        <v>70</v>
      </c>
      <c r="AN1440">
        <f t="shared" si="22"/>
        <v>9</v>
      </c>
    </row>
    <row r="1441" spans="1:40">
      <c r="A1441">
        <v>36</v>
      </c>
      <c r="B1441" t="s">
        <v>51</v>
      </c>
      <c r="C1441" t="s">
        <v>39</v>
      </c>
      <c r="D1441">
        <v>557</v>
      </c>
      <c r="E1441" t="s">
        <v>40</v>
      </c>
      <c r="F1441">
        <v>3</v>
      </c>
      <c r="G1441">
        <v>3</v>
      </c>
      <c r="H1441" t="s">
        <v>69</v>
      </c>
      <c r="I1441">
        <v>2024</v>
      </c>
      <c r="J1441">
        <v>1</v>
      </c>
      <c r="K1441" t="s">
        <v>42</v>
      </c>
      <c r="L1441">
        <v>94</v>
      </c>
      <c r="M1441">
        <v>2</v>
      </c>
      <c r="N1441">
        <v>3</v>
      </c>
      <c r="O1441" t="s">
        <v>43</v>
      </c>
      <c r="P1441">
        <v>4</v>
      </c>
      <c r="Q1441" t="s">
        <v>56</v>
      </c>
      <c r="R1441">
        <v>7644</v>
      </c>
      <c r="S1441">
        <v>12695</v>
      </c>
      <c r="T1441">
        <v>0</v>
      </c>
      <c r="U1441" t="s">
        <v>51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  <c r="AG1441" t="s">
        <v>45</v>
      </c>
      <c r="AH1441" t="s">
        <v>46</v>
      </c>
      <c r="AI1441">
        <v>0</v>
      </c>
      <c r="AJ1441" t="s">
        <v>58</v>
      </c>
      <c r="AK1441" t="s">
        <v>72</v>
      </c>
      <c r="AL1441" t="s">
        <v>49</v>
      </c>
      <c r="AM1441" t="s">
        <v>61</v>
      </c>
      <c r="AN1441">
        <f t="shared" si="22"/>
        <v>0</v>
      </c>
    </row>
    <row r="1442" spans="1:40">
      <c r="A1442">
        <v>36</v>
      </c>
      <c r="B1442" t="s">
        <v>51</v>
      </c>
      <c r="C1442" t="s">
        <v>52</v>
      </c>
      <c r="D1442">
        <v>688</v>
      </c>
      <c r="E1442" t="s">
        <v>53</v>
      </c>
      <c r="F1442">
        <v>4</v>
      </c>
      <c r="G1442">
        <v>2</v>
      </c>
      <c r="H1442" t="s">
        <v>41</v>
      </c>
      <c r="I1442">
        <v>2025</v>
      </c>
      <c r="J1442">
        <v>4</v>
      </c>
      <c r="K1442" t="s">
        <v>42</v>
      </c>
      <c r="L1442">
        <v>97</v>
      </c>
      <c r="M1442">
        <v>3</v>
      </c>
      <c r="N1442">
        <v>2</v>
      </c>
      <c r="O1442" t="s">
        <v>75</v>
      </c>
      <c r="P1442">
        <v>2</v>
      </c>
      <c r="Q1442" t="s">
        <v>74</v>
      </c>
      <c r="R1442">
        <v>5131</v>
      </c>
      <c r="S1442">
        <v>9192</v>
      </c>
      <c r="T1442">
        <v>7</v>
      </c>
      <c r="U1442" t="s">
        <v>51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  <c r="AG1442" t="s">
        <v>45</v>
      </c>
      <c r="AH1442" t="s">
        <v>71</v>
      </c>
      <c r="AI1442">
        <v>0</v>
      </c>
      <c r="AJ1442" t="s">
        <v>65</v>
      </c>
      <c r="AK1442" t="s">
        <v>48</v>
      </c>
      <c r="AL1442" t="s">
        <v>60</v>
      </c>
      <c r="AM1442" t="s">
        <v>61</v>
      </c>
      <c r="AN1442">
        <f t="shared" si="22"/>
        <v>3</v>
      </c>
    </row>
    <row r="1443" spans="1:40">
      <c r="A1443">
        <v>56</v>
      </c>
      <c r="B1443" t="s">
        <v>51</v>
      </c>
      <c r="C1443" t="s">
        <v>77</v>
      </c>
      <c r="D1443">
        <v>667</v>
      </c>
      <c r="E1443" t="s">
        <v>53</v>
      </c>
      <c r="F1443">
        <v>1</v>
      </c>
      <c r="G1443">
        <v>4</v>
      </c>
      <c r="H1443" t="s">
        <v>41</v>
      </c>
      <c r="I1443">
        <v>2026</v>
      </c>
      <c r="J1443">
        <v>3</v>
      </c>
      <c r="K1443" t="s">
        <v>54</v>
      </c>
      <c r="L1443">
        <v>57</v>
      </c>
      <c r="M1443">
        <v>3</v>
      </c>
      <c r="N1443">
        <v>2</v>
      </c>
      <c r="O1443" t="s">
        <v>76</v>
      </c>
      <c r="P1443">
        <v>3</v>
      </c>
      <c r="Q1443" t="s">
        <v>74</v>
      </c>
      <c r="R1443">
        <v>6306</v>
      </c>
      <c r="S1443">
        <v>26236</v>
      </c>
      <c r="T1443">
        <v>1</v>
      </c>
      <c r="U1443" t="s">
        <v>51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  <c r="AG1443" t="s">
        <v>57</v>
      </c>
      <c r="AH1443" t="s">
        <v>46</v>
      </c>
      <c r="AI1443">
        <v>0</v>
      </c>
      <c r="AJ1443" t="s">
        <v>47</v>
      </c>
      <c r="AK1443" t="s">
        <v>68</v>
      </c>
      <c r="AL1443" t="s">
        <v>66</v>
      </c>
      <c r="AM1443" t="s">
        <v>70</v>
      </c>
      <c r="AN1443">
        <f t="shared" si="22"/>
        <v>3</v>
      </c>
    </row>
    <row r="1444" spans="1:40">
      <c r="A1444">
        <v>29</v>
      </c>
      <c r="B1444" t="s">
        <v>38</v>
      </c>
      <c r="C1444" t="s">
        <v>39</v>
      </c>
      <c r="D1444">
        <v>1092</v>
      </c>
      <c r="E1444" t="s">
        <v>53</v>
      </c>
      <c r="F1444">
        <v>1</v>
      </c>
      <c r="G1444">
        <v>4</v>
      </c>
      <c r="H1444" t="s">
        <v>69</v>
      </c>
      <c r="I1444">
        <v>2027</v>
      </c>
      <c r="J1444">
        <v>1</v>
      </c>
      <c r="K1444" t="s">
        <v>54</v>
      </c>
      <c r="L1444">
        <v>36</v>
      </c>
      <c r="M1444">
        <v>3</v>
      </c>
      <c r="N1444">
        <v>1</v>
      </c>
      <c r="O1444" t="s">
        <v>55</v>
      </c>
      <c r="P1444">
        <v>4</v>
      </c>
      <c r="Q1444" t="s">
        <v>56</v>
      </c>
      <c r="R1444">
        <v>4787</v>
      </c>
      <c r="S1444">
        <v>26124</v>
      </c>
      <c r="T1444">
        <v>9</v>
      </c>
      <c r="U1444" t="s">
        <v>38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  <c r="AG1444" t="s">
        <v>67</v>
      </c>
      <c r="AH1444" t="s">
        <v>46</v>
      </c>
      <c r="AI1444">
        <v>1</v>
      </c>
      <c r="AJ1444" t="s">
        <v>65</v>
      </c>
      <c r="AK1444" t="s">
        <v>68</v>
      </c>
      <c r="AL1444" t="s">
        <v>49</v>
      </c>
      <c r="AM1444" t="s">
        <v>85</v>
      </c>
      <c r="AN1444">
        <f t="shared" si="22"/>
        <v>-3</v>
      </c>
    </row>
    <row r="1445" spans="1:40">
      <c r="A1445">
        <v>42</v>
      </c>
      <c r="B1445" t="s">
        <v>51</v>
      </c>
      <c r="C1445" t="s">
        <v>39</v>
      </c>
      <c r="D1445">
        <v>300</v>
      </c>
      <c r="E1445" t="s">
        <v>53</v>
      </c>
      <c r="F1445">
        <v>2</v>
      </c>
      <c r="G1445">
        <v>3</v>
      </c>
      <c r="H1445" t="s">
        <v>41</v>
      </c>
      <c r="I1445">
        <v>2031</v>
      </c>
      <c r="J1445">
        <v>1</v>
      </c>
      <c r="K1445" t="s">
        <v>54</v>
      </c>
      <c r="L1445">
        <v>56</v>
      </c>
      <c r="M1445">
        <v>3</v>
      </c>
      <c r="N1445">
        <v>5</v>
      </c>
      <c r="O1445" t="s">
        <v>79</v>
      </c>
      <c r="P1445">
        <v>3</v>
      </c>
      <c r="Q1445" t="s">
        <v>56</v>
      </c>
      <c r="R1445">
        <v>18880</v>
      </c>
      <c r="S1445">
        <v>17312</v>
      </c>
      <c r="T1445">
        <v>5</v>
      </c>
      <c r="U1445" t="s">
        <v>51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  <c r="AG1445" t="s">
        <v>45</v>
      </c>
      <c r="AH1445" t="s">
        <v>46</v>
      </c>
      <c r="AI1445">
        <v>0</v>
      </c>
      <c r="AJ1445" t="s">
        <v>47</v>
      </c>
      <c r="AK1445" t="s">
        <v>72</v>
      </c>
      <c r="AL1445" t="s">
        <v>66</v>
      </c>
      <c r="AM1445" t="s">
        <v>70</v>
      </c>
      <c r="AN1445">
        <f t="shared" si="22"/>
        <v>6</v>
      </c>
    </row>
    <row r="1446" spans="1:40">
      <c r="A1446">
        <v>56</v>
      </c>
      <c r="B1446" t="s">
        <v>38</v>
      </c>
      <c r="C1446" t="s">
        <v>39</v>
      </c>
      <c r="D1446">
        <v>310</v>
      </c>
      <c r="E1446" t="s">
        <v>53</v>
      </c>
      <c r="F1446">
        <v>7</v>
      </c>
      <c r="G1446">
        <v>2</v>
      </c>
      <c r="H1446" t="s">
        <v>86</v>
      </c>
      <c r="I1446">
        <v>2032</v>
      </c>
      <c r="J1446">
        <v>4</v>
      </c>
      <c r="K1446" t="s">
        <v>54</v>
      </c>
      <c r="L1446">
        <v>72</v>
      </c>
      <c r="M1446">
        <v>3</v>
      </c>
      <c r="N1446">
        <v>1</v>
      </c>
      <c r="O1446" t="s">
        <v>63</v>
      </c>
      <c r="P1446">
        <v>3</v>
      </c>
      <c r="Q1446" t="s">
        <v>56</v>
      </c>
      <c r="R1446">
        <v>2339</v>
      </c>
      <c r="S1446">
        <v>3666</v>
      </c>
      <c r="T1446">
        <v>8</v>
      </c>
      <c r="U1446" t="s">
        <v>51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  <c r="AG1446" t="s">
        <v>57</v>
      </c>
      <c r="AH1446" t="s">
        <v>81</v>
      </c>
      <c r="AI1446">
        <v>1</v>
      </c>
      <c r="AJ1446" t="s">
        <v>47</v>
      </c>
      <c r="AK1446" t="s">
        <v>48</v>
      </c>
      <c r="AL1446" t="s">
        <v>66</v>
      </c>
      <c r="AM1446" t="s">
        <v>50</v>
      </c>
      <c r="AN1446">
        <f t="shared" si="22"/>
        <v>13</v>
      </c>
    </row>
    <row r="1447" spans="1:40">
      <c r="A1447">
        <v>41</v>
      </c>
      <c r="B1447" t="s">
        <v>51</v>
      </c>
      <c r="C1447" t="s">
        <v>39</v>
      </c>
      <c r="D1447">
        <v>582</v>
      </c>
      <c r="E1447" t="s">
        <v>53</v>
      </c>
      <c r="F1447">
        <v>28</v>
      </c>
      <c r="G1447">
        <v>4</v>
      </c>
      <c r="H1447" t="s">
        <v>41</v>
      </c>
      <c r="I1447">
        <v>2034</v>
      </c>
      <c r="J1447">
        <v>1</v>
      </c>
      <c r="K1447" t="s">
        <v>42</v>
      </c>
      <c r="L1447">
        <v>60</v>
      </c>
      <c r="M1447">
        <v>2</v>
      </c>
      <c r="N1447">
        <v>4</v>
      </c>
      <c r="O1447" t="s">
        <v>75</v>
      </c>
      <c r="P1447">
        <v>2</v>
      </c>
      <c r="Q1447" t="s">
        <v>56</v>
      </c>
      <c r="R1447">
        <v>13570</v>
      </c>
      <c r="S1447">
        <v>5640</v>
      </c>
      <c r="T1447">
        <v>0</v>
      </c>
      <c r="U1447" t="s">
        <v>51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  <c r="AG1447" t="s">
        <v>45</v>
      </c>
      <c r="AH1447" t="s">
        <v>81</v>
      </c>
      <c r="AI1447">
        <v>0</v>
      </c>
      <c r="AJ1447" t="s">
        <v>80</v>
      </c>
      <c r="AK1447" t="s">
        <v>68</v>
      </c>
      <c r="AL1447" t="s">
        <v>60</v>
      </c>
      <c r="AM1447" t="s">
        <v>61</v>
      </c>
      <c r="AN1447">
        <f t="shared" si="22"/>
        <v>3</v>
      </c>
    </row>
    <row r="1448" spans="1:40">
      <c r="A1448">
        <v>34</v>
      </c>
      <c r="B1448" t="s">
        <v>51</v>
      </c>
      <c r="C1448" t="s">
        <v>39</v>
      </c>
      <c r="D1448">
        <v>704</v>
      </c>
      <c r="E1448" t="s">
        <v>40</v>
      </c>
      <c r="F1448">
        <v>28</v>
      </c>
      <c r="G1448">
        <v>3</v>
      </c>
      <c r="H1448" t="s">
        <v>84</v>
      </c>
      <c r="I1448">
        <v>2035</v>
      </c>
      <c r="J1448">
        <v>4</v>
      </c>
      <c r="K1448" t="s">
        <v>42</v>
      </c>
      <c r="L1448">
        <v>95</v>
      </c>
      <c r="M1448">
        <v>2</v>
      </c>
      <c r="N1448">
        <v>2</v>
      </c>
      <c r="O1448" t="s">
        <v>43</v>
      </c>
      <c r="P1448">
        <v>3</v>
      </c>
      <c r="Q1448" t="s">
        <v>56</v>
      </c>
      <c r="R1448">
        <v>6712</v>
      </c>
      <c r="S1448">
        <v>8978</v>
      </c>
      <c r="T1448">
        <v>1</v>
      </c>
      <c r="U1448" t="s">
        <v>51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  <c r="AG1448" t="s">
        <v>67</v>
      </c>
      <c r="AH1448" t="s">
        <v>71</v>
      </c>
      <c r="AI1448">
        <v>0</v>
      </c>
      <c r="AJ1448" t="s">
        <v>58</v>
      </c>
      <c r="AK1448" t="s">
        <v>72</v>
      </c>
      <c r="AL1448" t="s">
        <v>66</v>
      </c>
      <c r="AM1448" t="s">
        <v>61</v>
      </c>
      <c r="AN1448">
        <f t="shared" si="22"/>
        <v>1</v>
      </c>
    </row>
    <row r="1449" spans="1:40">
      <c r="A1449">
        <v>36</v>
      </c>
      <c r="B1449" t="s">
        <v>51</v>
      </c>
      <c r="C1449" t="s">
        <v>77</v>
      </c>
      <c r="D1449">
        <v>301</v>
      </c>
      <c r="E1449" t="s">
        <v>40</v>
      </c>
      <c r="F1449">
        <v>15</v>
      </c>
      <c r="G1449">
        <v>4</v>
      </c>
      <c r="H1449" t="s">
        <v>84</v>
      </c>
      <c r="I1449">
        <v>2036</v>
      </c>
      <c r="J1449">
        <v>4</v>
      </c>
      <c r="K1449" t="s">
        <v>54</v>
      </c>
      <c r="L1449">
        <v>88</v>
      </c>
      <c r="M1449">
        <v>1</v>
      </c>
      <c r="N1449">
        <v>2</v>
      </c>
      <c r="O1449" t="s">
        <v>43</v>
      </c>
      <c r="P1449">
        <v>4</v>
      </c>
      <c r="Q1449" t="s">
        <v>74</v>
      </c>
      <c r="R1449">
        <v>5406</v>
      </c>
      <c r="S1449">
        <v>10436</v>
      </c>
      <c r="T1449">
        <v>1</v>
      </c>
      <c r="U1449" t="s">
        <v>51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  <c r="AG1449" t="s">
        <v>45</v>
      </c>
      <c r="AH1449" t="s">
        <v>46</v>
      </c>
      <c r="AI1449">
        <v>0</v>
      </c>
      <c r="AJ1449" t="s">
        <v>47</v>
      </c>
      <c r="AK1449" t="s">
        <v>68</v>
      </c>
      <c r="AL1449" t="s">
        <v>49</v>
      </c>
      <c r="AM1449" t="s">
        <v>70</v>
      </c>
      <c r="AN1449">
        <f t="shared" si="22"/>
        <v>10</v>
      </c>
    </row>
    <row r="1450" spans="1:40">
      <c r="A1450">
        <v>41</v>
      </c>
      <c r="B1450" t="s">
        <v>51</v>
      </c>
      <c r="C1450" t="s">
        <v>39</v>
      </c>
      <c r="D1450">
        <v>930</v>
      </c>
      <c r="E1450" t="s">
        <v>40</v>
      </c>
      <c r="F1450">
        <v>3</v>
      </c>
      <c r="G1450">
        <v>3</v>
      </c>
      <c r="H1450" t="s">
        <v>41</v>
      </c>
      <c r="I1450">
        <v>2037</v>
      </c>
      <c r="J1450">
        <v>3</v>
      </c>
      <c r="K1450" t="s">
        <v>54</v>
      </c>
      <c r="L1450">
        <v>57</v>
      </c>
      <c r="M1450">
        <v>2</v>
      </c>
      <c r="N1450">
        <v>2</v>
      </c>
      <c r="O1450" t="s">
        <v>43</v>
      </c>
      <c r="P1450">
        <v>2</v>
      </c>
      <c r="Q1450" t="s">
        <v>74</v>
      </c>
      <c r="R1450">
        <v>8938</v>
      </c>
      <c r="S1450">
        <v>12227</v>
      </c>
      <c r="T1450">
        <v>2</v>
      </c>
      <c r="U1450" t="s">
        <v>51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  <c r="AG1450" t="s">
        <v>45</v>
      </c>
      <c r="AH1450" t="s">
        <v>46</v>
      </c>
      <c r="AI1450">
        <v>0</v>
      </c>
      <c r="AJ1450" t="s">
        <v>65</v>
      </c>
      <c r="AK1450" t="s">
        <v>72</v>
      </c>
      <c r="AL1450" t="s">
        <v>60</v>
      </c>
      <c r="AM1450" t="s">
        <v>61</v>
      </c>
      <c r="AN1450">
        <f t="shared" si="22"/>
        <v>3</v>
      </c>
    </row>
    <row r="1451" spans="1:40">
      <c r="A1451">
        <v>32</v>
      </c>
      <c r="B1451" t="s">
        <v>51</v>
      </c>
      <c r="C1451" t="s">
        <v>39</v>
      </c>
      <c r="D1451">
        <v>529</v>
      </c>
      <c r="E1451" t="s">
        <v>53</v>
      </c>
      <c r="F1451">
        <v>2</v>
      </c>
      <c r="G1451">
        <v>3</v>
      </c>
      <c r="H1451" t="s">
        <v>86</v>
      </c>
      <c r="I1451">
        <v>2038</v>
      </c>
      <c r="J1451">
        <v>4</v>
      </c>
      <c r="K1451" t="s">
        <v>54</v>
      </c>
      <c r="L1451">
        <v>78</v>
      </c>
      <c r="M1451">
        <v>3</v>
      </c>
      <c r="N1451">
        <v>1</v>
      </c>
      <c r="O1451" t="s">
        <v>55</v>
      </c>
      <c r="P1451">
        <v>1</v>
      </c>
      <c r="Q1451" t="s">
        <v>44</v>
      </c>
      <c r="R1451">
        <v>2439</v>
      </c>
      <c r="S1451">
        <v>11288</v>
      </c>
      <c r="T1451">
        <v>1</v>
      </c>
      <c r="U1451" t="s">
        <v>51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  <c r="AG1451" t="s">
        <v>67</v>
      </c>
      <c r="AH1451" t="s">
        <v>46</v>
      </c>
      <c r="AI1451">
        <v>0</v>
      </c>
      <c r="AJ1451" t="s">
        <v>65</v>
      </c>
      <c r="AK1451" t="s">
        <v>72</v>
      </c>
      <c r="AL1451" t="s">
        <v>73</v>
      </c>
      <c r="AM1451" t="s">
        <v>61</v>
      </c>
      <c r="AN1451">
        <f t="shared" si="22"/>
        <v>7</v>
      </c>
    </row>
    <row r="1452" spans="1:40">
      <c r="A1452">
        <v>35</v>
      </c>
      <c r="B1452" t="s">
        <v>51</v>
      </c>
      <c r="C1452" t="s">
        <v>39</v>
      </c>
      <c r="D1452">
        <v>1146</v>
      </c>
      <c r="E1452" t="s">
        <v>88</v>
      </c>
      <c r="F1452">
        <v>26</v>
      </c>
      <c r="G1452">
        <v>4</v>
      </c>
      <c r="H1452" t="s">
        <v>41</v>
      </c>
      <c r="I1452">
        <v>2040</v>
      </c>
      <c r="J1452">
        <v>3</v>
      </c>
      <c r="K1452" t="s">
        <v>42</v>
      </c>
      <c r="L1452">
        <v>31</v>
      </c>
      <c r="M1452">
        <v>3</v>
      </c>
      <c r="N1452">
        <v>3</v>
      </c>
      <c r="O1452" t="s">
        <v>88</v>
      </c>
      <c r="P1452">
        <v>4</v>
      </c>
      <c r="Q1452" t="s">
        <v>44</v>
      </c>
      <c r="R1452">
        <v>8837</v>
      </c>
      <c r="S1452">
        <v>16642</v>
      </c>
      <c r="T1452">
        <v>1</v>
      </c>
      <c r="U1452" t="s">
        <v>38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  <c r="AG1452" t="s">
        <v>67</v>
      </c>
      <c r="AH1452" t="s">
        <v>46</v>
      </c>
      <c r="AI1452">
        <v>0</v>
      </c>
      <c r="AJ1452" t="s">
        <v>58</v>
      </c>
      <c r="AK1452" t="s">
        <v>68</v>
      </c>
      <c r="AL1452" t="s">
        <v>49</v>
      </c>
      <c r="AM1452" t="s">
        <v>61</v>
      </c>
      <c r="AN1452">
        <f t="shared" si="22"/>
        <v>-2</v>
      </c>
    </row>
    <row r="1453" spans="1:40">
      <c r="A1453">
        <v>38</v>
      </c>
      <c r="B1453" t="s">
        <v>51</v>
      </c>
      <c r="C1453" t="s">
        <v>39</v>
      </c>
      <c r="D1453">
        <v>345</v>
      </c>
      <c r="E1453" t="s">
        <v>40</v>
      </c>
      <c r="F1453">
        <v>10</v>
      </c>
      <c r="G1453">
        <v>2</v>
      </c>
      <c r="H1453" t="s">
        <v>41</v>
      </c>
      <c r="I1453">
        <v>2041</v>
      </c>
      <c r="J1453">
        <v>1</v>
      </c>
      <c r="K1453" t="s">
        <v>42</v>
      </c>
      <c r="L1453">
        <v>100</v>
      </c>
      <c r="M1453">
        <v>3</v>
      </c>
      <c r="N1453">
        <v>2</v>
      </c>
      <c r="O1453" t="s">
        <v>43</v>
      </c>
      <c r="P1453">
        <v>4</v>
      </c>
      <c r="Q1453" t="s">
        <v>56</v>
      </c>
      <c r="R1453">
        <v>5343</v>
      </c>
      <c r="S1453">
        <v>5982</v>
      </c>
      <c r="T1453">
        <v>1</v>
      </c>
      <c r="U1453" t="s">
        <v>51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  <c r="AG1453" t="s">
        <v>45</v>
      </c>
      <c r="AH1453" t="s">
        <v>81</v>
      </c>
      <c r="AI1453">
        <v>0</v>
      </c>
      <c r="AJ1453" t="s">
        <v>58</v>
      </c>
      <c r="AK1453" t="s">
        <v>48</v>
      </c>
      <c r="AL1453" t="s">
        <v>49</v>
      </c>
      <c r="AM1453" t="s">
        <v>61</v>
      </c>
      <c r="AN1453">
        <f t="shared" si="22"/>
        <v>-2</v>
      </c>
    </row>
    <row r="1454" spans="1:40">
      <c r="A1454">
        <v>50</v>
      </c>
      <c r="B1454" t="s">
        <v>38</v>
      </c>
      <c r="C1454" t="s">
        <v>52</v>
      </c>
      <c r="D1454">
        <v>878</v>
      </c>
      <c r="E1454" t="s">
        <v>40</v>
      </c>
      <c r="F1454">
        <v>1</v>
      </c>
      <c r="G1454">
        <v>4</v>
      </c>
      <c r="H1454" t="s">
        <v>41</v>
      </c>
      <c r="I1454">
        <v>2044</v>
      </c>
      <c r="J1454">
        <v>2</v>
      </c>
      <c r="K1454" t="s">
        <v>54</v>
      </c>
      <c r="L1454">
        <v>94</v>
      </c>
      <c r="M1454">
        <v>3</v>
      </c>
      <c r="N1454">
        <v>2</v>
      </c>
      <c r="O1454" t="s">
        <v>43</v>
      </c>
      <c r="P1454">
        <v>3</v>
      </c>
      <c r="Q1454" t="s">
        <v>74</v>
      </c>
      <c r="R1454">
        <v>6728</v>
      </c>
      <c r="S1454">
        <v>14255</v>
      </c>
      <c r="T1454">
        <v>7</v>
      </c>
      <c r="U1454" t="s">
        <v>51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  <c r="AG1454" t="s">
        <v>57</v>
      </c>
      <c r="AH1454" t="s">
        <v>46</v>
      </c>
      <c r="AI1454">
        <v>1</v>
      </c>
      <c r="AJ1454" t="s">
        <v>58</v>
      </c>
      <c r="AK1454" t="s">
        <v>68</v>
      </c>
      <c r="AL1454" t="s">
        <v>66</v>
      </c>
      <c r="AM1454" t="s">
        <v>61</v>
      </c>
      <c r="AN1454">
        <f t="shared" si="22"/>
        <v>0</v>
      </c>
    </row>
    <row r="1455" spans="1:40">
      <c r="A1455">
        <v>36</v>
      </c>
      <c r="B1455" t="s">
        <v>51</v>
      </c>
      <c r="C1455" t="s">
        <v>39</v>
      </c>
      <c r="D1455">
        <v>1120</v>
      </c>
      <c r="E1455" t="s">
        <v>40</v>
      </c>
      <c r="F1455">
        <v>11</v>
      </c>
      <c r="G1455">
        <v>4</v>
      </c>
      <c r="H1455" t="s">
        <v>84</v>
      </c>
      <c r="I1455">
        <v>2045</v>
      </c>
      <c r="J1455">
        <v>2</v>
      </c>
      <c r="K1455" t="s">
        <v>42</v>
      </c>
      <c r="L1455">
        <v>100</v>
      </c>
      <c r="M1455">
        <v>2</v>
      </c>
      <c r="N1455">
        <v>2</v>
      </c>
      <c r="O1455" t="s">
        <v>43</v>
      </c>
      <c r="P1455">
        <v>4</v>
      </c>
      <c r="Q1455" t="s">
        <v>56</v>
      </c>
      <c r="R1455">
        <v>6652</v>
      </c>
      <c r="S1455">
        <v>14369</v>
      </c>
      <c r="T1455">
        <v>4</v>
      </c>
      <c r="U1455" t="s">
        <v>51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  <c r="AG1455" t="s">
        <v>45</v>
      </c>
      <c r="AH1455" t="s">
        <v>46</v>
      </c>
      <c r="AI1455">
        <v>0</v>
      </c>
      <c r="AJ1455" t="s">
        <v>47</v>
      </c>
      <c r="AK1455" t="s">
        <v>68</v>
      </c>
      <c r="AL1455" t="s">
        <v>49</v>
      </c>
      <c r="AM1455" t="s">
        <v>70</v>
      </c>
      <c r="AN1455">
        <f t="shared" si="22"/>
        <v>-1</v>
      </c>
    </row>
    <row r="1456" spans="1:40">
      <c r="A1456">
        <v>45</v>
      </c>
      <c r="B1456" t="s">
        <v>51</v>
      </c>
      <c r="C1456" t="s">
        <v>39</v>
      </c>
      <c r="D1456">
        <v>374</v>
      </c>
      <c r="E1456" t="s">
        <v>40</v>
      </c>
      <c r="F1456">
        <v>20</v>
      </c>
      <c r="G1456">
        <v>3</v>
      </c>
      <c r="H1456" t="s">
        <v>41</v>
      </c>
      <c r="I1456">
        <v>2046</v>
      </c>
      <c r="J1456">
        <v>4</v>
      </c>
      <c r="K1456" t="s">
        <v>42</v>
      </c>
      <c r="L1456">
        <v>50</v>
      </c>
      <c r="M1456">
        <v>3</v>
      </c>
      <c r="N1456">
        <v>2</v>
      </c>
      <c r="O1456" t="s">
        <v>43</v>
      </c>
      <c r="P1456">
        <v>3</v>
      </c>
      <c r="Q1456" t="s">
        <v>44</v>
      </c>
      <c r="R1456">
        <v>4850</v>
      </c>
      <c r="S1456">
        <v>23333</v>
      </c>
      <c r="T1456">
        <v>8</v>
      </c>
      <c r="U1456" t="s">
        <v>51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  <c r="AG1456" t="s">
        <v>45</v>
      </c>
      <c r="AH1456" t="s">
        <v>46</v>
      </c>
      <c r="AI1456">
        <v>0</v>
      </c>
      <c r="AJ1456" t="s">
        <v>65</v>
      </c>
      <c r="AK1456" t="s">
        <v>72</v>
      </c>
      <c r="AL1456" t="s">
        <v>66</v>
      </c>
      <c r="AM1456" t="s">
        <v>61</v>
      </c>
      <c r="AN1456">
        <f t="shared" si="22"/>
        <v>0</v>
      </c>
    </row>
    <row r="1457" spans="1:40">
      <c r="A1457">
        <v>40</v>
      </c>
      <c r="B1457" t="s">
        <v>51</v>
      </c>
      <c r="C1457" t="s">
        <v>39</v>
      </c>
      <c r="D1457">
        <v>1322</v>
      </c>
      <c r="E1457" t="s">
        <v>53</v>
      </c>
      <c r="F1457">
        <v>2</v>
      </c>
      <c r="G1457">
        <v>4</v>
      </c>
      <c r="H1457" t="s">
        <v>41</v>
      </c>
      <c r="I1457">
        <v>2048</v>
      </c>
      <c r="J1457">
        <v>3</v>
      </c>
      <c r="K1457" t="s">
        <v>54</v>
      </c>
      <c r="L1457">
        <v>52</v>
      </c>
      <c r="M1457">
        <v>2</v>
      </c>
      <c r="N1457">
        <v>1</v>
      </c>
      <c r="O1457" t="s">
        <v>55</v>
      </c>
      <c r="P1457">
        <v>3</v>
      </c>
      <c r="Q1457" t="s">
        <v>44</v>
      </c>
      <c r="R1457">
        <v>2809</v>
      </c>
      <c r="S1457">
        <v>2725</v>
      </c>
      <c r="T1457">
        <v>2</v>
      </c>
      <c r="U1457" t="s">
        <v>51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  <c r="AG1457" t="s">
        <v>45</v>
      </c>
      <c r="AH1457" t="s">
        <v>64</v>
      </c>
      <c r="AI1457">
        <v>0</v>
      </c>
      <c r="AJ1457" t="s">
        <v>65</v>
      </c>
      <c r="AK1457" t="s">
        <v>68</v>
      </c>
      <c r="AL1457" t="s">
        <v>66</v>
      </c>
      <c r="AM1457" t="s">
        <v>61</v>
      </c>
      <c r="AN1457">
        <f t="shared" si="22"/>
        <v>2</v>
      </c>
    </row>
    <row r="1458" spans="1:40">
      <c r="A1458">
        <v>35</v>
      </c>
      <c r="B1458" t="s">
        <v>51</v>
      </c>
      <c r="C1458" t="s">
        <v>52</v>
      </c>
      <c r="D1458">
        <v>1199</v>
      </c>
      <c r="E1458" t="s">
        <v>53</v>
      </c>
      <c r="F1458">
        <v>18</v>
      </c>
      <c r="G1458">
        <v>4</v>
      </c>
      <c r="H1458" t="s">
        <v>41</v>
      </c>
      <c r="I1458">
        <v>2049</v>
      </c>
      <c r="J1458">
        <v>3</v>
      </c>
      <c r="K1458" t="s">
        <v>54</v>
      </c>
      <c r="L1458">
        <v>80</v>
      </c>
      <c r="M1458">
        <v>3</v>
      </c>
      <c r="N1458">
        <v>2</v>
      </c>
      <c r="O1458" t="s">
        <v>76</v>
      </c>
      <c r="P1458">
        <v>3</v>
      </c>
      <c r="Q1458" t="s">
        <v>56</v>
      </c>
      <c r="R1458">
        <v>5689</v>
      </c>
      <c r="S1458">
        <v>24594</v>
      </c>
      <c r="T1458">
        <v>1</v>
      </c>
      <c r="U1458" t="s">
        <v>38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  <c r="AG1458" t="s">
        <v>67</v>
      </c>
      <c r="AH1458" t="s">
        <v>46</v>
      </c>
      <c r="AI1458">
        <v>0</v>
      </c>
      <c r="AJ1458" t="s">
        <v>58</v>
      </c>
      <c r="AK1458" t="s">
        <v>68</v>
      </c>
      <c r="AL1458" t="s">
        <v>66</v>
      </c>
      <c r="AM1458" t="s">
        <v>85</v>
      </c>
      <c r="AN1458">
        <f t="shared" si="22"/>
        <v>-2</v>
      </c>
    </row>
    <row r="1459" spans="1:40">
      <c r="A1459">
        <v>40</v>
      </c>
      <c r="B1459" t="s">
        <v>51</v>
      </c>
      <c r="C1459" t="s">
        <v>39</v>
      </c>
      <c r="D1459">
        <v>1194</v>
      </c>
      <c r="E1459" t="s">
        <v>53</v>
      </c>
      <c r="F1459">
        <v>2</v>
      </c>
      <c r="G1459">
        <v>4</v>
      </c>
      <c r="H1459" t="s">
        <v>69</v>
      </c>
      <c r="I1459">
        <v>2051</v>
      </c>
      <c r="J1459">
        <v>3</v>
      </c>
      <c r="K1459" t="s">
        <v>42</v>
      </c>
      <c r="L1459">
        <v>98</v>
      </c>
      <c r="M1459">
        <v>3</v>
      </c>
      <c r="N1459">
        <v>1</v>
      </c>
      <c r="O1459" t="s">
        <v>55</v>
      </c>
      <c r="P1459">
        <v>3</v>
      </c>
      <c r="Q1459" t="s">
        <v>56</v>
      </c>
      <c r="R1459">
        <v>2001</v>
      </c>
      <c r="S1459">
        <v>12549</v>
      </c>
      <c r="T1459">
        <v>2</v>
      </c>
      <c r="U1459" t="s">
        <v>51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  <c r="AG1459" t="s">
        <v>45</v>
      </c>
      <c r="AH1459" t="s">
        <v>46</v>
      </c>
      <c r="AI1459">
        <v>0</v>
      </c>
      <c r="AJ1459" t="s">
        <v>65</v>
      </c>
      <c r="AK1459" t="s">
        <v>68</v>
      </c>
      <c r="AL1459" t="s">
        <v>66</v>
      </c>
      <c r="AM1459" t="s">
        <v>61</v>
      </c>
      <c r="AN1459">
        <f t="shared" si="22"/>
        <v>0</v>
      </c>
    </row>
    <row r="1460" spans="1:40">
      <c r="A1460">
        <v>35</v>
      </c>
      <c r="B1460" t="s">
        <v>51</v>
      </c>
      <c r="C1460" t="s">
        <v>39</v>
      </c>
      <c r="D1460">
        <v>287</v>
      </c>
      <c r="E1460" t="s">
        <v>53</v>
      </c>
      <c r="F1460">
        <v>1</v>
      </c>
      <c r="G1460">
        <v>4</v>
      </c>
      <c r="H1460" t="s">
        <v>41</v>
      </c>
      <c r="I1460">
        <v>2052</v>
      </c>
      <c r="J1460">
        <v>3</v>
      </c>
      <c r="K1460" t="s">
        <v>42</v>
      </c>
      <c r="L1460">
        <v>62</v>
      </c>
      <c r="M1460">
        <v>1</v>
      </c>
      <c r="N1460">
        <v>1</v>
      </c>
      <c r="O1460" t="s">
        <v>55</v>
      </c>
      <c r="P1460">
        <v>4</v>
      </c>
      <c r="Q1460" t="s">
        <v>56</v>
      </c>
      <c r="R1460">
        <v>2977</v>
      </c>
      <c r="S1460">
        <v>8952</v>
      </c>
      <c r="T1460">
        <v>1</v>
      </c>
      <c r="U1460" t="s">
        <v>51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  <c r="AG1460" t="s">
        <v>67</v>
      </c>
      <c r="AH1460" t="s">
        <v>71</v>
      </c>
      <c r="AI1460">
        <v>0</v>
      </c>
      <c r="AJ1460" t="s">
        <v>65</v>
      </c>
      <c r="AK1460" t="s">
        <v>68</v>
      </c>
      <c r="AL1460" t="s">
        <v>49</v>
      </c>
      <c r="AM1460" t="s">
        <v>61</v>
      </c>
      <c r="AN1460">
        <f t="shared" si="22"/>
        <v>-2</v>
      </c>
    </row>
    <row r="1461" spans="1:40">
      <c r="A1461">
        <v>29</v>
      </c>
      <c r="B1461" t="s">
        <v>51</v>
      </c>
      <c r="C1461" t="s">
        <v>39</v>
      </c>
      <c r="D1461">
        <v>1378</v>
      </c>
      <c r="E1461" t="s">
        <v>53</v>
      </c>
      <c r="F1461">
        <v>13</v>
      </c>
      <c r="G1461">
        <v>2</v>
      </c>
      <c r="H1461" t="s">
        <v>62</v>
      </c>
      <c r="I1461">
        <v>2053</v>
      </c>
      <c r="J1461">
        <v>4</v>
      </c>
      <c r="K1461" t="s">
        <v>54</v>
      </c>
      <c r="L1461">
        <v>46</v>
      </c>
      <c r="M1461">
        <v>2</v>
      </c>
      <c r="N1461">
        <v>2</v>
      </c>
      <c r="O1461" t="s">
        <v>63</v>
      </c>
      <c r="P1461">
        <v>2</v>
      </c>
      <c r="Q1461" t="s">
        <v>56</v>
      </c>
      <c r="R1461">
        <v>4025</v>
      </c>
      <c r="S1461">
        <v>23679</v>
      </c>
      <c r="T1461">
        <v>4</v>
      </c>
      <c r="U1461" t="s">
        <v>38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  <c r="AG1461" t="s">
        <v>67</v>
      </c>
      <c r="AH1461" t="s">
        <v>46</v>
      </c>
      <c r="AI1461">
        <v>0</v>
      </c>
      <c r="AJ1461" t="s">
        <v>65</v>
      </c>
      <c r="AK1461" t="s">
        <v>48</v>
      </c>
      <c r="AL1461" t="s">
        <v>60</v>
      </c>
      <c r="AM1461" t="s">
        <v>61</v>
      </c>
      <c r="AN1461">
        <f t="shared" si="22"/>
        <v>3</v>
      </c>
    </row>
    <row r="1462" spans="1:40">
      <c r="A1462">
        <v>29</v>
      </c>
      <c r="B1462" t="s">
        <v>51</v>
      </c>
      <c r="C1462" t="s">
        <v>39</v>
      </c>
      <c r="D1462">
        <v>468</v>
      </c>
      <c r="E1462" t="s">
        <v>53</v>
      </c>
      <c r="F1462">
        <v>28</v>
      </c>
      <c r="G1462">
        <v>4</v>
      </c>
      <c r="H1462" t="s">
        <v>69</v>
      </c>
      <c r="I1462">
        <v>2054</v>
      </c>
      <c r="J1462">
        <v>4</v>
      </c>
      <c r="K1462" t="s">
        <v>42</v>
      </c>
      <c r="L1462">
        <v>73</v>
      </c>
      <c r="M1462">
        <v>2</v>
      </c>
      <c r="N1462">
        <v>1</v>
      </c>
      <c r="O1462" t="s">
        <v>55</v>
      </c>
      <c r="P1462">
        <v>1</v>
      </c>
      <c r="Q1462" t="s">
        <v>44</v>
      </c>
      <c r="R1462">
        <v>3785</v>
      </c>
      <c r="S1462">
        <v>8489</v>
      </c>
      <c r="T1462">
        <v>1</v>
      </c>
      <c r="U1462" t="s">
        <v>51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  <c r="AG1462" t="s">
        <v>67</v>
      </c>
      <c r="AH1462" t="s">
        <v>71</v>
      </c>
      <c r="AI1462">
        <v>0</v>
      </c>
      <c r="AJ1462" t="s">
        <v>47</v>
      </c>
      <c r="AK1462" t="s">
        <v>68</v>
      </c>
      <c r="AL1462" t="s">
        <v>73</v>
      </c>
      <c r="AM1462" t="s">
        <v>50</v>
      </c>
      <c r="AN1462">
        <f t="shared" si="22"/>
        <v>10</v>
      </c>
    </row>
    <row r="1463" spans="1:40">
      <c r="A1463">
        <v>50</v>
      </c>
      <c r="B1463" t="s">
        <v>38</v>
      </c>
      <c r="C1463" t="s">
        <v>39</v>
      </c>
      <c r="D1463">
        <v>410</v>
      </c>
      <c r="E1463" t="s">
        <v>40</v>
      </c>
      <c r="F1463">
        <v>28</v>
      </c>
      <c r="G1463">
        <v>3</v>
      </c>
      <c r="H1463" t="s">
        <v>84</v>
      </c>
      <c r="I1463">
        <v>2055</v>
      </c>
      <c r="J1463">
        <v>4</v>
      </c>
      <c r="K1463" t="s">
        <v>54</v>
      </c>
      <c r="L1463">
        <v>39</v>
      </c>
      <c r="M1463">
        <v>2</v>
      </c>
      <c r="N1463">
        <v>3</v>
      </c>
      <c r="O1463" t="s">
        <v>43</v>
      </c>
      <c r="P1463">
        <v>1</v>
      </c>
      <c r="Q1463" t="s">
        <v>74</v>
      </c>
      <c r="R1463">
        <v>10854</v>
      </c>
      <c r="S1463">
        <v>16586</v>
      </c>
      <c r="T1463">
        <v>4</v>
      </c>
      <c r="U1463" t="s">
        <v>38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  <c r="AG1463" t="s">
        <v>57</v>
      </c>
      <c r="AH1463" t="s">
        <v>46</v>
      </c>
      <c r="AI1463">
        <v>1</v>
      </c>
      <c r="AJ1463" t="s">
        <v>65</v>
      </c>
      <c r="AK1463" t="s">
        <v>72</v>
      </c>
      <c r="AL1463" t="s">
        <v>73</v>
      </c>
      <c r="AM1463" t="s">
        <v>61</v>
      </c>
      <c r="AN1463">
        <f t="shared" si="22"/>
        <v>8</v>
      </c>
    </row>
    <row r="1464" spans="1:40">
      <c r="A1464">
        <v>39</v>
      </c>
      <c r="B1464" t="s">
        <v>51</v>
      </c>
      <c r="C1464" t="s">
        <v>39</v>
      </c>
      <c r="D1464">
        <v>722</v>
      </c>
      <c r="E1464" t="s">
        <v>40</v>
      </c>
      <c r="F1464">
        <v>24</v>
      </c>
      <c r="G1464">
        <v>1</v>
      </c>
      <c r="H1464" t="s">
        <v>84</v>
      </c>
      <c r="I1464">
        <v>2056</v>
      </c>
      <c r="J1464">
        <v>2</v>
      </c>
      <c r="K1464" t="s">
        <v>42</v>
      </c>
      <c r="L1464">
        <v>60</v>
      </c>
      <c r="M1464">
        <v>2</v>
      </c>
      <c r="N1464">
        <v>4</v>
      </c>
      <c r="O1464" t="s">
        <v>43</v>
      </c>
      <c r="P1464">
        <v>4</v>
      </c>
      <c r="Q1464" t="s">
        <v>56</v>
      </c>
      <c r="R1464">
        <v>12031</v>
      </c>
      <c r="S1464">
        <v>8828</v>
      </c>
      <c r="T1464">
        <v>0</v>
      </c>
      <c r="U1464" t="s">
        <v>51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  <c r="AG1464" t="s">
        <v>45</v>
      </c>
      <c r="AH1464" t="s">
        <v>71</v>
      </c>
      <c r="AI1464">
        <v>0</v>
      </c>
      <c r="AJ1464" t="s">
        <v>47</v>
      </c>
      <c r="AK1464" t="s">
        <v>59</v>
      </c>
      <c r="AL1464" t="s">
        <v>49</v>
      </c>
      <c r="AM1464" t="s">
        <v>70</v>
      </c>
      <c r="AN1464">
        <f t="shared" si="22"/>
        <v>8</v>
      </c>
    </row>
    <row r="1465" spans="1:40">
      <c r="A1465">
        <v>31</v>
      </c>
      <c r="B1465" t="s">
        <v>51</v>
      </c>
      <c r="C1465" t="s">
        <v>77</v>
      </c>
      <c r="D1465">
        <v>325</v>
      </c>
      <c r="E1465" t="s">
        <v>53</v>
      </c>
      <c r="F1465">
        <v>5</v>
      </c>
      <c r="G1465">
        <v>3</v>
      </c>
      <c r="H1465" t="s">
        <v>69</v>
      </c>
      <c r="I1465">
        <v>2057</v>
      </c>
      <c r="J1465">
        <v>2</v>
      </c>
      <c r="K1465" t="s">
        <v>54</v>
      </c>
      <c r="L1465">
        <v>74</v>
      </c>
      <c r="M1465">
        <v>3</v>
      </c>
      <c r="N1465">
        <v>2</v>
      </c>
      <c r="O1465" t="s">
        <v>75</v>
      </c>
      <c r="P1465">
        <v>1</v>
      </c>
      <c r="Q1465" t="s">
        <v>44</v>
      </c>
      <c r="R1465">
        <v>9936</v>
      </c>
      <c r="S1465">
        <v>3787</v>
      </c>
      <c r="T1465">
        <v>0</v>
      </c>
      <c r="U1465" t="s">
        <v>51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  <c r="AG1465" t="s">
        <v>67</v>
      </c>
      <c r="AH1465" t="s">
        <v>81</v>
      </c>
      <c r="AI1465">
        <v>0</v>
      </c>
      <c r="AJ1465" t="s">
        <v>58</v>
      </c>
      <c r="AK1465" t="s">
        <v>72</v>
      </c>
      <c r="AL1465" t="s">
        <v>73</v>
      </c>
      <c r="AM1465" t="s">
        <v>61</v>
      </c>
      <c r="AN1465">
        <f t="shared" si="22"/>
        <v>7</v>
      </c>
    </row>
    <row r="1466" spans="1:40">
      <c r="A1466">
        <v>26</v>
      </c>
      <c r="B1466" t="s">
        <v>51</v>
      </c>
      <c r="C1466" t="s">
        <v>39</v>
      </c>
      <c r="D1466">
        <v>1167</v>
      </c>
      <c r="E1466" t="s">
        <v>40</v>
      </c>
      <c r="F1466">
        <v>5</v>
      </c>
      <c r="G1466">
        <v>3</v>
      </c>
      <c r="H1466" t="s">
        <v>62</v>
      </c>
      <c r="I1466">
        <v>2060</v>
      </c>
      <c r="J1466">
        <v>4</v>
      </c>
      <c r="K1466" t="s">
        <v>42</v>
      </c>
      <c r="L1466">
        <v>30</v>
      </c>
      <c r="M1466">
        <v>2</v>
      </c>
      <c r="N1466">
        <v>1</v>
      </c>
      <c r="O1466" t="s">
        <v>82</v>
      </c>
      <c r="P1466">
        <v>3</v>
      </c>
      <c r="Q1466" t="s">
        <v>44</v>
      </c>
      <c r="R1466">
        <v>2966</v>
      </c>
      <c r="S1466">
        <v>21378</v>
      </c>
      <c r="T1466">
        <v>0</v>
      </c>
      <c r="U1466" t="s">
        <v>51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  <c r="AG1466" t="s">
        <v>67</v>
      </c>
      <c r="AH1466" t="s">
        <v>46</v>
      </c>
      <c r="AI1466">
        <v>0</v>
      </c>
      <c r="AJ1466" t="s">
        <v>65</v>
      </c>
      <c r="AK1466" t="s">
        <v>72</v>
      </c>
      <c r="AL1466" t="s">
        <v>66</v>
      </c>
      <c r="AM1466" t="s">
        <v>61</v>
      </c>
      <c r="AN1466">
        <f t="shared" si="22"/>
        <v>0</v>
      </c>
    </row>
    <row r="1467" spans="1:40">
      <c r="A1467">
        <v>36</v>
      </c>
      <c r="B1467" t="s">
        <v>51</v>
      </c>
      <c r="C1467" t="s">
        <v>52</v>
      </c>
      <c r="D1467">
        <v>884</v>
      </c>
      <c r="E1467" t="s">
        <v>53</v>
      </c>
      <c r="F1467">
        <v>23</v>
      </c>
      <c r="G1467">
        <v>2</v>
      </c>
      <c r="H1467" t="s">
        <v>69</v>
      </c>
      <c r="I1467">
        <v>2061</v>
      </c>
      <c r="J1467">
        <v>3</v>
      </c>
      <c r="K1467" t="s">
        <v>54</v>
      </c>
      <c r="L1467">
        <v>41</v>
      </c>
      <c r="M1467">
        <v>4</v>
      </c>
      <c r="N1467">
        <v>2</v>
      </c>
      <c r="O1467" t="s">
        <v>63</v>
      </c>
      <c r="P1467">
        <v>4</v>
      </c>
      <c r="Q1467" t="s">
        <v>56</v>
      </c>
      <c r="R1467">
        <v>2571</v>
      </c>
      <c r="S1467">
        <v>12290</v>
      </c>
      <c r="T1467">
        <v>4</v>
      </c>
      <c r="U1467" t="s">
        <v>51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  <c r="AG1467" t="s">
        <v>45</v>
      </c>
      <c r="AH1467" t="s">
        <v>46</v>
      </c>
      <c r="AI1467">
        <v>0</v>
      </c>
      <c r="AJ1467" t="s">
        <v>65</v>
      </c>
      <c r="AK1467" t="s">
        <v>48</v>
      </c>
      <c r="AL1467" t="s">
        <v>49</v>
      </c>
      <c r="AM1467" t="s">
        <v>61</v>
      </c>
      <c r="AN1467">
        <f t="shared" si="22"/>
        <v>-3</v>
      </c>
    </row>
    <row r="1468" spans="1:40">
      <c r="A1468">
        <v>39</v>
      </c>
      <c r="B1468" t="s">
        <v>51</v>
      </c>
      <c r="C1468" t="s">
        <v>39</v>
      </c>
      <c r="D1468">
        <v>613</v>
      </c>
      <c r="E1468" t="s">
        <v>53</v>
      </c>
      <c r="F1468">
        <v>6</v>
      </c>
      <c r="G1468">
        <v>1</v>
      </c>
      <c r="H1468" t="s">
        <v>69</v>
      </c>
      <c r="I1468">
        <v>2062</v>
      </c>
      <c r="J1468">
        <v>4</v>
      </c>
      <c r="K1468" t="s">
        <v>54</v>
      </c>
      <c r="L1468">
        <v>42</v>
      </c>
      <c r="M1468">
        <v>2</v>
      </c>
      <c r="N1468">
        <v>3</v>
      </c>
      <c r="O1468" t="s">
        <v>76</v>
      </c>
      <c r="P1468">
        <v>1</v>
      </c>
      <c r="Q1468" t="s">
        <v>56</v>
      </c>
      <c r="R1468">
        <v>9991</v>
      </c>
      <c r="S1468">
        <v>21457</v>
      </c>
      <c r="T1468">
        <v>4</v>
      </c>
      <c r="U1468" t="s">
        <v>51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  <c r="AG1468" t="s">
        <v>45</v>
      </c>
      <c r="AH1468" t="s">
        <v>46</v>
      </c>
      <c r="AI1468">
        <v>0</v>
      </c>
      <c r="AJ1468" t="s">
        <v>58</v>
      </c>
      <c r="AK1468" t="s">
        <v>59</v>
      </c>
      <c r="AL1468" t="s">
        <v>73</v>
      </c>
      <c r="AM1468" t="s">
        <v>61</v>
      </c>
      <c r="AN1468">
        <f t="shared" si="22"/>
        <v>7</v>
      </c>
    </row>
    <row r="1469" spans="1:40">
      <c r="A1469">
        <v>27</v>
      </c>
      <c r="B1469" t="s">
        <v>51</v>
      </c>
      <c r="C1469" t="s">
        <v>39</v>
      </c>
      <c r="D1469">
        <v>155</v>
      </c>
      <c r="E1469" t="s">
        <v>53</v>
      </c>
      <c r="F1469">
        <v>4</v>
      </c>
      <c r="G1469">
        <v>3</v>
      </c>
      <c r="H1469" t="s">
        <v>41</v>
      </c>
      <c r="I1469">
        <v>2064</v>
      </c>
      <c r="J1469">
        <v>2</v>
      </c>
      <c r="K1469" t="s">
        <v>54</v>
      </c>
      <c r="L1469">
        <v>87</v>
      </c>
      <c r="M1469">
        <v>4</v>
      </c>
      <c r="N1469">
        <v>2</v>
      </c>
      <c r="O1469" t="s">
        <v>75</v>
      </c>
      <c r="P1469">
        <v>2</v>
      </c>
      <c r="Q1469" t="s">
        <v>56</v>
      </c>
      <c r="R1469">
        <v>6142</v>
      </c>
      <c r="S1469">
        <v>5174</v>
      </c>
      <c r="T1469">
        <v>1</v>
      </c>
      <c r="U1469" t="s">
        <v>38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  <c r="AG1469" t="s">
        <v>67</v>
      </c>
      <c r="AH1469" t="s">
        <v>81</v>
      </c>
      <c r="AI1469">
        <v>0</v>
      </c>
      <c r="AJ1469" t="s">
        <v>58</v>
      </c>
      <c r="AK1469" t="s">
        <v>72</v>
      </c>
      <c r="AL1469" t="s">
        <v>60</v>
      </c>
      <c r="AM1469" t="s">
        <v>61</v>
      </c>
      <c r="AN1469">
        <f t="shared" si="22"/>
        <v>3</v>
      </c>
    </row>
    <row r="1470" spans="1:40">
      <c r="A1470">
        <v>49</v>
      </c>
      <c r="B1470" t="s">
        <v>51</v>
      </c>
      <c r="C1470" t="s">
        <v>52</v>
      </c>
      <c r="D1470">
        <v>1023</v>
      </c>
      <c r="E1470" t="s">
        <v>40</v>
      </c>
      <c r="F1470">
        <v>2</v>
      </c>
      <c r="G1470">
        <v>3</v>
      </c>
      <c r="H1470" t="s">
        <v>69</v>
      </c>
      <c r="I1470">
        <v>2065</v>
      </c>
      <c r="J1470">
        <v>4</v>
      </c>
      <c r="K1470" t="s">
        <v>54</v>
      </c>
      <c r="L1470">
        <v>63</v>
      </c>
      <c r="M1470">
        <v>2</v>
      </c>
      <c r="N1470">
        <v>2</v>
      </c>
      <c r="O1470" t="s">
        <v>43</v>
      </c>
      <c r="P1470">
        <v>2</v>
      </c>
      <c r="Q1470" t="s">
        <v>56</v>
      </c>
      <c r="R1470">
        <v>5390</v>
      </c>
      <c r="S1470">
        <v>13243</v>
      </c>
      <c r="T1470">
        <v>2</v>
      </c>
      <c r="U1470" t="s">
        <v>51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  <c r="AG1470" t="s">
        <v>57</v>
      </c>
      <c r="AH1470" t="s">
        <v>46</v>
      </c>
      <c r="AI1470">
        <v>0</v>
      </c>
      <c r="AJ1470" t="s">
        <v>47</v>
      </c>
      <c r="AK1470" t="s">
        <v>72</v>
      </c>
      <c r="AL1470" t="s">
        <v>60</v>
      </c>
      <c r="AM1470" t="s">
        <v>70</v>
      </c>
      <c r="AN1470">
        <f t="shared" si="22"/>
        <v>5</v>
      </c>
    </row>
    <row r="1471" spans="1:40">
      <c r="A1471">
        <v>34</v>
      </c>
      <c r="B1471" t="s">
        <v>51</v>
      </c>
      <c r="C1471" t="s">
        <v>39</v>
      </c>
      <c r="D1471">
        <v>628</v>
      </c>
      <c r="E1471" t="s">
        <v>53</v>
      </c>
      <c r="F1471">
        <v>8</v>
      </c>
      <c r="G1471">
        <v>3</v>
      </c>
      <c r="H1471" t="s">
        <v>69</v>
      </c>
      <c r="I1471">
        <v>2068</v>
      </c>
      <c r="J1471">
        <v>2</v>
      </c>
      <c r="K1471" t="s">
        <v>54</v>
      </c>
      <c r="L1471">
        <v>82</v>
      </c>
      <c r="M1471">
        <v>4</v>
      </c>
      <c r="N1471">
        <v>2</v>
      </c>
      <c r="O1471" t="s">
        <v>63</v>
      </c>
      <c r="P1471">
        <v>3</v>
      </c>
      <c r="Q1471" t="s">
        <v>56</v>
      </c>
      <c r="R1471">
        <v>4404</v>
      </c>
      <c r="S1471">
        <v>10228</v>
      </c>
      <c r="T1471">
        <v>2</v>
      </c>
      <c r="U1471" t="s">
        <v>51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  <c r="AG1471" t="s">
        <v>67</v>
      </c>
      <c r="AH1471" t="s">
        <v>46</v>
      </c>
      <c r="AI1471">
        <v>0</v>
      </c>
      <c r="AJ1471" t="s">
        <v>65</v>
      </c>
      <c r="AK1471" t="s">
        <v>72</v>
      </c>
      <c r="AL1471" t="s">
        <v>66</v>
      </c>
      <c r="AM1471" t="s">
        <v>85</v>
      </c>
      <c r="AN1471">
        <f t="shared" si="22"/>
        <v>-1</v>
      </c>
    </row>
  </sheetData>
  <conditionalFormatting sqref="B1:B1048576">
    <cfRule type="cellIs" dxfId="3" priority="1" operator="equal">
      <formula>"Yes"</formula>
    </cfRule>
    <cfRule type="cellIs" dxfId="2" priority="2" operator="equal">
      <formula>"Yes"</formula>
    </cfRule>
  </conditionalFormatting>
  <conditionalFormatting sqref="B2">
    <cfRule type="cellIs" dxfId="1" priority="3" operator="equal">
      <formula>"Yes"</formula>
    </cfRule>
  </conditionalFormatting>
  <conditionalFormatting sqref="B2:B1471">
    <cfRule type="cellIs" dxfId="0" priority="4" operator="equal">
      <formula>"YES"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EDAC-9F41-4593-B73D-00BB66E043B4}">
  <sheetPr codeName="Sheet2"/>
  <dimension ref="E1:L11"/>
  <sheetViews>
    <sheetView topLeftCell="B1" workbookViewId="0">
      <selection activeCell="K12" sqref="K12"/>
    </sheetView>
  </sheetViews>
  <sheetFormatPr defaultRowHeight="14.4"/>
  <cols>
    <col min="5" max="5" width="26.77734375" bestFit="1" customWidth="1"/>
    <col min="6" max="6" width="31" bestFit="1" customWidth="1"/>
    <col min="7" max="7" width="31.5546875" bestFit="1" customWidth="1"/>
    <col min="8" max="8" width="13.77734375" bestFit="1" customWidth="1"/>
    <col min="9" max="9" width="14.88671875" customWidth="1"/>
    <col min="10" max="10" width="17.77734375" customWidth="1"/>
    <col min="11" max="11" width="19.109375" customWidth="1"/>
    <col min="12" max="12" width="38.77734375" customWidth="1"/>
    <col min="16" max="16" width="8.88671875" customWidth="1"/>
  </cols>
  <sheetData>
    <row r="1" spans="5:12" ht="28.2">
      <c r="E1" s="77" t="s">
        <v>98</v>
      </c>
      <c r="F1" s="77"/>
      <c r="G1" s="77"/>
      <c r="H1" s="77"/>
      <c r="I1" s="77"/>
      <c r="J1" s="77"/>
      <c r="K1" s="77"/>
      <c r="L1" s="77"/>
    </row>
    <row r="2" spans="5:12">
      <c r="E2" s="78" t="s">
        <v>97</v>
      </c>
      <c r="F2" s="78"/>
      <c r="G2" s="78"/>
      <c r="H2" s="78"/>
      <c r="I2" s="78"/>
      <c r="J2" s="78"/>
      <c r="K2" s="78"/>
      <c r="L2" s="78"/>
    </row>
    <row r="6" spans="5:12" ht="17.399999999999999">
      <c r="E6" s="48" t="s">
        <v>89</v>
      </c>
      <c r="F6" s="49" t="s">
        <v>90</v>
      </c>
      <c r="G6" s="50" t="s">
        <v>91</v>
      </c>
      <c r="H6" s="51" t="s">
        <v>92</v>
      </c>
    </row>
    <row r="7" spans="5:12" ht="18">
      <c r="E7" s="52">
        <f>COUNTA('IBM HR Analytics Cleaned'!A:A)-1</f>
        <v>1470</v>
      </c>
      <c r="F7" s="53">
        <f>COUNTIF('IBM HR Analytics Cleaned'!B2:B1471,"Yes")/COUNTA('IBM HR Analytics Cleaned'!B2:B1471)</f>
        <v>0.16122448979591836</v>
      </c>
      <c r="G7" s="54">
        <f>AVERAGE('IBM HR Analytics Cleaned'!R2:R1471)</f>
        <v>6502.931292517007</v>
      </c>
      <c r="H7" s="55">
        <f>AVERAGE('IBM HR Analytics Cleaned'!A2:A1471)</f>
        <v>36.923809523809524</v>
      </c>
    </row>
    <row r="10" spans="5:12" ht="17.399999999999999">
      <c r="E10" s="56" t="s">
        <v>93</v>
      </c>
      <c r="F10" s="57" t="s">
        <v>94</v>
      </c>
      <c r="G10" s="58" t="s">
        <v>95</v>
      </c>
      <c r="H10" s="59" t="s">
        <v>96</v>
      </c>
    </row>
    <row r="11" spans="5:12" ht="18">
      <c r="E11" s="60">
        <f>COUNTIF('IBM HR Analytics Cleaned'!B2:B1471,"No")</f>
        <v>1233</v>
      </c>
      <c r="F11" s="61">
        <f>COUNTIF('IBM HR Analytics Cleaned'!B2:B1471,"Yes")</f>
        <v>237</v>
      </c>
      <c r="G11" s="62">
        <f>AVERAGE('IBM HR Analytics Cleaned'!AC2:AC1471)</f>
        <v>7.0081632653061225</v>
      </c>
      <c r="H11" s="63">
        <v>97</v>
      </c>
    </row>
  </sheetData>
  <mergeCells count="2">
    <mergeCell ref="E1:L1"/>
    <mergeCell ref="E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54C4-E623-4A39-B26B-D82C9C79C30E}">
  <sheetPr codeName="Sheet3"/>
  <dimension ref="C1:R26"/>
  <sheetViews>
    <sheetView zoomScaleNormal="100" workbookViewId="0">
      <selection activeCell="R3" sqref="R3"/>
    </sheetView>
  </sheetViews>
  <sheetFormatPr defaultRowHeight="14.4"/>
  <cols>
    <col min="3" max="3" width="21.88671875" bestFit="1" customWidth="1"/>
    <col min="4" max="4" width="5.21875" bestFit="1" customWidth="1"/>
    <col min="5" max="5" width="7.44140625" bestFit="1" customWidth="1"/>
    <col min="6" max="6" width="11.77734375" bestFit="1" customWidth="1"/>
    <col min="7" max="7" width="10.109375" customWidth="1"/>
    <col min="8" max="8" width="14.88671875" bestFit="1" customWidth="1"/>
    <col min="9" max="9" width="5.21875" bestFit="1" customWidth="1"/>
    <col min="10" max="10" width="7.44140625" bestFit="1" customWidth="1"/>
    <col min="11" max="11" width="11.77734375" bestFit="1" customWidth="1"/>
    <col min="13" max="13" width="16.109375" bestFit="1" customWidth="1"/>
    <col min="14" max="14" width="5.21875" bestFit="1" customWidth="1"/>
    <col min="15" max="15" width="7.44140625" bestFit="1" customWidth="1"/>
    <col min="16" max="16" width="11.77734375" bestFit="1" customWidth="1"/>
  </cols>
  <sheetData>
    <row r="1" spans="3:18" ht="24.6">
      <c r="C1" s="104" t="s">
        <v>100</v>
      </c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43"/>
      <c r="R1" s="43"/>
    </row>
    <row r="2" spans="3:18">
      <c r="C2" s="105" t="s">
        <v>99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44"/>
      <c r="R2" s="44"/>
    </row>
    <row r="4" spans="3:18" ht="15" thickBot="1"/>
    <row r="5" spans="3:18" ht="15" thickBot="1">
      <c r="C5" s="82" t="s">
        <v>105</v>
      </c>
      <c r="D5" s="83"/>
      <c r="E5" s="83"/>
      <c r="F5" s="84"/>
      <c r="H5" s="91" t="s">
        <v>107</v>
      </c>
      <c r="I5" s="92"/>
      <c r="J5" s="92"/>
      <c r="K5" s="93"/>
      <c r="M5" s="100" t="s">
        <v>112</v>
      </c>
      <c r="N5" s="100"/>
      <c r="O5" s="100"/>
      <c r="P5" s="100"/>
    </row>
    <row r="6" spans="3:18">
      <c r="C6" s="40" t="s">
        <v>4</v>
      </c>
      <c r="D6" t="s">
        <v>119</v>
      </c>
      <c r="E6" t="s">
        <v>120</v>
      </c>
      <c r="F6" s="41" t="s">
        <v>121</v>
      </c>
      <c r="H6" s="40" t="s">
        <v>118</v>
      </c>
      <c r="I6" t="s">
        <v>119</v>
      </c>
      <c r="J6" t="s">
        <v>120</v>
      </c>
      <c r="K6" s="41" t="s">
        <v>121</v>
      </c>
      <c r="M6" s="32" t="s">
        <v>124</v>
      </c>
      <c r="N6" s="33" t="s">
        <v>119</v>
      </c>
      <c r="O6" s="33" t="s">
        <v>120</v>
      </c>
      <c r="P6" s="34" t="s">
        <v>103</v>
      </c>
    </row>
    <row r="7" spans="3:18">
      <c r="C7" s="35" t="s">
        <v>88</v>
      </c>
      <c r="D7">
        <v>63</v>
      </c>
      <c r="E7">
        <v>12</v>
      </c>
      <c r="F7" s="36">
        <f>GETPIVOTDATA("Attrited",$C$6,"Department","Human Resources")/GETPIVOTDATA("Total",$C$6,"Department","Human Resources")</f>
        <v>0.19047619047619047</v>
      </c>
      <c r="H7" s="35" t="s">
        <v>78</v>
      </c>
      <c r="I7">
        <v>123</v>
      </c>
      <c r="J7">
        <v>44</v>
      </c>
      <c r="K7" s="36">
        <f>GETPIVOTDATA("Attrited",$H$6,"AgeGroup","18-25")/GETPIVOTDATA("Total",$H$6,"AgeGroup","18-25")</f>
        <v>0.35772357723577236</v>
      </c>
      <c r="M7" s="35" t="s">
        <v>47</v>
      </c>
      <c r="N7">
        <v>424</v>
      </c>
      <c r="O7">
        <v>83</v>
      </c>
      <c r="P7" s="36">
        <f>GETPIVOTDATA("Attrited",$M$6,"TenureBand","0-2 yrs")/GETPIVOTDATA("Total",$M$6,"TenureBand","0-2 yrs")</f>
        <v>0.19575471698113209</v>
      </c>
    </row>
    <row r="8" spans="3:18">
      <c r="C8" s="35" t="s">
        <v>53</v>
      </c>
      <c r="D8">
        <v>961</v>
      </c>
      <c r="E8">
        <v>133</v>
      </c>
      <c r="F8" s="36">
        <f>GETPIVOTDATA("Attrited",$C$6,"Department","Research &amp; Development")/GETPIVOTDATA("Total",$C$6,"Department","Research &amp; Development")</f>
        <v>0.13839750260145681</v>
      </c>
      <c r="H8" s="35" t="s">
        <v>67</v>
      </c>
      <c r="I8">
        <v>606</v>
      </c>
      <c r="J8">
        <v>116</v>
      </c>
      <c r="K8" s="36">
        <f>GETPIVOTDATA("Attrited",$H$6,"AgeGroup","26-35")/GETPIVOTDATA("Total",$H$6,"AgeGroup","26-35")</f>
        <v>0.19141914191419143</v>
      </c>
      <c r="M8" s="35" t="s">
        <v>80</v>
      </c>
      <c r="N8">
        <v>178</v>
      </c>
      <c r="O8">
        <v>13</v>
      </c>
      <c r="P8" s="36">
        <f>GETPIVOTDATA("Attrited",$M$6,"TenureBand","10+ yrs")/GETPIVOTDATA("Total",$M$6,"TenureBand","10+ yrs")</f>
        <v>7.3033707865168537E-2</v>
      </c>
    </row>
    <row r="9" spans="3:18">
      <c r="C9" s="35" t="s">
        <v>40</v>
      </c>
      <c r="D9">
        <v>446</v>
      </c>
      <c r="E9">
        <v>92</v>
      </c>
      <c r="F9" s="36">
        <f>GETPIVOTDATA("Attrited",$C$6,"Department","Sales")/GETPIVOTDATA("Total",$C$6,"Department","Sales")</f>
        <v>0.20627802690582961</v>
      </c>
      <c r="H9" s="35" t="s">
        <v>45</v>
      </c>
      <c r="I9">
        <v>468</v>
      </c>
      <c r="J9">
        <v>43</v>
      </c>
      <c r="K9" s="36">
        <f>GETPIVOTDATA("Attrited",$H$6,"AgeGroup","36-45")/GETPIVOTDATA("Total",$H$6,"AgeGroup","36-45")</f>
        <v>9.1880341880341887E-2</v>
      </c>
      <c r="M9" s="35" t="s">
        <v>65</v>
      </c>
      <c r="N9">
        <v>556</v>
      </c>
      <c r="O9">
        <v>108</v>
      </c>
      <c r="P9" s="36">
        <f>GETPIVOTDATA("Attrited",$M$6,"TenureBand","3-5 yrs")/GETPIVOTDATA("Total",$M$6,"TenureBand","3-5 yrs")</f>
        <v>0.19424460431654678</v>
      </c>
    </row>
    <row r="10" spans="3:18" ht="15" thickBot="1">
      <c r="C10" s="37" t="s">
        <v>101</v>
      </c>
      <c r="D10" s="38">
        <v>1470</v>
      </c>
      <c r="E10" s="38">
        <v>237</v>
      </c>
      <c r="F10" s="39"/>
      <c r="H10" s="35" t="s">
        <v>57</v>
      </c>
      <c r="I10">
        <v>273</v>
      </c>
      <c r="J10">
        <v>34</v>
      </c>
      <c r="K10" s="36">
        <f>GETPIVOTDATA("Attrited",$H$6,"AgeGroup","46-60")/GETPIVOTDATA("Total",$H$6,"AgeGroup","46-60")</f>
        <v>0.12454212454212454</v>
      </c>
      <c r="M10" s="35" t="s">
        <v>58</v>
      </c>
      <c r="N10">
        <v>312</v>
      </c>
      <c r="O10">
        <v>33</v>
      </c>
      <c r="P10" s="36">
        <f>GETPIVOTDATA("Attrited",$M$6,"TenureBand","6-10 yrs")/GETPIVOTDATA("Total",$M$6,"TenureBand","6-10 yrs")</f>
        <v>0.10576923076923077</v>
      </c>
    </row>
    <row r="11" spans="3:18" ht="15" thickBot="1">
      <c r="H11" s="37" t="s">
        <v>101</v>
      </c>
      <c r="I11" s="38">
        <v>1470</v>
      </c>
      <c r="J11" s="38">
        <v>237</v>
      </c>
      <c r="K11" s="39"/>
      <c r="M11" s="37" t="s">
        <v>101</v>
      </c>
      <c r="N11" s="38">
        <v>1470</v>
      </c>
      <c r="O11" s="38">
        <v>237</v>
      </c>
      <c r="P11" s="39"/>
    </row>
    <row r="12" spans="3:18" ht="15" thickBot="1"/>
    <row r="13" spans="3:18">
      <c r="C13" s="85" t="s">
        <v>104</v>
      </c>
      <c r="D13" s="86"/>
      <c r="E13" s="86"/>
      <c r="F13" s="87"/>
      <c r="H13" s="94" t="s">
        <v>108</v>
      </c>
      <c r="I13" s="95"/>
      <c r="J13" s="95"/>
      <c r="K13" s="96"/>
      <c r="M13" s="101" t="s">
        <v>111</v>
      </c>
      <c r="N13" s="102"/>
      <c r="O13" s="102"/>
      <c r="P13" s="103"/>
    </row>
    <row r="14" spans="3:18">
      <c r="C14" s="40" t="s">
        <v>114</v>
      </c>
      <c r="D14" t="s">
        <v>119</v>
      </c>
      <c r="E14" t="s">
        <v>120</v>
      </c>
      <c r="F14" s="41" t="s">
        <v>121</v>
      </c>
      <c r="H14" s="40" t="s">
        <v>117</v>
      </c>
      <c r="I14" t="s">
        <v>119</v>
      </c>
      <c r="J14" t="s">
        <v>120</v>
      </c>
      <c r="K14" s="41" t="s">
        <v>121</v>
      </c>
      <c r="M14" s="40" t="s">
        <v>123</v>
      </c>
      <c r="N14" t="s">
        <v>119</v>
      </c>
      <c r="O14" t="s">
        <v>120</v>
      </c>
      <c r="P14" s="41" t="s">
        <v>103</v>
      </c>
    </row>
    <row r="15" spans="3:18">
      <c r="C15" s="35" t="s">
        <v>77</v>
      </c>
      <c r="D15">
        <v>150</v>
      </c>
      <c r="E15">
        <v>12</v>
      </c>
      <c r="F15" s="42">
        <f>GETPIVOTDATA("Attrited",$C$14,"BusinessTravel","Non-Travel")/GETPIVOTDATA("Total",$C$14,"BusinessTravel","Non-Travel")</f>
        <v>0.08</v>
      </c>
      <c r="H15" s="35" t="s">
        <v>66</v>
      </c>
      <c r="I15">
        <v>442</v>
      </c>
      <c r="J15">
        <v>73</v>
      </c>
      <c r="K15" s="36">
        <f>GETPIVOTDATA("Attrited",$H$14,"JobSatisfactionLabel","High")/GETPIVOTDATA("Total",$H$14,"JobSatisfactionLabel","High")</f>
        <v>0.16515837104072398</v>
      </c>
      <c r="M15" s="35" t="s">
        <v>50</v>
      </c>
      <c r="N15">
        <v>80</v>
      </c>
      <c r="O15">
        <v>25</v>
      </c>
      <c r="P15" s="36">
        <f>GETPIVOTDATA("Attrited",$M$14,"WorkLifeBalance2","Bad")/GETPIVOTDATA("Total",$M$14,"WorkLifeBalance2","Bad")</f>
        <v>0.3125</v>
      </c>
    </row>
    <row r="16" spans="3:18">
      <c r="C16" s="35" t="s">
        <v>52</v>
      </c>
      <c r="D16">
        <v>277</v>
      </c>
      <c r="E16">
        <v>69</v>
      </c>
      <c r="F16" s="42">
        <f>GETPIVOTDATA("Attrited",$C$14,"BusinessTravel","Travel_Frequently")/GETPIVOTDATA("Total",$C$14,"BusinessTravel","Travel_Frequently")</f>
        <v>0.24909747292418771</v>
      </c>
      <c r="H16" s="35" t="s">
        <v>73</v>
      </c>
      <c r="I16">
        <v>289</v>
      </c>
      <c r="J16">
        <v>66</v>
      </c>
      <c r="K16" s="36">
        <f>GETPIVOTDATA("Attrited",$H$14,"JobSatisfactionLabel","Low")/GETPIVOTDATA("Total",$H$14,"JobSatisfactionLabel","Low")</f>
        <v>0.22837370242214533</v>
      </c>
      <c r="M16" s="35" t="s">
        <v>85</v>
      </c>
      <c r="N16">
        <v>153</v>
      </c>
      <c r="O16">
        <v>27</v>
      </c>
      <c r="P16" s="36">
        <f>GETPIVOTDATA("Attrited",$M$14,"WorkLifeBalance2","Best")/GETPIVOTDATA("Total",$M$14,"WorkLifeBalance2","Best")</f>
        <v>0.17647058823529413</v>
      </c>
    </row>
    <row r="17" spans="3:16">
      <c r="C17" s="35" t="s">
        <v>39</v>
      </c>
      <c r="D17">
        <v>1043</v>
      </c>
      <c r="E17">
        <v>156</v>
      </c>
      <c r="F17" s="42">
        <f>GETPIVOTDATA("Attrited",$C$14,"BusinessTravel","Travel_Rarely")/GETPIVOTDATA("Total",$C$14,"BusinessTravel","Travel_Rarely")</f>
        <v>0.14956855225311602</v>
      </c>
      <c r="H17" s="35" t="s">
        <v>60</v>
      </c>
      <c r="I17">
        <v>280</v>
      </c>
      <c r="J17">
        <v>46</v>
      </c>
      <c r="K17" s="36">
        <f>GETPIVOTDATA("Attrited",$H$14,"JobSatisfactionLabel","Medium")/GETPIVOTDATA("Total",$H$14,"JobSatisfactionLabel","Medium")</f>
        <v>0.16428571428571428</v>
      </c>
      <c r="M17" s="35" t="s">
        <v>61</v>
      </c>
      <c r="N17">
        <v>893</v>
      </c>
      <c r="O17">
        <v>127</v>
      </c>
      <c r="P17" s="36">
        <f>GETPIVOTDATA("Attrited",$M$14,"WorkLifeBalance2","Better")/GETPIVOTDATA("Total",$M$14,"WorkLifeBalance2","Better")</f>
        <v>0.14221724524076149</v>
      </c>
    </row>
    <row r="18" spans="3:16" ht="15" thickBot="1">
      <c r="C18" s="37" t="s">
        <v>101</v>
      </c>
      <c r="D18" s="38">
        <v>1470</v>
      </c>
      <c r="E18" s="38">
        <v>237</v>
      </c>
      <c r="F18" s="39"/>
      <c r="H18" s="35" t="s">
        <v>49</v>
      </c>
      <c r="I18">
        <v>459</v>
      </c>
      <c r="J18">
        <v>52</v>
      </c>
      <c r="K18" s="36">
        <f>GETPIVOTDATA("Attrited",$H$14,"JobSatisfactionLabel","Very High")/GETPIVOTDATA("Total",$H$14,"JobSatisfactionLabel","Very High")</f>
        <v>0.11328976034858387</v>
      </c>
      <c r="M18" s="35" t="s">
        <v>70</v>
      </c>
      <c r="N18">
        <v>344</v>
      </c>
      <c r="O18">
        <v>58</v>
      </c>
      <c r="P18" s="36">
        <f>GETPIVOTDATA("Attrited",$M$14,"WorkLifeBalance2","Good")/GETPIVOTDATA("Total",$M$14,"WorkLifeBalance2","Good")</f>
        <v>0.16860465116279069</v>
      </c>
    </row>
    <row r="19" spans="3:16" ht="15" thickBot="1">
      <c r="H19" s="37" t="s">
        <v>101</v>
      </c>
      <c r="I19" s="38">
        <v>1470</v>
      </c>
      <c r="J19" s="38">
        <v>237</v>
      </c>
      <c r="K19" s="39"/>
      <c r="M19" s="37" t="s">
        <v>101</v>
      </c>
      <c r="N19" s="38">
        <v>1470</v>
      </c>
      <c r="O19" s="38">
        <v>237</v>
      </c>
      <c r="P19" s="39"/>
    </row>
    <row r="20" spans="3:16" ht="15" thickBot="1"/>
    <row r="21" spans="3:16" ht="15" thickBot="1">
      <c r="C21" s="88" t="s">
        <v>106</v>
      </c>
      <c r="D21" s="89"/>
      <c r="E21" s="89"/>
      <c r="F21" s="90"/>
      <c r="H21" s="97" t="s">
        <v>109</v>
      </c>
      <c r="I21" s="98"/>
      <c r="J21" s="98"/>
      <c r="K21" s="99"/>
      <c r="M21" s="79" t="s">
        <v>110</v>
      </c>
      <c r="N21" s="80"/>
      <c r="O21" s="80"/>
      <c r="P21" s="81"/>
    </row>
    <row r="22" spans="3:16">
      <c r="C22" s="40" t="s">
        <v>115</v>
      </c>
      <c r="D22" t="s">
        <v>119</v>
      </c>
      <c r="E22" t="s">
        <v>120</v>
      </c>
      <c r="F22" s="41" t="s">
        <v>121</v>
      </c>
      <c r="H22" s="40" t="s">
        <v>116</v>
      </c>
      <c r="I22" t="s">
        <v>119</v>
      </c>
      <c r="J22" t="s">
        <v>122</v>
      </c>
      <c r="K22" s="41" t="s">
        <v>121</v>
      </c>
      <c r="M22" s="32" t="s">
        <v>10</v>
      </c>
      <c r="N22" s="33" t="s">
        <v>119</v>
      </c>
      <c r="O22" s="33" t="s">
        <v>120</v>
      </c>
      <c r="P22" s="34" t="s">
        <v>121</v>
      </c>
    </row>
    <row r="23" spans="3:16">
      <c r="C23" s="35" t="s">
        <v>51</v>
      </c>
      <c r="D23">
        <v>1054</v>
      </c>
      <c r="E23">
        <v>110</v>
      </c>
      <c r="F23" s="36">
        <f>GETPIVOTDATA("Attrited",$C$22,"OverTime","No")/GETPIVOTDATA("Total",$C$22,"OverTime","No")</f>
        <v>0.10436432637571158</v>
      </c>
      <c r="H23" s="35" t="s">
        <v>74</v>
      </c>
      <c r="I23">
        <v>327</v>
      </c>
      <c r="J23">
        <v>33</v>
      </c>
      <c r="K23" s="36">
        <f>GETPIVOTDATA("attrited",$H$22,"MaritalStatus","Divorced")/GETPIVOTDATA("Total",$H$22,"MaritalStatus","Divorced")</f>
        <v>0.10091743119266056</v>
      </c>
      <c r="M23" s="35" t="s">
        <v>42</v>
      </c>
      <c r="N23">
        <v>588</v>
      </c>
      <c r="O23">
        <v>87</v>
      </c>
      <c r="P23" s="36">
        <f>GETPIVOTDATA("Attrited",$M$22,"Gender","Female")/GETPIVOTDATA("Total",$M$22,"Gender","Female")</f>
        <v>0.14795918367346939</v>
      </c>
    </row>
    <row r="24" spans="3:16">
      <c r="C24" s="35" t="s">
        <v>38</v>
      </c>
      <c r="D24">
        <v>416</v>
      </c>
      <c r="E24">
        <v>127</v>
      </c>
      <c r="F24" s="36">
        <f>GETPIVOTDATA("Attrited",$C$22,"OverTime","Yes")/GETPIVOTDATA("Total",$C$22,"OverTime","Yes")</f>
        <v>0.30528846153846156</v>
      </c>
      <c r="H24" s="35" t="s">
        <v>56</v>
      </c>
      <c r="I24">
        <v>673</v>
      </c>
      <c r="J24">
        <v>84</v>
      </c>
      <c r="K24" s="36">
        <f>GETPIVOTDATA("attrited",$H$22,"MaritalStatus","Married")/GETPIVOTDATA("Total",$H$22,"MaritalStatus","Married")</f>
        <v>0.12481426448736999</v>
      </c>
      <c r="M24" s="35" t="s">
        <v>54</v>
      </c>
      <c r="N24">
        <v>882</v>
      </c>
      <c r="O24">
        <v>150</v>
      </c>
      <c r="P24" s="36">
        <f>GETPIVOTDATA("Attrited",$M$22,"Gender","Male")/GETPIVOTDATA("Total",$M$22,"Gender","Male")</f>
        <v>0.17006802721088435</v>
      </c>
    </row>
    <row r="25" spans="3:16" ht="15" thickBot="1">
      <c r="C25" s="37" t="s">
        <v>101</v>
      </c>
      <c r="D25" s="38">
        <v>1470</v>
      </c>
      <c r="E25" s="38">
        <v>237</v>
      </c>
      <c r="F25" s="39"/>
      <c r="H25" s="35" t="s">
        <v>44</v>
      </c>
      <c r="I25">
        <v>470</v>
      </c>
      <c r="J25">
        <v>120</v>
      </c>
      <c r="K25" s="36">
        <f>GETPIVOTDATA("attrited",$H$22,"MaritalStatus","Single")/GETPIVOTDATA("Total",$H$22,"MaritalStatus","Single")</f>
        <v>0.25531914893617019</v>
      </c>
      <c r="M25" s="37" t="s">
        <v>101</v>
      </c>
      <c r="N25" s="38">
        <v>1470</v>
      </c>
      <c r="O25" s="38">
        <v>237</v>
      </c>
      <c r="P25" s="39"/>
    </row>
    <row r="26" spans="3:16" ht="15" thickBot="1">
      <c r="H26" s="37" t="s">
        <v>101</v>
      </c>
      <c r="I26" s="38">
        <v>1470</v>
      </c>
      <c r="J26" s="38">
        <v>237</v>
      </c>
      <c r="K26" s="39"/>
    </row>
  </sheetData>
  <mergeCells count="11">
    <mergeCell ref="C1:P1"/>
    <mergeCell ref="C2:P2"/>
    <mergeCell ref="M21:P21"/>
    <mergeCell ref="C5:F5"/>
    <mergeCell ref="C13:F13"/>
    <mergeCell ref="C21:F21"/>
    <mergeCell ref="H5:K5"/>
    <mergeCell ref="H13:K13"/>
    <mergeCell ref="H21:K21"/>
    <mergeCell ref="M5:P5"/>
    <mergeCell ref="M13:P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97A49-06E6-485C-8CFB-06CAA3E11379}">
  <sheetPr codeName="Sheet4"/>
  <dimension ref="D1:T28"/>
  <sheetViews>
    <sheetView zoomScale="78" zoomScaleNormal="78" workbookViewId="0">
      <selection activeCell="K20" sqref="K20"/>
    </sheetView>
  </sheetViews>
  <sheetFormatPr defaultRowHeight="14.4"/>
  <cols>
    <col min="4" max="4" width="24.44140625" bestFit="1" customWidth="1"/>
    <col min="5" max="5" width="15" bestFit="1" customWidth="1"/>
    <col min="6" max="7" width="12" bestFit="1" customWidth="1"/>
    <col min="8" max="8" width="13.5546875" bestFit="1" customWidth="1"/>
    <col min="11" max="11" width="25.5546875" bestFit="1" customWidth="1"/>
    <col min="12" max="12" width="16.44140625" bestFit="1" customWidth="1"/>
    <col min="13" max="13" width="9.6640625" bestFit="1" customWidth="1"/>
    <col min="14" max="14" width="11.33203125" bestFit="1" customWidth="1"/>
    <col min="15" max="15" width="15.77734375" bestFit="1" customWidth="1"/>
    <col min="16" max="16" width="11.44140625" bestFit="1" customWidth="1"/>
    <col min="17" max="17" width="10.77734375" bestFit="1" customWidth="1"/>
  </cols>
  <sheetData>
    <row r="1" spans="4:20" ht="24.6">
      <c r="D1" s="106" t="s">
        <v>125</v>
      </c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</row>
    <row r="2" spans="4:20">
      <c r="D2" s="108" t="s">
        <v>126</v>
      </c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</row>
    <row r="4" spans="4:20" ht="15" thickBot="1"/>
    <row r="5" spans="4:20" ht="25.2" thickBot="1">
      <c r="D5" s="109" t="s">
        <v>127</v>
      </c>
      <c r="E5" s="110"/>
      <c r="F5" s="110"/>
      <c r="G5" s="110"/>
      <c r="H5" s="111"/>
      <c r="I5" s="6"/>
      <c r="K5" s="112" t="s">
        <v>131</v>
      </c>
      <c r="L5" s="112"/>
      <c r="M5" s="112"/>
      <c r="N5" s="112"/>
      <c r="O5" s="112"/>
      <c r="P5" s="112"/>
    </row>
    <row r="6" spans="4:20" ht="15" thickBot="1">
      <c r="D6" s="24" t="s">
        <v>135</v>
      </c>
      <c r="E6" s="29" t="s">
        <v>128</v>
      </c>
      <c r="F6" s="30" t="s">
        <v>129</v>
      </c>
      <c r="G6" s="30" t="s">
        <v>130</v>
      </c>
      <c r="H6" s="31" t="s">
        <v>138</v>
      </c>
      <c r="K6" s="7" t="s">
        <v>102</v>
      </c>
      <c r="L6" s="7" t="s">
        <v>132</v>
      </c>
      <c r="M6" s="7"/>
      <c r="N6" s="7"/>
      <c r="O6" s="7"/>
      <c r="P6" s="7"/>
    </row>
    <row r="7" spans="4:20">
      <c r="D7" s="25" t="s">
        <v>76</v>
      </c>
      <c r="E7" s="20">
        <v>7528.7633587786258</v>
      </c>
      <c r="F7" s="15">
        <v>4000</v>
      </c>
      <c r="G7" s="15">
        <v>13966</v>
      </c>
      <c r="H7" s="21">
        <v>131</v>
      </c>
      <c r="K7" s="7" t="s">
        <v>4</v>
      </c>
      <c r="L7" s="7" t="s">
        <v>71</v>
      </c>
      <c r="M7" s="7" t="s">
        <v>64</v>
      </c>
      <c r="N7" s="7" t="s">
        <v>81</v>
      </c>
      <c r="O7" s="7" t="s">
        <v>46</v>
      </c>
      <c r="P7" s="7" t="s">
        <v>101</v>
      </c>
    </row>
    <row r="8" spans="4:20">
      <c r="D8" s="26" t="s">
        <v>88</v>
      </c>
      <c r="E8" s="22">
        <v>4235.75</v>
      </c>
      <c r="F8" s="16">
        <v>1555</v>
      </c>
      <c r="G8" s="16">
        <v>10725</v>
      </c>
      <c r="H8" s="17">
        <v>52</v>
      </c>
      <c r="K8" s="10" t="s">
        <v>88</v>
      </c>
      <c r="L8" s="11">
        <v>0.23809523809523808</v>
      </c>
      <c r="M8" s="11">
        <v>4.7619047619047616E-2</v>
      </c>
      <c r="N8" s="11">
        <v>0.12698412698412698</v>
      </c>
      <c r="O8" s="11">
        <v>0.58730158730158732</v>
      </c>
      <c r="P8" s="11">
        <v>1</v>
      </c>
    </row>
    <row r="9" spans="4:20">
      <c r="D9" s="26" t="s">
        <v>63</v>
      </c>
      <c r="E9" s="22">
        <v>3237.169884169884</v>
      </c>
      <c r="F9" s="16">
        <v>1102</v>
      </c>
      <c r="G9" s="16">
        <v>7403</v>
      </c>
      <c r="H9" s="17">
        <v>259</v>
      </c>
      <c r="K9" s="10" t="s">
        <v>53</v>
      </c>
      <c r="L9" s="11">
        <v>0.16753381893860561</v>
      </c>
      <c r="M9" s="11">
        <v>2.8095733610822061E-2</v>
      </c>
      <c r="N9" s="11">
        <v>0.13527575442247658</v>
      </c>
      <c r="O9" s="11">
        <v>0.66909469302809577</v>
      </c>
      <c r="P9" s="11">
        <v>1</v>
      </c>
    </row>
    <row r="10" spans="4:20">
      <c r="D10" s="26" t="s">
        <v>79</v>
      </c>
      <c r="E10" s="22">
        <v>17181.676470588234</v>
      </c>
      <c r="F10" s="16">
        <v>11244</v>
      </c>
      <c r="G10" s="16">
        <v>19999</v>
      </c>
      <c r="H10" s="17">
        <v>102</v>
      </c>
      <c r="K10" s="10" t="s">
        <v>40</v>
      </c>
      <c r="L10" s="11">
        <v>0.15919282511210761</v>
      </c>
      <c r="M10" s="11">
        <v>4.0358744394618833E-2</v>
      </c>
      <c r="N10" s="11">
        <v>0.1210762331838565</v>
      </c>
      <c r="O10" s="11">
        <v>0.679372197309417</v>
      </c>
      <c r="P10" s="11">
        <v>1</v>
      </c>
    </row>
    <row r="11" spans="4:20">
      <c r="D11" s="26" t="s">
        <v>75</v>
      </c>
      <c r="E11" s="22">
        <v>7295.1379310344828</v>
      </c>
      <c r="F11" s="16">
        <v>4011</v>
      </c>
      <c r="G11" s="16">
        <v>13973</v>
      </c>
      <c r="H11" s="17">
        <v>145</v>
      </c>
      <c r="K11" s="8" t="s">
        <v>101</v>
      </c>
      <c r="L11" s="9">
        <v>0.16802721088435374</v>
      </c>
      <c r="M11" s="9">
        <v>3.2653061224489799E-2</v>
      </c>
      <c r="N11" s="9">
        <v>0.1306122448979592</v>
      </c>
      <c r="O11" s="9">
        <v>0.66870748299319727</v>
      </c>
      <c r="P11" s="9">
        <v>1</v>
      </c>
    </row>
    <row r="12" spans="4:20">
      <c r="D12" s="26" t="s">
        <v>83</v>
      </c>
      <c r="E12" s="22">
        <v>16033.55</v>
      </c>
      <c r="F12" s="16">
        <v>11031</v>
      </c>
      <c r="G12" s="16">
        <v>19973</v>
      </c>
      <c r="H12" s="17">
        <v>80</v>
      </c>
    </row>
    <row r="13" spans="4:20">
      <c r="D13" s="26" t="s">
        <v>55</v>
      </c>
      <c r="E13" s="22">
        <v>3239.972602739726</v>
      </c>
      <c r="F13" s="16">
        <v>1009</v>
      </c>
      <c r="G13" s="16">
        <v>9724</v>
      </c>
      <c r="H13" s="17">
        <v>292</v>
      </c>
    </row>
    <row r="14" spans="4:20">
      <c r="D14" s="26" t="s">
        <v>43</v>
      </c>
      <c r="E14" s="22">
        <v>6924.2791411042945</v>
      </c>
      <c r="F14" s="16">
        <v>4001</v>
      </c>
      <c r="G14" s="16">
        <v>13872</v>
      </c>
      <c r="H14" s="17">
        <v>326</v>
      </c>
    </row>
    <row r="15" spans="4:20" ht="15" thickBot="1">
      <c r="D15" s="27" t="s">
        <v>82</v>
      </c>
      <c r="E15" s="22">
        <v>2626</v>
      </c>
      <c r="F15" s="16">
        <v>1052</v>
      </c>
      <c r="G15" s="16">
        <v>6632</v>
      </c>
      <c r="H15" s="17">
        <v>83</v>
      </c>
    </row>
    <row r="16" spans="4:20" ht="15" thickBot="1">
      <c r="D16" s="28" t="s">
        <v>101</v>
      </c>
      <c r="E16" s="23">
        <v>6502.931292517007</v>
      </c>
      <c r="F16" s="18">
        <v>1009</v>
      </c>
      <c r="G16" s="18">
        <v>19999</v>
      </c>
      <c r="H16" s="19">
        <v>1470</v>
      </c>
    </row>
    <row r="21" spans="4:9" ht="24.6">
      <c r="D21" s="113" t="s">
        <v>133</v>
      </c>
      <c r="E21" s="113"/>
      <c r="F21" s="113"/>
      <c r="G21" s="113"/>
      <c r="H21" s="113"/>
      <c r="I21" s="14"/>
    </row>
    <row r="22" spans="4:9">
      <c r="D22" s="3" t="s">
        <v>136</v>
      </c>
      <c r="E22" s="3" t="s">
        <v>119</v>
      </c>
      <c r="F22" s="3" t="s">
        <v>137</v>
      </c>
      <c r="G22" s="3" t="s">
        <v>120</v>
      </c>
      <c r="H22" s="3" t="s">
        <v>134</v>
      </c>
      <c r="I22" s="13"/>
    </row>
    <row r="23" spans="4:9">
      <c r="D23" s="4">
        <v>1</v>
      </c>
      <c r="E23">
        <v>543</v>
      </c>
      <c r="F23" s="2">
        <v>2786.9152854511972</v>
      </c>
      <c r="G23">
        <v>143</v>
      </c>
      <c r="H23" s="1">
        <f>GETPIVOTDATA("Attrited",$D$22,"JobLevel",1)/GETPIVOTDATA("Average",$D$22,"JobLevel",1)</f>
        <v>5.1311211627607302E-2</v>
      </c>
    </row>
    <row r="24" spans="4:9">
      <c r="D24" s="4">
        <v>2</v>
      </c>
      <c r="E24">
        <v>534</v>
      </c>
      <c r="F24" s="2">
        <v>5502.2771535580523</v>
      </c>
      <c r="G24">
        <v>52</v>
      </c>
      <c r="H24" s="1">
        <f>GETPIVOTDATA("Attrited",$D$22,"JobLevel",2)/GETPIVOTDATA("Average",$D$22,"JobLevel",2)</f>
        <v>9.4506326287788246E-3</v>
      </c>
    </row>
    <row r="25" spans="4:9">
      <c r="D25" s="4">
        <v>3</v>
      </c>
      <c r="E25">
        <v>218</v>
      </c>
      <c r="F25" s="2">
        <v>9817.2522935779816</v>
      </c>
      <c r="G25">
        <v>32</v>
      </c>
      <c r="H25" s="1">
        <f>GETPIVOTDATA("Attrited",$D$22,"JobLevel",3)/GETPIVOTDATA("Average",$D$22,"JobLevel",3)</f>
        <v>3.2595678549417542E-3</v>
      </c>
    </row>
    <row r="26" spans="4:9">
      <c r="D26" s="4">
        <v>4</v>
      </c>
      <c r="E26">
        <v>106</v>
      </c>
      <c r="F26" s="2">
        <v>15503.783018867925</v>
      </c>
      <c r="G26">
        <v>5</v>
      </c>
      <c r="H26" s="1">
        <f>GETPIVOTDATA("Attrited",$D$22,"JobLevel",4)/GETPIVOTDATA("Average",$D$22,"JobLevel",4)</f>
        <v>3.225019334903654E-4</v>
      </c>
    </row>
    <row r="27" spans="4:9">
      <c r="D27" s="4">
        <v>5</v>
      </c>
      <c r="E27">
        <v>69</v>
      </c>
      <c r="F27" s="2">
        <v>19191.82608695652</v>
      </c>
      <c r="G27">
        <v>5</v>
      </c>
      <c r="H27" s="1">
        <f>GETPIVOTDATA("Attrited",$D$22,"JobLevel",5)/GETPIVOTDATA("Average",$D$22,"JobLevel",5)</f>
        <v>2.6052757967613027E-4</v>
      </c>
    </row>
    <row r="28" spans="4:9">
      <c r="D28" s="12" t="s">
        <v>101</v>
      </c>
      <c r="E28" s="3">
        <v>1470</v>
      </c>
      <c r="F28" s="3">
        <v>6502.931292517007</v>
      </c>
      <c r="G28" s="3">
        <v>237</v>
      </c>
      <c r="H28" s="3"/>
      <c r="I28" s="13"/>
    </row>
  </sheetData>
  <mergeCells count="5">
    <mergeCell ref="D1:T1"/>
    <mergeCell ref="D2:T2"/>
    <mergeCell ref="D5:H5"/>
    <mergeCell ref="K5:P5"/>
    <mergeCell ref="D21:H21"/>
  </mergeCells>
  <conditionalFormatting pivot="1" sqref="E7:E15">
    <cfRule type="colorScale" priority="2">
      <colorScale>
        <cfvo type="min"/>
        <cfvo type="percentile" val="50"/>
        <cfvo type="max"/>
        <color rgb="FFFF9999"/>
        <color rgb="FFFFEB84"/>
        <color rgb="FF99FF99"/>
      </colorScale>
    </cfRule>
  </conditionalFormatting>
  <conditionalFormatting sqref="H23:H27">
    <cfRule type="colorScale" priority="1">
      <colorScale>
        <cfvo type="min"/>
        <cfvo type="percentile" val="50"/>
        <cfvo type="max"/>
        <color rgb="FF63BE7B"/>
        <color rgb="FFFFEB84"/>
        <color rgb="FFFF9999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250CD-9399-45A0-AB3F-9BD2D7E23685}">
  <sheetPr codeName="Sheet5"/>
  <dimension ref="C1:Q112"/>
  <sheetViews>
    <sheetView tabSelected="1" topLeftCell="C8" zoomScale="130" zoomScaleNormal="130" workbookViewId="0">
      <selection activeCell="D5" sqref="D5"/>
    </sheetView>
  </sheetViews>
  <sheetFormatPr defaultRowHeight="14.4"/>
  <cols>
    <col min="1" max="1" width="4.21875" bestFit="1" customWidth="1"/>
    <col min="2" max="2" width="21.88671875" bestFit="1" customWidth="1"/>
    <col min="3" max="3" width="5.109375" bestFit="1" customWidth="1"/>
    <col min="4" max="4" width="21.88671875" bestFit="1" customWidth="1"/>
    <col min="5" max="5" width="20.44140625" bestFit="1" customWidth="1"/>
    <col min="6" max="6" width="20.5546875" bestFit="1" customWidth="1"/>
    <col min="7" max="7" width="19.33203125" bestFit="1" customWidth="1"/>
    <col min="8" max="8" width="15.77734375" bestFit="1" customWidth="1"/>
    <col min="9" max="9" width="20.6640625" bestFit="1" customWidth="1"/>
    <col min="10" max="10" width="19.21875" bestFit="1" customWidth="1"/>
    <col min="11" max="11" width="19.33203125" bestFit="1" customWidth="1"/>
    <col min="12" max="12" width="28.33203125" bestFit="1" customWidth="1"/>
    <col min="13" max="13" width="11.21875" bestFit="1" customWidth="1"/>
    <col min="14" max="14" width="14.33203125" bestFit="1" customWidth="1"/>
    <col min="15" max="15" width="11.33203125" bestFit="1" customWidth="1"/>
    <col min="16" max="16" width="11.21875" bestFit="1" customWidth="1"/>
    <col min="17" max="17" width="14" bestFit="1" customWidth="1"/>
    <col min="18" max="18" width="18.33203125" bestFit="1" customWidth="1"/>
    <col min="19" max="19" width="19.77734375" bestFit="1" customWidth="1"/>
    <col min="20" max="20" width="9" bestFit="1" customWidth="1"/>
    <col min="21" max="21" width="15.77734375" bestFit="1" customWidth="1"/>
    <col min="22" max="22" width="16.77734375" bestFit="1" customWidth="1"/>
    <col min="23" max="23" width="20.77734375" bestFit="1" customWidth="1"/>
    <col min="24" max="24" width="15.33203125" bestFit="1" customWidth="1"/>
    <col min="25" max="25" width="16.5546875" bestFit="1" customWidth="1"/>
    <col min="26" max="26" width="19.44140625" bestFit="1" customWidth="1"/>
    <col min="27" max="28" width="15" bestFit="1" customWidth="1"/>
    <col min="29" max="29" width="16.88671875" bestFit="1" customWidth="1"/>
    <col min="30" max="30" width="22" bestFit="1" customWidth="1"/>
    <col min="31" max="31" width="20.21875" bestFit="1" customWidth="1"/>
    <col min="32" max="32" width="9" bestFit="1" customWidth="1"/>
    <col min="33" max="33" width="14.33203125" bestFit="1" customWidth="1"/>
    <col min="34" max="34" width="11" bestFit="1" customWidth="1"/>
    <col min="35" max="35" width="10.77734375" bestFit="1" customWidth="1"/>
    <col min="36" max="36" width="13.5546875" bestFit="1" customWidth="1"/>
    <col min="37" max="37" width="17.88671875" bestFit="1" customWidth="1"/>
    <col min="38" max="38" width="19.44140625" bestFit="1" customWidth="1"/>
    <col min="39" max="39" width="8.77734375" bestFit="1" customWidth="1"/>
  </cols>
  <sheetData>
    <row r="1" spans="3:17" ht="22.8">
      <c r="C1" s="115" t="s">
        <v>146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45"/>
      <c r="O1" s="45"/>
      <c r="P1" s="45"/>
      <c r="Q1" s="45"/>
    </row>
    <row r="2" spans="3:17" ht="15" thickBot="1">
      <c r="C2" s="117" t="s">
        <v>139</v>
      </c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46"/>
      <c r="O2" s="46"/>
      <c r="P2" s="46"/>
      <c r="Q2" s="46"/>
    </row>
    <row r="5" spans="3:17" ht="15.6">
      <c r="E5" s="65"/>
      <c r="F5" s="66" t="s">
        <v>142</v>
      </c>
      <c r="G5" s="67" t="s">
        <v>143</v>
      </c>
      <c r="H5" s="68" t="s">
        <v>144</v>
      </c>
      <c r="I5" s="69" t="s">
        <v>145</v>
      </c>
      <c r="K5" s="64"/>
    </row>
    <row r="6" spans="3:17" ht="15.6">
      <c r="F6" s="70">
        <f>COUNTA(C12:C108)</f>
        <v>97</v>
      </c>
      <c r="G6" s="71">
        <v>3</v>
      </c>
      <c r="H6" s="72">
        <f>AVERAGE(H12:H108)</f>
        <v>7239.0103092783502</v>
      </c>
      <c r="I6" s="73">
        <f>AVERAGE(K12:K108)</f>
        <v>8.1030927835051543</v>
      </c>
    </row>
    <row r="11" spans="3:17" s="5" customFormat="1" ht="18">
      <c r="C11" s="47" t="s">
        <v>0</v>
      </c>
      <c r="D11" s="47" t="s">
        <v>4</v>
      </c>
      <c r="E11" s="47" t="s">
        <v>8</v>
      </c>
      <c r="F11" s="47" t="s">
        <v>14</v>
      </c>
      <c r="G11" s="47" t="s">
        <v>15</v>
      </c>
      <c r="H11" s="47" t="s">
        <v>17</v>
      </c>
      <c r="I11" s="47" t="s">
        <v>20</v>
      </c>
      <c r="J11" s="47" t="s">
        <v>27</v>
      </c>
      <c r="K11" s="47" t="s">
        <v>28</v>
      </c>
      <c r="L11" s="47" t="s">
        <v>30</v>
      </c>
      <c r="M11" s="47" t="s">
        <v>140</v>
      </c>
    </row>
    <row r="12" spans="3:17">
      <c r="C12">
        <v>55</v>
      </c>
      <c r="D12" t="s">
        <v>53</v>
      </c>
      <c r="E12">
        <v>1278</v>
      </c>
      <c r="F12" t="s">
        <v>76</v>
      </c>
      <c r="G12">
        <v>2</v>
      </c>
      <c r="H12">
        <v>13577</v>
      </c>
      <c r="I12" t="s">
        <v>38</v>
      </c>
      <c r="J12">
        <v>3</v>
      </c>
      <c r="K12">
        <v>33</v>
      </c>
      <c r="L12">
        <v>15</v>
      </c>
      <c r="M12">
        <v>18</v>
      </c>
    </row>
    <row r="13" spans="3:17">
      <c r="C13">
        <v>39</v>
      </c>
      <c r="D13" t="s">
        <v>53</v>
      </c>
      <c r="E13">
        <v>1307</v>
      </c>
      <c r="F13" t="s">
        <v>79</v>
      </c>
      <c r="G13">
        <v>2</v>
      </c>
      <c r="H13">
        <v>17123</v>
      </c>
      <c r="I13" t="s">
        <v>38</v>
      </c>
      <c r="J13">
        <v>3</v>
      </c>
      <c r="K13">
        <v>19</v>
      </c>
      <c r="L13">
        <v>15</v>
      </c>
      <c r="M13">
        <v>18</v>
      </c>
    </row>
    <row r="14" spans="3:17">
      <c r="C14">
        <v>56</v>
      </c>
      <c r="D14" t="s">
        <v>53</v>
      </c>
      <c r="E14">
        <v>1373</v>
      </c>
      <c r="F14" t="s">
        <v>75</v>
      </c>
      <c r="G14">
        <v>2</v>
      </c>
      <c r="H14">
        <v>13402</v>
      </c>
      <c r="I14" t="s">
        <v>38</v>
      </c>
      <c r="J14">
        <v>3</v>
      </c>
      <c r="K14">
        <v>19</v>
      </c>
      <c r="L14">
        <v>15</v>
      </c>
      <c r="M14">
        <v>18</v>
      </c>
    </row>
    <row r="15" spans="3:17">
      <c r="C15">
        <v>46</v>
      </c>
      <c r="D15" t="s">
        <v>53</v>
      </c>
      <c r="E15">
        <v>124</v>
      </c>
      <c r="F15" t="s">
        <v>76</v>
      </c>
      <c r="G15">
        <v>1</v>
      </c>
      <c r="H15">
        <v>10673</v>
      </c>
      <c r="I15" t="s">
        <v>38</v>
      </c>
      <c r="J15">
        <v>2</v>
      </c>
      <c r="K15">
        <v>10</v>
      </c>
      <c r="L15">
        <v>9</v>
      </c>
      <c r="M15">
        <v>17</v>
      </c>
    </row>
    <row r="16" spans="3:17">
      <c r="C16">
        <v>39</v>
      </c>
      <c r="D16" t="s">
        <v>53</v>
      </c>
      <c r="E16">
        <v>429</v>
      </c>
      <c r="F16" t="s">
        <v>79</v>
      </c>
      <c r="G16">
        <v>1</v>
      </c>
      <c r="H16">
        <v>17068</v>
      </c>
      <c r="I16" t="s">
        <v>38</v>
      </c>
      <c r="J16">
        <v>3</v>
      </c>
      <c r="K16">
        <v>21</v>
      </c>
      <c r="L16">
        <v>11</v>
      </c>
      <c r="M16">
        <v>17</v>
      </c>
    </row>
    <row r="17" spans="3:13">
      <c r="C17">
        <v>47</v>
      </c>
      <c r="D17" t="s">
        <v>53</v>
      </c>
      <c r="E17">
        <v>1827</v>
      </c>
      <c r="F17" t="s">
        <v>75</v>
      </c>
      <c r="G17">
        <v>2</v>
      </c>
      <c r="H17">
        <v>10333</v>
      </c>
      <c r="I17" t="s">
        <v>38</v>
      </c>
      <c r="J17">
        <v>3</v>
      </c>
      <c r="K17">
        <v>22</v>
      </c>
      <c r="L17">
        <v>14</v>
      </c>
      <c r="M17">
        <v>17</v>
      </c>
    </row>
    <row r="18" spans="3:13">
      <c r="C18">
        <v>51</v>
      </c>
      <c r="D18" t="s">
        <v>40</v>
      </c>
      <c r="E18">
        <v>1282</v>
      </c>
      <c r="F18" t="s">
        <v>79</v>
      </c>
      <c r="G18">
        <v>2</v>
      </c>
      <c r="H18">
        <v>19847</v>
      </c>
      <c r="I18" t="s">
        <v>38</v>
      </c>
      <c r="J18">
        <v>2</v>
      </c>
      <c r="K18">
        <v>29</v>
      </c>
      <c r="L18">
        <v>11</v>
      </c>
      <c r="M18">
        <v>16</v>
      </c>
    </row>
    <row r="19" spans="3:13">
      <c r="C19">
        <v>32</v>
      </c>
      <c r="D19" t="s">
        <v>40</v>
      </c>
      <c r="E19">
        <v>436</v>
      </c>
      <c r="F19" t="s">
        <v>43</v>
      </c>
      <c r="G19">
        <v>2</v>
      </c>
      <c r="H19">
        <v>5228</v>
      </c>
      <c r="I19" t="s">
        <v>38</v>
      </c>
      <c r="J19">
        <v>3</v>
      </c>
      <c r="K19">
        <v>13</v>
      </c>
      <c r="L19">
        <v>11</v>
      </c>
      <c r="M19">
        <v>14</v>
      </c>
    </row>
    <row r="20" spans="3:13">
      <c r="C20">
        <v>27</v>
      </c>
      <c r="D20" t="s">
        <v>53</v>
      </c>
      <c r="E20">
        <v>1244</v>
      </c>
      <c r="F20" t="s">
        <v>55</v>
      </c>
      <c r="G20">
        <v>1</v>
      </c>
      <c r="H20">
        <v>2235</v>
      </c>
      <c r="I20" t="s">
        <v>38</v>
      </c>
      <c r="J20">
        <v>2</v>
      </c>
      <c r="K20">
        <v>9</v>
      </c>
      <c r="L20">
        <v>6</v>
      </c>
      <c r="M20">
        <v>14</v>
      </c>
    </row>
    <row r="21" spans="3:13">
      <c r="C21">
        <v>42</v>
      </c>
      <c r="D21" t="s">
        <v>53</v>
      </c>
      <c r="E21">
        <v>351</v>
      </c>
      <c r="F21" t="s">
        <v>63</v>
      </c>
      <c r="G21">
        <v>1</v>
      </c>
      <c r="H21">
        <v>2593</v>
      </c>
      <c r="I21" t="s">
        <v>38</v>
      </c>
      <c r="J21">
        <v>3</v>
      </c>
      <c r="K21">
        <v>9</v>
      </c>
      <c r="L21">
        <v>7</v>
      </c>
      <c r="M21">
        <v>13</v>
      </c>
    </row>
    <row r="22" spans="3:13">
      <c r="C22">
        <v>38</v>
      </c>
      <c r="D22" t="s">
        <v>40</v>
      </c>
      <c r="E22">
        <v>382</v>
      </c>
      <c r="F22" t="s">
        <v>43</v>
      </c>
      <c r="G22">
        <v>1</v>
      </c>
      <c r="H22">
        <v>5605</v>
      </c>
      <c r="I22" t="s">
        <v>38</v>
      </c>
      <c r="J22">
        <v>3</v>
      </c>
      <c r="K22">
        <v>8</v>
      </c>
      <c r="L22">
        <v>7</v>
      </c>
      <c r="M22">
        <v>13</v>
      </c>
    </row>
    <row r="23" spans="3:13">
      <c r="C23">
        <v>42</v>
      </c>
      <c r="D23" t="s">
        <v>53</v>
      </c>
      <c r="E23">
        <v>605</v>
      </c>
      <c r="F23" t="s">
        <v>75</v>
      </c>
      <c r="G23">
        <v>1</v>
      </c>
      <c r="H23">
        <v>7406</v>
      </c>
      <c r="I23" t="s">
        <v>38</v>
      </c>
      <c r="J23">
        <v>2</v>
      </c>
      <c r="K23">
        <v>10</v>
      </c>
      <c r="L23">
        <v>5</v>
      </c>
      <c r="M23">
        <v>13</v>
      </c>
    </row>
    <row r="24" spans="3:13">
      <c r="C24">
        <v>44</v>
      </c>
      <c r="D24" t="s">
        <v>53</v>
      </c>
      <c r="E24">
        <v>913</v>
      </c>
      <c r="F24" t="s">
        <v>55</v>
      </c>
      <c r="G24">
        <v>1</v>
      </c>
      <c r="H24">
        <v>2559</v>
      </c>
      <c r="I24" t="s">
        <v>38</v>
      </c>
      <c r="J24">
        <v>3</v>
      </c>
      <c r="K24">
        <v>8</v>
      </c>
      <c r="L24">
        <v>7</v>
      </c>
      <c r="M24">
        <v>13</v>
      </c>
    </row>
    <row r="25" spans="3:13">
      <c r="C25">
        <v>36</v>
      </c>
      <c r="D25" t="s">
        <v>53</v>
      </c>
      <c r="E25">
        <v>1237</v>
      </c>
      <c r="F25" t="s">
        <v>75</v>
      </c>
      <c r="G25">
        <v>1</v>
      </c>
      <c r="H25">
        <v>10252</v>
      </c>
      <c r="I25" t="s">
        <v>38</v>
      </c>
      <c r="J25">
        <v>3</v>
      </c>
      <c r="K25">
        <v>7</v>
      </c>
      <c r="L25">
        <v>7</v>
      </c>
      <c r="M25">
        <v>13</v>
      </c>
    </row>
    <row r="26" spans="3:13">
      <c r="C26">
        <v>46</v>
      </c>
      <c r="D26" t="s">
        <v>40</v>
      </c>
      <c r="E26">
        <v>363</v>
      </c>
      <c r="F26" t="s">
        <v>79</v>
      </c>
      <c r="G26">
        <v>2</v>
      </c>
      <c r="H26">
        <v>16872</v>
      </c>
      <c r="I26" t="s">
        <v>38</v>
      </c>
      <c r="J26">
        <v>2</v>
      </c>
      <c r="K26">
        <v>7</v>
      </c>
      <c r="L26">
        <v>7</v>
      </c>
      <c r="M26">
        <v>12</v>
      </c>
    </row>
    <row r="27" spans="3:13">
      <c r="C27">
        <v>37</v>
      </c>
      <c r="D27" t="s">
        <v>53</v>
      </c>
      <c r="E27">
        <v>474</v>
      </c>
      <c r="F27" t="s">
        <v>55</v>
      </c>
      <c r="G27">
        <v>1</v>
      </c>
      <c r="H27">
        <v>5974</v>
      </c>
      <c r="I27" t="s">
        <v>38</v>
      </c>
      <c r="J27">
        <v>3</v>
      </c>
      <c r="K27">
        <v>7</v>
      </c>
      <c r="L27">
        <v>6</v>
      </c>
      <c r="M27">
        <v>12</v>
      </c>
    </row>
    <row r="28" spans="3:13">
      <c r="C28">
        <v>52</v>
      </c>
      <c r="D28" t="s">
        <v>53</v>
      </c>
      <c r="E28">
        <v>630</v>
      </c>
      <c r="F28" t="s">
        <v>55</v>
      </c>
      <c r="G28">
        <v>1</v>
      </c>
      <c r="H28">
        <v>5577</v>
      </c>
      <c r="I28" t="s">
        <v>38</v>
      </c>
      <c r="J28">
        <v>3</v>
      </c>
      <c r="K28">
        <v>10</v>
      </c>
      <c r="L28">
        <v>6</v>
      </c>
      <c r="M28">
        <v>12</v>
      </c>
    </row>
    <row r="29" spans="3:13">
      <c r="C29">
        <v>37</v>
      </c>
      <c r="D29" t="s">
        <v>53</v>
      </c>
      <c r="E29">
        <v>802</v>
      </c>
      <c r="F29" t="s">
        <v>55</v>
      </c>
      <c r="G29">
        <v>1</v>
      </c>
      <c r="H29">
        <v>2782</v>
      </c>
      <c r="I29" t="s">
        <v>38</v>
      </c>
      <c r="J29">
        <v>2</v>
      </c>
      <c r="K29">
        <v>5</v>
      </c>
      <c r="L29">
        <v>4</v>
      </c>
      <c r="M29">
        <v>12</v>
      </c>
    </row>
    <row r="30" spans="3:13">
      <c r="C30">
        <v>36</v>
      </c>
      <c r="D30" t="s">
        <v>53</v>
      </c>
      <c r="E30">
        <v>1790</v>
      </c>
      <c r="F30" t="s">
        <v>76</v>
      </c>
      <c r="G30">
        <v>1</v>
      </c>
      <c r="H30">
        <v>8321</v>
      </c>
      <c r="I30" t="s">
        <v>38</v>
      </c>
      <c r="J30">
        <v>3</v>
      </c>
      <c r="K30">
        <v>12</v>
      </c>
      <c r="L30">
        <v>5</v>
      </c>
      <c r="M30">
        <v>11</v>
      </c>
    </row>
    <row r="31" spans="3:13">
      <c r="C31">
        <v>55</v>
      </c>
      <c r="D31" t="s">
        <v>53</v>
      </c>
      <c r="E31">
        <v>374</v>
      </c>
      <c r="F31" t="s">
        <v>79</v>
      </c>
      <c r="G31">
        <v>1</v>
      </c>
      <c r="H31">
        <v>19045</v>
      </c>
      <c r="I31" t="s">
        <v>38</v>
      </c>
      <c r="J31">
        <v>3</v>
      </c>
      <c r="K31">
        <v>36</v>
      </c>
      <c r="L31">
        <v>4</v>
      </c>
      <c r="M31">
        <v>10</v>
      </c>
    </row>
    <row r="32" spans="3:13">
      <c r="C32">
        <v>38</v>
      </c>
      <c r="D32" t="s">
        <v>53</v>
      </c>
      <c r="E32">
        <v>803</v>
      </c>
      <c r="F32" t="s">
        <v>75</v>
      </c>
      <c r="G32">
        <v>1</v>
      </c>
      <c r="H32">
        <v>5980</v>
      </c>
      <c r="I32" t="s">
        <v>38</v>
      </c>
      <c r="J32">
        <v>3</v>
      </c>
      <c r="K32">
        <v>15</v>
      </c>
      <c r="L32">
        <v>4</v>
      </c>
      <c r="M32">
        <v>10</v>
      </c>
    </row>
    <row r="33" spans="3:13">
      <c r="C33">
        <v>28</v>
      </c>
      <c r="D33" t="s">
        <v>40</v>
      </c>
      <c r="E33">
        <v>846</v>
      </c>
      <c r="F33" t="s">
        <v>43</v>
      </c>
      <c r="G33">
        <v>2</v>
      </c>
      <c r="H33">
        <v>4779</v>
      </c>
      <c r="I33" t="s">
        <v>38</v>
      </c>
      <c r="J33">
        <v>3</v>
      </c>
      <c r="K33">
        <v>8</v>
      </c>
      <c r="L33">
        <v>7</v>
      </c>
      <c r="M33">
        <v>10</v>
      </c>
    </row>
    <row r="34" spans="3:13">
      <c r="C34">
        <v>49</v>
      </c>
      <c r="D34" t="s">
        <v>53</v>
      </c>
      <c r="E34">
        <v>1674</v>
      </c>
      <c r="F34" t="s">
        <v>63</v>
      </c>
      <c r="G34">
        <v>1</v>
      </c>
      <c r="H34">
        <v>2587</v>
      </c>
      <c r="I34" t="s">
        <v>38</v>
      </c>
      <c r="J34">
        <v>2</v>
      </c>
      <c r="K34">
        <v>2</v>
      </c>
      <c r="L34">
        <v>2</v>
      </c>
      <c r="M34">
        <v>10</v>
      </c>
    </row>
    <row r="35" spans="3:13">
      <c r="C35">
        <v>44</v>
      </c>
      <c r="D35" t="s">
        <v>40</v>
      </c>
      <c r="E35">
        <v>68</v>
      </c>
      <c r="F35" t="s">
        <v>43</v>
      </c>
      <c r="G35">
        <v>1</v>
      </c>
      <c r="H35">
        <v>5454</v>
      </c>
      <c r="I35" t="s">
        <v>38</v>
      </c>
      <c r="J35">
        <v>2</v>
      </c>
      <c r="K35">
        <v>4</v>
      </c>
      <c r="L35">
        <v>1</v>
      </c>
      <c r="M35">
        <v>9</v>
      </c>
    </row>
    <row r="36" spans="3:13">
      <c r="C36">
        <v>37</v>
      </c>
      <c r="D36" t="s">
        <v>53</v>
      </c>
      <c r="E36">
        <v>267</v>
      </c>
      <c r="F36" t="s">
        <v>55</v>
      </c>
      <c r="G36">
        <v>1</v>
      </c>
      <c r="H36">
        <v>3564</v>
      </c>
      <c r="I36" t="s">
        <v>38</v>
      </c>
      <c r="J36">
        <v>2</v>
      </c>
      <c r="K36">
        <v>8</v>
      </c>
      <c r="L36">
        <v>1</v>
      </c>
      <c r="M36">
        <v>9</v>
      </c>
    </row>
    <row r="37" spans="3:13">
      <c r="C37">
        <v>26</v>
      </c>
      <c r="D37" t="s">
        <v>53</v>
      </c>
      <c r="E37">
        <v>390</v>
      </c>
      <c r="F37" t="s">
        <v>76</v>
      </c>
      <c r="G37">
        <v>1</v>
      </c>
      <c r="H37">
        <v>4741</v>
      </c>
      <c r="I37" t="s">
        <v>38</v>
      </c>
      <c r="J37">
        <v>3</v>
      </c>
      <c r="K37">
        <v>5</v>
      </c>
      <c r="L37">
        <v>3</v>
      </c>
      <c r="M37">
        <v>9</v>
      </c>
    </row>
    <row r="38" spans="3:13">
      <c r="C38">
        <v>30</v>
      </c>
      <c r="D38" t="s">
        <v>53</v>
      </c>
      <c r="E38">
        <v>1015</v>
      </c>
      <c r="F38" t="s">
        <v>83</v>
      </c>
      <c r="G38">
        <v>1</v>
      </c>
      <c r="H38">
        <v>11416</v>
      </c>
      <c r="I38" t="s">
        <v>38</v>
      </c>
      <c r="J38">
        <v>2</v>
      </c>
      <c r="K38">
        <v>8</v>
      </c>
      <c r="L38">
        <v>1</v>
      </c>
      <c r="M38">
        <v>9</v>
      </c>
    </row>
    <row r="39" spans="3:13">
      <c r="C39">
        <v>55</v>
      </c>
      <c r="D39" t="s">
        <v>53</v>
      </c>
      <c r="E39">
        <v>1034</v>
      </c>
      <c r="F39" t="s">
        <v>76</v>
      </c>
      <c r="G39">
        <v>2</v>
      </c>
      <c r="H39">
        <v>6385</v>
      </c>
      <c r="I39" t="s">
        <v>38</v>
      </c>
      <c r="J39">
        <v>3</v>
      </c>
      <c r="K39">
        <v>8</v>
      </c>
      <c r="L39">
        <v>6</v>
      </c>
      <c r="M39">
        <v>9</v>
      </c>
    </row>
    <row r="40" spans="3:13">
      <c r="C40">
        <v>42</v>
      </c>
      <c r="D40" t="s">
        <v>53</v>
      </c>
      <c r="E40">
        <v>1998</v>
      </c>
      <c r="F40" t="s">
        <v>55</v>
      </c>
      <c r="G40">
        <v>1</v>
      </c>
      <c r="H40">
        <v>5410</v>
      </c>
      <c r="I40" t="s">
        <v>38</v>
      </c>
      <c r="J40">
        <v>2</v>
      </c>
      <c r="K40">
        <v>4</v>
      </c>
      <c r="L40">
        <v>1</v>
      </c>
      <c r="M40">
        <v>9</v>
      </c>
    </row>
    <row r="41" spans="3:13">
      <c r="C41">
        <v>59</v>
      </c>
      <c r="D41" t="s">
        <v>53</v>
      </c>
      <c r="E41">
        <v>10</v>
      </c>
      <c r="F41" t="s">
        <v>63</v>
      </c>
      <c r="G41">
        <v>1</v>
      </c>
      <c r="H41">
        <v>2670</v>
      </c>
      <c r="I41" t="s">
        <v>38</v>
      </c>
      <c r="J41">
        <v>2</v>
      </c>
      <c r="K41">
        <v>1</v>
      </c>
      <c r="L41">
        <v>0</v>
      </c>
      <c r="M41">
        <v>8</v>
      </c>
    </row>
    <row r="42" spans="3:13">
      <c r="C42">
        <v>35</v>
      </c>
      <c r="D42" t="s">
        <v>53</v>
      </c>
      <c r="E42">
        <v>70</v>
      </c>
      <c r="F42" t="s">
        <v>76</v>
      </c>
      <c r="G42">
        <v>1</v>
      </c>
      <c r="H42">
        <v>9884</v>
      </c>
      <c r="I42" t="s">
        <v>38</v>
      </c>
      <c r="J42">
        <v>3</v>
      </c>
      <c r="K42">
        <v>4</v>
      </c>
      <c r="L42">
        <v>2</v>
      </c>
      <c r="M42">
        <v>8</v>
      </c>
    </row>
    <row r="43" spans="3:13">
      <c r="C43">
        <v>35</v>
      </c>
      <c r="D43" t="s">
        <v>53</v>
      </c>
      <c r="E43">
        <v>75</v>
      </c>
      <c r="F43" t="s">
        <v>63</v>
      </c>
      <c r="G43">
        <v>1</v>
      </c>
      <c r="H43">
        <v>4014</v>
      </c>
      <c r="I43" t="s">
        <v>38</v>
      </c>
      <c r="J43">
        <v>3</v>
      </c>
      <c r="K43">
        <v>2</v>
      </c>
      <c r="L43">
        <v>2</v>
      </c>
      <c r="M43">
        <v>8</v>
      </c>
    </row>
    <row r="44" spans="3:13">
      <c r="C44">
        <v>56</v>
      </c>
      <c r="D44" t="s">
        <v>53</v>
      </c>
      <c r="E44">
        <v>241</v>
      </c>
      <c r="F44" t="s">
        <v>55</v>
      </c>
      <c r="G44">
        <v>1</v>
      </c>
      <c r="H44">
        <v>4257</v>
      </c>
      <c r="I44" t="s">
        <v>38</v>
      </c>
      <c r="J44">
        <v>3</v>
      </c>
      <c r="K44">
        <v>2</v>
      </c>
      <c r="L44">
        <v>2</v>
      </c>
      <c r="M44">
        <v>8</v>
      </c>
    </row>
    <row r="45" spans="3:13">
      <c r="C45">
        <v>41</v>
      </c>
      <c r="D45" t="s">
        <v>53</v>
      </c>
      <c r="E45">
        <v>957</v>
      </c>
      <c r="F45" t="s">
        <v>63</v>
      </c>
      <c r="G45">
        <v>1</v>
      </c>
      <c r="H45">
        <v>4721</v>
      </c>
      <c r="I45" t="s">
        <v>38</v>
      </c>
      <c r="J45">
        <v>3</v>
      </c>
      <c r="K45">
        <v>18</v>
      </c>
      <c r="L45">
        <v>2</v>
      </c>
      <c r="M45">
        <v>8</v>
      </c>
    </row>
    <row r="46" spans="3:13">
      <c r="C46">
        <v>39</v>
      </c>
      <c r="D46" t="s">
        <v>53</v>
      </c>
      <c r="E46">
        <v>1043</v>
      </c>
      <c r="F46" t="s">
        <v>75</v>
      </c>
      <c r="G46">
        <v>1</v>
      </c>
      <c r="H46">
        <v>10880</v>
      </c>
      <c r="I46" t="s">
        <v>38</v>
      </c>
      <c r="J46">
        <v>3</v>
      </c>
      <c r="K46">
        <v>21</v>
      </c>
      <c r="L46">
        <v>2</v>
      </c>
      <c r="M46">
        <v>8</v>
      </c>
    </row>
    <row r="47" spans="3:13">
      <c r="C47">
        <v>30</v>
      </c>
      <c r="D47" t="s">
        <v>53</v>
      </c>
      <c r="E47">
        <v>1241</v>
      </c>
      <c r="F47" t="s">
        <v>55</v>
      </c>
      <c r="G47">
        <v>2</v>
      </c>
      <c r="H47">
        <v>3579</v>
      </c>
      <c r="I47" t="s">
        <v>38</v>
      </c>
      <c r="J47">
        <v>3</v>
      </c>
      <c r="K47">
        <v>11</v>
      </c>
      <c r="L47">
        <v>5</v>
      </c>
      <c r="M47">
        <v>8</v>
      </c>
    </row>
    <row r="48" spans="3:13">
      <c r="C48">
        <v>31</v>
      </c>
      <c r="D48" t="s">
        <v>53</v>
      </c>
      <c r="E48">
        <v>1251</v>
      </c>
      <c r="F48" t="s">
        <v>76</v>
      </c>
      <c r="G48">
        <v>1</v>
      </c>
      <c r="H48">
        <v>6833</v>
      </c>
      <c r="I48" t="s">
        <v>38</v>
      </c>
      <c r="J48">
        <v>2</v>
      </c>
      <c r="K48">
        <v>6</v>
      </c>
      <c r="L48">
        <v>0</v>
      </c>
      <c r="M48">
        <v>8</v>
      </c>
    </row>
    <row r="49" spans="3:13">
      <c r="C49">
        <v>36</v>
      </c>
      <c r="D49" t="s">
        <v>53</v>
      </c>
      <c r="E49">
        <v>1294</v>
      </c>
      <c r="F49" t="s">
        <v>75</v>
      </c>
      <c r="G49">
        <v>2</v>
      </c>
      <c r="H49">
        <v>5410</v>
      </c>
      <c r="I49" t="s">
        <v>38</v>
      </c>
      <c r="J49">
        <v>3</v>
      </c>
      <c r="K49">
        <v>16</v>
      </c>
      <c r="L49">
        <v>5</v>
      </c>
      <c r="M49">
        <v>8</v>
      </c>
    </row>
    <row r="50" spans="3:13">
      <c r="C50">
        <v>30</v>
      </c>
      <c r="D50" t="s">
        <v>40</v>
      </c>
      <c r="E50">
        <v>121</v>
      </c>
      <c r="F50" t="s">
        <v>43</v>
      </c>
      <c r="G50">
        <v>2</v>
      </c>
      <c r="H50">
        <v>5209</v>
      </c>
      <c r="I50" t="s">
        <v>38</v>
      </c>
      <c r="J50">
        <v>2</v>
      </c>
      <c r="K50">
        <v>11</v>
      </c>
      <c r="L50">
        <v>2</v>
      </c>
      <c r="M50">
        <v>7</v>
      </c>
    </row>
    <row r="51" spans="3:13">
      <c r="C51">
        <v>22</v>
      </c>
      <c r="D51" t="s">
        <v>53</v>
      </c>
      <c r="E51">
        <v>284</v>
      </c>
      <c r="F51" t="s">
        <v>55</v>
      </c>
      <c r="G51">
        <v>2</v>
      </c>
      <c r="H51">
        <v>2328</v>
      </c>
      <c r="I51" t="s">
        <v>38</v>
      </c>
      <c r="J51">
        <v>2</v>
      </c>
      <c r="K51">
        <v>4</v>
      </c>
      <c r="L51">
        <v>2</v>
      </c>
      <c r="M51">
        <v>7</v>
      </c>
    </row>
    <row r="52" spans="3:13">
      <c r="C52">
        <v>49</v>
      </c>
      <c r="D52" t="s">
        <v>53</v>
      </c>
      <c r="E52">
        <v>396</v>
      </c>
      <c r="F52" t="s">
        <v>83</v>
      </c>
      <c r="G52">
        <v>1</v>
      </c>
      <c r="H52">
        <v>18665</v>
      </c>
      <c r="I52" t="s">
        <v>38</v>
      </c>
      <c r="J52">
        <v>3</v>
      </c>
      <c r="K52">
        <v>3</v>
      </c>
      <c r="L52">
        <v>1</v>
      </c>
      <c r="M52">
        <v>7</v>
      </c>
    </row>
    <row r="53" spans="3:13">
      <c r="C53">
        <v>40</v>
      </c>
      <c r="D53" t="s">
        <v>40</v>
      </c>
      <c r="E53">
        <v>729</v>
      </c>
      <c r="F53" t="s">
        <v>43</v>
      </c>
      <c r="G53">
        <v>1</v>
      </c>
      <c r="H53">
        <v>10475</v>
      </c>
      <c r="I53" t="s">
        <v>38</v>
      </c>
      <c r="J53">
        <v>3</v>
      </c>
      <c r="K53">
        <v>18</v>
      </c>
      <c r="L53">
        <v>1</v>
      </c>
      <c r="M53">
        <v>7</v>
      </c>
    </row>
    <row r="54" spans="3:13">
      <c r="C54">
        <v>54</v>
      </c>
      <c r="D54" t="s">
        <v>53</v>
      </c>
      <c r="E54">
        <v>799</v>
      </c>
      <c r="F54" t="s">
        <v>75</v>
      </c>
      <c r="G54">
        <v>1</v>
      </c>
      <c r="H54">
        <v>5485</v>
      </c>
      <c r="I54" t="s">
        <v>38</v>
      </c>
      <c r="J54">
        <v>3</v>
      </c>
      <c r="K54">
        <v>5</v>
      </c>
      <c r="L54">
        <v>1</v>
      </c>
      <c r="M54">
        <v>7</v>
      </c>
    </row>
    <row r="55" spans="3:13">
      <c r="C55">
        <v>46</v>
      </c>
      <c r="D55" t="s">
        <v>53</v>
      </c>
      <c r="E55">
        <v>1080</v>
      </c>
      <c r="F55" t="s">
        <v>55</v>
      </c>
      <c r="G55">
        <v>1</v>
      </c>
      <c r="H55">
        <v>4615</v>
      </c>
      <c r="I55" t="s">
        <v>38</v>
      </c>
      <c r="J55">
        <v>3</v>
      </c>
      <c r="K55">
        <v>16</v>
      </c>
      <c r="L55">
        <v>1</v>
      </c>
      <c r="M55">
        <v>7</v>
      </c>
    </row>
    <row r="56" spans="3:13">
      <c r="C56">
        <v>35</v>
      </c>
      <c r="D56" t="s">
        <v>40</v>
      </c>
      <c r="E56">
        <v>1218</v>
      </c>
      <c r="F56" t="s">
        <v>43</v>
      </c>
      <c r="G56">
        <v>1</v>
      </c>
      <c r="H56">
        <v>8966</v>
      </c>
      <c r="I56" t="s">
        <v>38</v>
      </c>
      <c r="J56">
        <v>3</v>
      </c>
      <c r="K56">
        <v>7</v>
      </c>
      <c r="L56">
        <v>1</v>
      </c>
      <c r="M56">
        <v>7</v>
      </c>
    </row>
    <row r="57" spans="3:13">
      <c r="C57">
        <v>50</v>
      </c>
      <c r="D57" t="s">
        <v>53</v>
      </c>
      <c r="E57">
        <v>1317</v>
      </c>
      <c r="F57" t="s">
        <v>83</v>
      </c>
      <c r="G57">
        <v>1</v>
      </c>
      <c r="H57">
        <v>16880</v>
      </c>
      <c r="I57" t="s">
        <v>38</v>
      </c>
      <c r="J57">
        <v>3</v>
      </c>
      <c r="K57">
        <v>3</v>
      </c>
      <c r="L57">
        <v>1</v>
      </c>
      <c r="M57">
        <v>7</v>
      </c>
    </row>
    <row r="58" spans="3:13">
      <c r="C58">
        <v>58</v>
      </c>
      <c r="D58" t="s">
        <v>53</v>
      </c>
      <c r="E58">
        <v>1423</v>
      </c>
      <c r="F58" t="s">
        <v>83</v>
      </c>
      <c r="G58">
        <v>1</v>
      </c>
      <c r="H58">
        <v>19701</v>
      </c>
      <c r="I58" t="s">
        <v>38</v>
      </c>
      <c r="J58">
        <v>3</v>
      </c>
      <c r="K58">
        <v>9</v>
      </c>
      <c r="L58">
        <v>1</v>
      </c>
      <c r="M58">
        <v>7</v>
      </c>
    </row>
    <row r="59" spans="3:13">
      <c r="C59">
        <v>29</v>
      </c>
      <c r="D59" t="s">
        <v>53</v>
      </c>
      <c r="E59">
        <v>1586</v>
      </c>
      <c r="F59" t="s">
        <v>63</v>
      </c>
      <c r="G59">
        <v>1</v>
      </c>
      <c r="H59">
        <v>4723</v>
      </c>
      <c r="I59" t="s">
        <v>38</v>
      </c>
      <c r="J59">
        <v>3</v>
      </c>
      <c r="K59">
        <v>10</v>
      </c>
      <c r="L59">
        <v>1</v>
      </c>
      <c r="M59">
        <v>7</v>
      </c>
    </row>
    <row r="60" spans="3:13">
      <c r="C60">
        <v>45</v>
      </c>
      <c r="D60" t="s">
        <v>53</v>
      </c>
      <c r="E60">
        <v>1611</v>
      </c>
      <c r="F60" t="s">
        <v>63</v>
      </c>
      <c r="G60">
        <v>1</v>
      </c>
      <c r="H60">
        <v>5769</v>
      </c>
      <c r="I60" t="s">
        <v>38</v>
      </c>
      <c r="J60">
        <v>3</v>
      </c>
      <c r="K60">
        <v>10</v>
      </c>
      <c r="L60">
        <v>1</v>
      </c>
      <c r="M60">
        <v>7</v>
      </c>
    </row>
    <row r="61" spans="3:13">
      <c r="C61">
        <v>54</v>
      </c>
      <c r="D61" t="s">
        <v>53</v>
      </c>
      <c r="E61">
        <v>1980</v>
      </c>
      <c r="F61" t="s">
        <v>75</v>
      </c>
      <c r="G61">
        <v>1</v>
      </c>
      <c r="H61">
        <v>4440</v>
      </c>
      <c r="I61" t="s">
        <v>38</v>
      </c>
      <c r="J61">
        <v>3</v>
      </c>
      <c r="K61">
        <v>5</v>
      </c>
      <c r="L61">
        <v>1</v>
      </c>
      <c r="M61">
        <v>7</v>
      </c>
    </row>
    <row r="62" spans="3:13">
      <c r="C62">
        <v>21</v>
      </c>
      <c r="D62" t="s">
        <v>40</v>
      </c>
      <c r="E62">
        <v>2021</v>
      </c>
      <c r="F62" t="s">
        <v>82</v>
      </c>
      <c r="G62">
        <v>1</v>
      </c>
      <c r="H62">
        <v>2380</v>
      </c>
      <c r="I62" t="s">
        <v>38</v>
      </c>
      <c r="J62">
        <v>3</v>
      </c>
      <c r="K62">
        <v>2</v>
      </c>
      <c r="L62">
        <v>1</v>
      </c>
      <c r="M62">
        <v>7</v>
      </c>
    </row>
    <row r="63" spans="3:13">
      <c r="C63">
        <v>27</v>
      </c>
      <c r="D63" t="s">
        <v>53</v>
      </c>
      <c r="E63">
        <v>233</v>
      </c>
      <c r="F63" t="s">
        <v>55</v>
      </c>
      <c r="G63">
        <v>2</v>
      </c>
      <c r="H63">
        <v>3058</v>
      </c>
      <c r="I63" t="s">
        <v>38</v>
      </c>
      <c r="J63">
        <v>2</v>
      </c>
      <c r="K63">
        <v>5</v>
      </c>
      <c r="L63">
        <v>1</v>
      </c>
      <c r="M63">
        <v>6</v>
      </c>
    </row>
    <row r="64" spans="3:13">
      <c r="C64">
        <v>42</v>
      </c>
      <c r="D64" t="s">
        <v>53</v>
      </c>
      <c r="E64">
        <v>347</v>
      </c>
      <c r="F64" t="s">
        <v>55</v>
      </c>
      <c r="G64">
        <v>1</v>
      </c>
      <c r="H64">
        <v>6545</v>
      </c>
      <c r="I64" t="s">
        <v>38</v>
      </c>
      <c r="J64">
        <v>3</v>
      </c>
      <c r="K64">
        <v>3</v>
      </c>
      <c r="L64">
        <v>0</v>
      </c>
      <c r="M64">
        <v>6</v>
      </c>
    </row>
    <row r="65" spans="3:13">
      <c r="C65">
        <v>27</v>
      </c>
      <c r="D65" t="s">
        <v>53</v>
      </c>
      <c r="E65">
        <v>434</v>
      </c>
      <c r="F65" t="s">
        <v>55</v>
      </c>
      <c r="G65">
        <v>2</v>
      </c>
      <c r="H65">
        <v>2478</v>
      </c>
      <c r="I65" t="s">
        <v>38</v>
      </c>
      <c r="J65">
        <v>2</v>
      </c>
      <c r="K65">
        <v>4</v>
      </c>
      <c r="L65">
        <v>1</v>
      </c>
      <c r="M65">
        <v>6</v>
      </c>
    </row>
    <row r="66" spans="3:13">
      <c r="C66">
        <v>45</v>
      </c>
      <c r="D66" t="s">
        <v>40</v>
      </c>
      <c r="E66">
        <v>864</v>
      </c>
      <c r="F66" t="s">
        <v>43</v>
      </c>
      <c r="G66">
        <v>1</v>
      </c>
      <c r="H66">
        <v>10761</v>
      </c>
      <c r="I66" t="s">
        <v>38</v>
      </c>
      <c r="J66">
        <v>3</v>
      </c>
      <c r="K66">
        <v>5</v>
      </c>
      <c r="L66">
        <v>0</v>
      </c>
      <c r="M66">
        <v>6</v>
      </c>
    </row>
    <row r="67" spans="3:13">
      <c r="C67">
        <v>25</v>
      </c>
      <c r="D67" t="s">
        <v>40</v>
      </c>
      <c r="E67">
        <v>879</v>
      </c>
      <c r="F67" t="s">
        <v>43</v>
      </c>
      <c r="G67">
        <v>1</v>
      </c>
      <c r="H67">
        <v>4194</v>
      </c>
      <c r="I67" t="s">
        <v>38</v>
      </c>
      <c r="J67">
        <v>3</v>
      </c>
      <c r="K67">
        <v>5</v>
      </c>
      <c r="L67">
        <v>0</v>
      </c>
      <c r="M67">
        <v>6</v>
      </c>
    </row>
    <row r="68" spans="3:13">
      <c r="C68">
        <v>33</v>
      </c>
      <c r="D68" t="s">
        <v>53</v>
      </c>
      <c r="E68">
        <v>939</v>
      </c>
      <c r="F68" t="s">
        <v>55</v>
      </c>
      <c r="G68">
        <v>1</v>
      </c>
      <c r="H68">
        <v>2799</v>
      </c>
      <c r="I68" t="s">
        <v>38</v>
      </c>
      <c r="J68">
        <v>3</v>
      </c>
      <c r="K68">
        <v>3</v>
      </c>
      <c r="L68">
        <v>0</v>
      </c>
      <c r="M68">
        <v>6</v>
      </c>
    </row>
    <row r="69" spans="3:13">
      <c r="C69">
        <v>45</v>
      </c>
      <c r="D69" t="s">
        <v>53</v>
      </c>
      <c r="E69">
        <v>1002</v>
      </c>
      <c r="F69" t="s">
        <v>63</v>
      </c>
      <c r="G69">
        <v>1</v>
      </c>
      <c r="H69">
        <v>3633</v>
      </c>
      <c r="I69" t="s">
        <v>38</v>
      </c>
      <c r="J69">
        <v>3</v>
      </c>
      <c r="K69">
        <v>9</v>
      </c>
      <c r="L69">
        <v>0</v>
      </c>
      <c r="M69">
        <v>6</v>
      </c>
    </row>
    <row r="70" spans="3:13">
      <c r="C70">
        <v>42</v>
      </c>
      <c r="D70" t="s">
        <v>53</v>
      </c>
      <c r="E70">
        <v>1242</v>
      </c>
      <c r="F70" t="s">
        <v>83</v>
      </c>
      <c r="G70">
        <v>1</v>
      </c>
      <c r="H70">
        <v>13191</v>
      </c>
      <c r="I70" t="s">
        <v>38</v>
      </c>
      <c r="J70">
        <v>3</v>
      </c>
      <c r="K70">
        <v>1</v>
      </c>
      <c r="L70">
        <v>0</v>
      </c>
      <c r="M70">
        <v>6</v>
      </c>
    </row>
    <row r="71" spans="3:13">
      <c r="C71">
        <v>34</v>
      </c>
      <c r="D71" t="s">
        <v>40</v>
      </c>
      <c r="E71">
        <v>1281</v>
      </c>
      <c r="F71" t="s">
        <v>43</v>
      </c>
      <c r="G71">
        <v>1</v>
      </c>
      <c r="H71">
        <v>4538</v>
      </c>
      <c r="I71" t="s">
        <v>38</v>
      </c>
      <c r="J71">
        <v>3</v>
      </c>
      <c r="K71">
        <v>3</v>
      </c>
      <c r="L71">
        <v>0</v>
      </c>
      <c r="M71">
        <v>6</v>
      </c>
    </row>
    <row r="72" spans="3:13">
      <c r="C72">
        <v>30</v>
      </c>
      <c r="D72" t="s">
        <v>53</v>
      </c>
      <c r="E72">
        <v>1321</v>
      </c>
      <c r="F72" t="s">
        <v>79</v>
      </c>
      <c r="G72">
        <v>1</v>
      </c>
      <c r="H72">
        <v>11916</v>
      </c>
      <c r="I72" t="s">
        <v>38</v>
      </c>
      <c r="J72">
        <v>3</v>
      </c>
      <c r="K72">
        <v>9</v>
      </c>
      <c r="L72">
        <v>0</v>
      </c>
      <c r="M72">
        <v>6</v>
      </c>
    </row>
    <row r="73" spans="3:13">
      <c r="C73">
        <v>32</v>
      </c>
      <c r="D73" t="s">
        <v>40</v>
      </c>
      <c r="E73">
        <v>1396</v>
      </c>
      <c r="F73" t="s">
        <v>43</v>
      </c>
      <c r="G73">
        <v>2</v>
      </c>
      <c r="H73">
        <v>4078</v>
      </c>
      <c r="I73" t="s">
        <v>38</v>
      </c>
      <c r="J73">
        <v>2</v>
      </c>
      <c r="K73">
        <v>3</v>
      </c>
      <c r="L73">
        <v>1</v>
      </c>
      <c r="M73">
        <v>6</v>
      </c>
    </row>
    <row r="74" spans="3:13">
      <c r="C74">
        <v>45</v>
      </c>
      <c r="D74" t="s">
        <v>53</v>
      </c>
      <c r="E74">
        <v>1460</v>
      </c>
      <c r="F74" t="s">
        <v>76</v>
      </c>
      <c r="G74">
        <v>1</v>
      </c>
      <c r="H74">
        <v>10851</v>
      </c>
      <c r="I74" t="s">
        <v>38</v>
      </c>
      <c r="J74">
        <v>3</v>
      </c>
      <c r="K74">
        <v>7</v>
      </c>
      <c r="L74">
        <v>0</v>
      </c>
      <c r="M74">
        <v>6</v>
      </c>
    </row>
    <row r="75" spans="3:13">
      <c r="C75">
        <v>36</v>
      </c>
      <c r="D75" t="s">
        <v>53</v>
      </c>
      <c r="E75">
        <v>1594</v>
      </c>
      <c r="F75" t="s">
        <v>63</v>
      </c>
      <c r="G75">
        <v>1</v>
      </c>
      <c r="H75">
        <v>5562</v>
      </c>
      <c r="I75" t="s">
        <v>38</v>
      </c>
      <c r="J75">
        <v>3</v>
      </c>
      <c r="K75">
        <v>3</v>
      </c>
      <c r="L75">
        <v>0</v>
      </c>
      <c r="M75">
        <v>6</v>
      </c>
    </row>
    <row r="76" spans="3:13">
      <c r="C76">
        <v>40</v>
      </c>
      <c r="D76" t="s">
        <v>53</v>
      </c>
      <c r="E76">
        <v>1724</v>
      </c>
      <c r="F76" t="s">
        <v>75</v>
      </c>
      <c r="G76">
        <v>1</v>
      </c>
      <c r="H76">
        <v>6516</v>
      </c>
      <c r="I76" t="s">
        <v>38</v>
      </c>
      <c r="J76">
        <v>3</v>
      </c>
      <c r="K76">
        <v>1</v>
      </c>
      <c r="L76">
        <v>0</v>
      </c>
      <c r="M76">
        <v>6</v>
      </c>
    </row>
    <row r="77" spans="3:13">
      <c r="C77">
        <v>37</v>
      </c>
      <c r="D77" t="s">
        <v>53</v>
      </c>
      <c r="E77">
        <v>1885</v>
      </c>
      <c r="F77" t="s">
        <v>55</v>
      </c>
      <c r="G77">
        <v>1</v>
      </c>
      <c r="H77">
        <v>4284</v>
      </c>
      <c r="I77" t="s">
        <v>38</v>
      </c>
      <c r="J77">
        <v>3</v>
      </c>
      <c r="K77">
        <v>5</v>
      </c>
      <c r="L77">
        <v>0</v>
      </c>
      <c r="M77">
        <v>6</v>
      </c>
    </row>
    <row r="78" spans="3:13">
      <c r="C78">
        <v>31</v>
      </c>
      <c r="D78" t="s">
        <v>53</v>
      </c>
      <c r="E78">
        <v>1948</v>
      </c>
      <c r="F78" t="s">
        <v>55</v>
      </c>
      <c r="G78">
        <v>1</v>
      </c>
      <c r="H78">
        <v>3065</v>
      </c>
      <c r="I78" t="s">
        <v>38</v>
      </c>
      <c r="J78">
        <v>4</v>
      </c>
      <c r="K78">
        <v>4</v>
      </c>
      <c r="L78">
        <v>2</v>
      </c>
      <c r="M78">
        <v>6</v>
      </c>
    </row>
    <row r="79" spans="3:13">
      <c r="C79">
        <v>32</v>
      </c>
      <c r="D79" t="s">
        <v>53</v>
      </c>
      <c r="E79">
        <v>21</v>
      </c>
      <c r="F79" t="s">
        <v>55</v>
      </c>
      <c r="G79">
        <v>2</v>
      </c>
      <c r="H79">
        <v>3298</v>
      </c>
      <c r="I79" t="s">
        <v>38</v>
      </c>
      <c r="J79">
        <v>2</v>
      </c>
      <c r="K79">
        <v>6</v>
      </c>
      <c r="L79">
        <v>0</v>
      </c>
      <c r="M79">
        <v>5</v>
      </c>
    </row>
    <row r="80" spans="3:13">
      <c r="C80">
        <v>50</v>
      </c>
      <c r="D80" t="s">
        <v>53</v>
      </c>
      <c r="E80">
        <v>141</v>
      </c>
      <c r="F80" t="s">
        <v>83</v>
      </c>
      <c r="G80">
        <v>2</v>
      </c>
      <c r="H80">
        <v>18172</v>
      </c>
      <c r="I80" t="s">
        <v>38</v>
      </c>
      <c r="J80">
        <v>2</v>
      </c>
      <c r="K80">
        <v>8</v>
      </c>
      <c r="L80">
        <v>0</v>
      </c>
      <c r="M80">
        <v>5</v>
      </c>
    </row>
    <row r="81" spans="3:13">
      <c r="C81">
        <v>58</v>
      </c>
      <c r="D81" t="s">
        <v>53</v>
      </c>
      <c r="E81">
        <v>214</v>
      </c>
      <c r="F81" t="s">
        <v>55</v>
      </c>
      <c r="G81">
        <v>2</v>
      </c>
      <c r="H81">
        <v>3346</v>
      </c>
      <c r="I81" t="s">
        <v>38</v>
      </c>
      <c r="J81">
        <v>2</v>
      </c>
      <c r="K81">
        <v>1</v>
      </c>
      <c r="L81">
        <v>0</v>
      </c>
      <c r="M81">
        <v>5</v>
      </c>
    </row>
    <row r="82" spans="3:13">
      <c r="C82">
        <v>31</v>
      </c>
      <c r="D82" t="s">
        <v>53</v>
      </c>
      <c r="E82">
        <v>493</v>
      </c>
      <c r="F82" t="s">
        <v>55</v>
      </c>
      <c r="G82">
        <v>2</v>
      </c>
      <c r="H82">
        <v>2657</v>
      </c>
      <c r="I82" t="s">
        <v>38</v>
      </c>
      <c r="J82">
        <v>3</v>
      </c>
      <c r="K82">
        <v>2</v>
      </c>
      <c r="L82">
        <v>2</v>
      </c>
      <c r="M82">
        <v>5</v>
      </c>
    </row>
    <row r="83" spans="3:13">
      <c r="C83">
        <v>37</v>
      </c>
      <c r="D83" t="s">
        <v>53</v>
      </c>
      <c r="E83">
        <v>518</v>
      </c>
      <c r="F83" t="s">
        <v>75</v>
      </c>
      <c r="G83">
        <v>2</v>
      </c>
      <c r="H83">
        <v>4197</v>
      </c>
      <c r="I83" t="s">
        <v>38</v>
      </c>
      <c r="J83">
        <v>2</v>
      </c>
      <c r="K83">
        <v>1</v>
      </c>
      <c r="L83">
        <v>0</v>
      </c>
      <c r="M83">
        <v>5</v>
      </c>
    </row>
    <row r="84" spans="3:13">
      <c r="C84">
        <v>29</v>
      </c>
      <c r="D84" t="s">
        <v>40</v>
      </c>
      <c r="E84">
        <v>1669</v>
      </c>
      <c r="F84" t="s">
        <v>43</v>
      </c>
      <c r="G84">
        <v>2</v>
      </c>
      <c r="H84">
        <v>4187</v>
      </c>
      <c r="I84" t="s">
        <v>38</v>
      </c>
      <c r="J84">
        <v>2</v>
      </c>
      <c r="K84">
        <v>10</v>
      </c>
      <c r="L84">
        <v>0</v>
      </c>
      <c r="M84">
        <v>5</v>
      </c>
    </row>
    <row r="85" spans="3:13">
      <c r="C85">
        <v>36</v>
      </c>
      <c r="D85" t="s">
        <v>53</v>
      </c>
      <c r="E85">
        <v>51</v>
      </c>
      <c r="F85" t="s">
        <v>55</v>
      </c>
      <c r="G85">
        <v>1</v>
      </c>
      <c r="H85">
        <v>3419</v>
      </c>
      <c r="I85" t="s">
        <v>38</v>
      </c>
      <c r="J85">
        <v>4</v>
      </c>
      <c r="K85">
        <v>1</v>
      </c>
      <c r="L85">
        <v>0</v>
      </c>
      <c r="M85">
        <v>4</v>
      </c>
    </row>
    <row r="86" spans="3:13">
      <c r="C86">
        <v>45</v>
      </c>
      <c r="D86" t="s">
        <v>53</v>
      </c>
      <c r="E86">
        <v>101</v>
      </c>
      <c r="F86" t="s">
        <v>83</v>
      </c>
      <c r="G86">
        <v>1</v>
      </c>
      <c r="H86">
        <v>13245</v>
      </c>
      <c r="I86" t="s">
        <v>38</v>
      </c>
      <c r="J86">
        <v>4</v>
      </c>
      <c r="K86">
        <v>0</v>
      </c>
      <c r="L86">
        <v>0</v>
      </c>
      <c r="M86">
        <v>4</v>
      </c>
    </row>
    <row r="87" spans="3:13">
      <c r="C87">
        <v>45</v>
      </c>
      <c r="D87" t="s">
        <v>40</v>
      </c>
      <c r="E87">
        <v>240</v>
      </c>
      <c r="F87" t="s">
        <v>43</v>
      </c>
      <c r="G87">
        <v>1</v>
      </c>
      <c r="H87">
        <v>5006</v>
      </c>
      <c r="I87" t="s">
        <v>38</v>
      </c>
      <c r="J87">
        <v>4</v>
      </c>
      <c r="K87">
        <v>5</v>
      </c>
      <c r="L87">
        <v>0</v>
      </c>
      <c r="M87">
        <v>4</v>
      </c>
    </row>
    <row r="88" spans="3:13">
      <c r="C88">
        <v>27</v>
      </c>
      <c r="D88" t="s">
        <v>40</v>
      </c>
      <c r="E88">
        <v>449</v>
      </c>
      <c r="F88" t="s">
        <v>43</v>
      </c>
      <c r="G88">
        <v>2</v>
      </c>
      <c r="H88">
        <v>6349</v>
      </c>
      <c r="I88" t="s">
        <v>38</v>
      </c>
      <c r="J88">
        <v>3</v>
      </c>
      <c r="K88">
        <v>5</v>
      </c>
      <c r="L88">
        <v>1</v>
      </c>
      <c r="M88">
        <v>4</v>
      </c>
    </row>
    <row r="89" spans="3:13">
      <c r="C89">
        <v>29</v>
      </c>
      <c r="D89" t="s">
        <v>40</v>
      </c>
      <c r="E89">
        <v>463</v>
      </c>
      <c r="F89" t="s">
        <v>43</v>
      </c>
      <c r="G89">
        <v>2</v>
      </c>
      <c r="H89">
        <v>8268</v>
      </c>
      <c r="I89" t="s">
        <v>38</v>
      </c>
      <c r="J89">
        <v>3</v>
      </c>
      <c r="K89">
        <v>7</v>
      </c>
      <c r="L89">
        <v>1</v>
      </c>
      <c r="M89">
        <v>4</v>
      </c>
    </row>
    <row r="90" spans="3:13">
      <c r="C90">
        <v>41</v>
      </c>
      <c r="D90" t="s">
        <v>53</v>
      </c>
      <c r="E90">
        <v>466</v>
      </c>
      <c r="F90" t="s">
        <v>75</v>
      </c>
      <c r="G90">
        <v>2</v>
      </c>
      <c r="H90">
        <v>6032</v>
      </c>
      <c r="I90" t="s">
        <v>38</v>
      </c>
      <c r="J90">
        <v>3</v>
      </c>
      <c r="K90">
        <v>5</v>
      </c>
      <c r="L90">
        <v>1</v>
      </c>
      <c r="M90">
        <v>4</v>
      </c>
    </row>
    <row r="91" spans="3:13">
      <c r="C91">
        <v>33</v>
      </c>
      <c r="D91" t="s">
        <v>53</v>
      </c>
      <c r="E91">
        <v>998</v>
      </c>
      <c r="F91" t="s">
        <v>76</v>
      </c>
      <c r="G91">
        <v>2</v>
      </c>
      <c r="H91">
        <v>5488</v>
      </c>
      <c r="I91" t="s">
        <v>38</v>
      </c>
      <c r="J91">
        <v>3</v>
      </c>
      <c r="K91">
        <v>6</v>
      </c>
      <c r="L91">
        <v>1</v>
      </c>
      <c r="M91">
        <v>4</v>
      </c>
    </row>
    <row r="92" spans="3:13">
      <c r="C92">
        <v>38</v>
      </c>
      <c r="D92" t="s">
        <v>88</v>
      </c>
      <c r="E92">
        <v>1972</v>
      </c>
      <c r="F92" t="s">
        <v>88</v>
      </c>
      <c r="G92">
        <v>2</v>
      </c>
      <c r="H92">
        <v>2991</v>
      </c>
      <c r="I92" t="s">
        <v>38</v>
      </c>
      <c r="J92">
        <v>3</v>
      </c>
      <c r="K92">
        <v>6</v>
      </c>
      <c r="L92">
        <v>1</v>
      </c>
      <c r="M92">
        <v>4</v>
      </c>
    </row>
    <row r="93" spans="3:13">
      <c r="C93">
        <v>55</v>
      </c>
      <c r="D93" t="s">
        <v>88</v>
      </c>
      <c r="E93">
        <v>1973</v>
      </c>
      <c r="F93" t="s">
        <v>79</v>
      </c>
      <c r="G93">
        <v>2</v>
      </c>
      <c r="H93">
        <v>19636</v>
      </c>
      <c r="I93" t="s">
        <v>38</v>
      </c>
      <c r="J93">
        <v>3</v>
      </c>
      <c r="K93">
        <v>10</v>
      </c>
      <c r="L93">
        <v>1</v>
      </c>
      <c r="M93">
        <v>4</v>
      </c>
    </row>
    <row r="94" spans="3:13">
      <c r="C94">
        <v>46</v>
      </c>
      <c r="D94" t="s">
        <v>88</v>
      </c>
      <c r="E94">
        <v>103</v>
      </c>
      <c r="F94" t="s">
        <v>88</v>
      </c>
      <c r="G94">
        <v>2</v>
      </c>
      <c r="H94">
        <v>5021</v>
      </c>
      <c r="I94" t="s">
        <v>38</v>
      </c>
      <c r="J94">
        <v>3</v>
      </c>
      <c r="K94">
        <v>4</v>
      </c>
      <c r="L94">
        <v>0</v>
      </c>
      <c r="M94">
        <v>3</v>
      </c>
    </row>
    <row r="95" spans="3:13">
      <c r="C95">
        <v>36</v>
      </c>
      <c r="D95" t="s">
        <v>53</v>
      </c>
      <c r="E95">
        <v>699</v>
      </c>
      <c r="F95" t="s">
        <v>75</v>
      </c>
      <c r="G95">
        <v>2</v>
      </c>
      <c r="H95">
        <v>8847</v>
      </c>
      <c r="I95" t="s">
        <v>38</v>
      </c>
      <c r="J95">
        <v>3</v>
      </c>
      <c r="K95">
        <v>3</v>
      </c>
      <c r="L95">
        <v>0</v>
      </c>
      <c r="M95">
        <v>3</v>
      </c>
    </row>
    <row r="96" spans="3:13">
      <c r="C96">
        <v>37</v>
      </c>
      <c r="D96" t="s">
        <v>40</v>
      </c>
      <c r="E96">
        <v>904</v>
      </c>
      <c r="F96" t="s">
        <v>43</v>
      </c>
      <c r="G96">
        <v>2</v>
      </c>
      <c r="H96">
        <v>7642</v>
      </c>
      <c r="I96" t="s">
        <v>38</v>
      </c>
      <c r="J96">
        <v>3</v>
      </c>
      <c r="K96">
        <v>10</v>
      </c>
      <c r="L96">
        <v>0</v>
      </c>
      <c r="M96">
        <v>3</v>
      </c>
    </row>
    <row r="97" spans="3:14">
      <c r="C97">
        <v>58</v>
      </c>
      <c r="D97" t="s">
        <v>53</v>
      </c>
      <c r="E97">
        <v>940</v>
      </c>
      <c r="F97" t="s">
        <v>76</v>
      </c>
      <c r="G97">
        <v>2</v>
      </c>
      <c r="H97">
        <v>10552</v>
      </c>
      <c r="I97" t="s">
        <v>38</v>
      </c>
      <c r="J97">
        <v>3</v>
      </c>
      <c r="K97">
        <v>6</v>
      </c>
      <c r="L97">
        <v>0</v>
      </c>
      <c r="M97">
        <v>3</v>
      </c>
    </row>
    <row r="98" spans="3:14">
      <c r="C98">
        <v>40</v>
      </c>
      <c r="D98" t="s">
        <v>53</v>
      </c>
      <c r="E98">
        <v>964</v>
      </c>
      <c r="F98" t="s">
        <v>55</v>
      </c>
      <c r="G98">
        <v>2</v>
      </c>
      <c r="H98">
        <v>3617</v>
      </c>
      <c r="I98" t="s">
        <v>38</v>
      </c>
      <c r="J98">
        <v>3</v>
      </c>
      <c r="K98">
        <v>1</v>
      </c>
      <c r="L98">
        <v>0</v>
      </c>
      <c r="M98">
        <v>3</v>
      </c>
    </row>
    <row r="99" spans="3:14">
      <c r="C99">
        <v>21</v>
      </c>
      <c r="D99" t="s">
        <v>53</v>
      </c>
      <c r="E99">
        <v>1131</v>
      </c>
      <c r="F99" t="s">
        <v>55</v>
      </c>
      <c r="G99">
        <v>2</v>
      </c>
      <c r="H99">
        <v>2070</v>
      </c>
      <c r="I99" t="s">
        <v>38</v>
      </c>
      <c r="J99">
        <v>4</v>
      </c>
      <c r="K99">
        <v>2</v>
      </c>
      <c r="L99">
        <v>2</v>
      </c>
      <c r="M99">
        <v>3</v>
      </c>
    </row>
    <row r="100" spans="3:14">
      <c r="C100">
        <v>42</v>
      </c>
      <c r="D100" t="s">
        <v>53</v>
      </c>
      <c r="E100">
        <v>1292</v>
      </c>
      <c r="F100" t="s">
        <v>55</v>
      </c>
      <c r="G100">
        <v>2</v>
      </c>
      <c r="H100">
        <v>2372</v>
      </c>
      <c r="I100" t="s">
        <v>38</v>
      </c>
      <c r="J100">
        <v>3</v>
      </c>
      <c r="K100">
        <v>1</v>
      </c>
      <c r="L100">
        <v>0</v>
      </c>
      <c r="M100">
        <v>3</v>
      </c>
    </row>
    <row r="101" spans="3:14">
      <c r="C101">
        <v>51</v>
      </c>
      <c r="D101" t="s">
        <v>88</v>
      </c>
      <c r="E101">
        <v>1352</v>
      </c>
      <c r="F101" t="s">
        <v>79</v>
      </c>
      <c r="G101">
        <v>2</v>
      </c>
      <c r="H101">
        <v>14026</v>
      </c>
      <c r="I101" t="s">
        <v>38</v>
      </c>
      <c r="J101">
        <v>3</v>
      </c>
      <c r="K101">
        <v>33</v>
      </c>
      <c r="L101">
        <v>0</v>
      </c>
      <c r="M101">
        <v>3</v>
      </c>
    </row>
    <row r="102" spans="3:14">
      <c r="C102">
        <v>36</v>
      </c>
      <c r="D102" t="s">
        <v>40</v>
      </c>
      <c r="E102">
        <v>1425</v>
      </c>
      <c r="F102" t="s">
        <v>43</v>
      </c>
      <c r="G102">
        <v>2</v>
      </c>
      <c r="H102">
        <v>9278</v>
      </c>
      <c r="I102" t="s">
        <v>38</v>
      </c>
      <c r="J102">
        <v>3</v>
      </c>
      <c r="K102">
        <v>5</v>
      </c>
      <c r="L102">
        <v>0</v>
      </c>
      <c r="M102">
        <v>3</v>
      </c>
    </row>
    <row r="103" spans="3:14">
      <c r="C103">
        <v>36</v>
      </c>
      <c r="D103" t="s">
        <v>53</v>
      </c>
      <c r="E103">
        <v>1847</v>
      </c>
      <c r="F103" t="s">
        <v>55</v>
      </c>
      <c r="G103">
        <v>2</v>
      </c>
      <c r="H103">
        <v>6962</v>
      </c>
      <c r="I103" t="s">
        <v>38</v>
      </c>
      <c r="J103">
        <v>3</v>
      </c>
      <c r="K103">
        <v>1</v>
      </c>
      <c r="L103">
        <v>0</v>
      </c>
      <c r="M103">
        <v>3</v>
      </c>
    </row>
    <row r="104" spans="3:14">
      <c r="C104">
        <v>35</v>
      </c>
      <c r="D104" t="s">
        <v>53</v>
      </c>
      <c r="E104">
        <v>1886</v>
      </c>
      <c r="F104" t="s">
        <v>75</v>
      </c>
      <c r="G104">
        <v>2</v>
      </c>
      <c r="H104">
        <v>4788</v>
      </c>
      <c r="I104" t="s">
        <v>38</v>
      </c>
      <c r="J104">
        <v>3</v>
      </c>
      <c r="K104">
        <v>3</v>
      </c>
      <c r="L104">
        <v>0</v>
      </c>
      <c r="M104">
        <v>3</v>
      </c>
    </row>
    <row r="105" spans="3:14">
      <c r="C105">
        <v>38</v>
      </c>
      <c r="D105" t="s">
        <v>53</v>
      </c>
      <c r="E105">
        <v>1937</v>
      </c>
      <c r="F105" t="s">
        <v>55</v>
      </c>
      <c r="G105">
        <v>2</v>
      </c>
      <c r="H105">
        <v>2133</v>
      </c>
      <c r="I105" t="s">
        <v>38</v>
      </c>
      <c r="J105">
        <v>3</v>
      </c>
      <c r="K105">
        <v>20</v>
      </c>
      <c r="L105">
        <v>0</v>
      </c>
      <c r="M105">
        <v>3</v>
      </c>
    </row>
    <row r="106" spans="3:14">
      <c r="C106">
        <v>29</v>
      </c>
      <c r="D106" t="s">
        <v>53</v>
      </c>
      <c r="E106">
        <v>2053</v>
      </c>
      <c r="F106" t="s">
        <v>63</v>
      </c>
      <c r="G106">
        <v>2</v>
      </c>
      <c r="H106">
        <v>4025</v>
      </c>
      <c r="I106" t="s">
        <v>38</v>
      </c>
      <c r="J106">
        <v>3</v>
      </c>
      <c r="K106">
        <v>4</v>
      </c>
      <c r="L106">
        <v>0</v>
      </c>
      <c r="M106">
        <v>3</v>
      </c>
    </row>
    <row r="107" spans="3:14">
      <c r="C107">
        <v>27</v>
      </c>
      <c r="D107" t="s">
        <v>53</v>
      </c>
      <c r="E107">
        <v>2064</v>
      </c>
      <c r="F107" t="s">
        <v>75</v>
      </c>
      <c r="G107">
        <v>2</v>
      </c>
      <c r="H107">
        <v>6142</v>
      </c>
      <c r="I107" t="s">
        <v>38</v>
      </c>
      <c r="J107">
        <v>3</v>
      </c>
      <c r="K107">
        <v>6</v>
      </c>
      <c r="L107">
        <v>0</v>
      </c>
      <c r="M107">
        <v>3</v>
      </c>
    </row>
    <row r="108" spans="3:14">
      <c r="C108">
        <v>33</v>
      </c>
      <c r="D108" t="s">
        <v>88</v>
      </c>
      <c r="E108">
        <v>910</v>
      </c>
      <c r="F108" t="s">
        <v>88</v>
      </c>
      <c r="G108">
        <v>2</v>
      </c>
      <c r="H108">
        <v>2277</v>
      </c>
      <c r="I108" t="s">
        <v>38</v>
      </c>
      <c r="J108">
        <v>4</v>
      </c>
      <c r="K108">
        <v>4</v>
      </c>
      <c r="L108">
        <v>0</v>
      </c>
      <c r="M108">
        <v>1</v>
      </c>
    </row>
    <row r="112" spans="3:14">
      <c r="C112" s="114" t="s">
        <v>141</v>
      </c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</row>
  </sheetData>
  <sortState xmlns:xlrd2="http://schemas.microsoft.com/office/spreadsheetml/2017/richdata2" ref="C12:M108">
    <sortCondition descending="1" ref="M12:M108"/>
  </sortState>
  <mergeCells count="3">
    <mergeCell ref="C112:N112"/>
    <mergeCell ref="C1:M1"/>
    <mergeCell ref="C2:M2"/>
  </mergeCells>
  <conditionalFormatting sqref="M12:M10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IBM HR Analytics Cleaned</vt:lpstr>
      <vt:lpstr>Dashboard</vt:lpstr>
      <vt:lpstr>Attrition Analysis</vt:lpstr>
      <vt:lpstr>Salary Analysis</vt:lpstr>
      <vt:lpstr>High Risk 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PARAS SAHNI</cp:lastModifiedBy>
  <dcterms:created xsi:type="dcterms:W3CDTF">2026-04-14T13:22:14Z</dcterms:created>
  <dcterms:modified xsi:type="dcterms:W3CDTF">2026-04-15T10:36:43Z</dcterms:modified>
</cp:coreProperties>
</file>